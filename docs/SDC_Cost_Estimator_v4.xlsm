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28" codeName="{144559BF-596A-2B24-0A50-F0D1D4C42CD1}"/>
  <workbookPr codeName="ThisWorkbook"/>
  <mc:AlternateContent xmlns:mc="http://schemas.openxmlformats.org/markup-compatibility/2006">
    <mc:Choice Requires="x15">
      <x15ac:absPath xmlns:x15ac="http://schemas.microsoft.com/office/spreadsheetml/2010/11/ac" url="C:\git\sdc-dot-web-microsite\docs\"/>
    </mc:Choice>
  </mc:AlternateContent>
  <xr:revisionPtr revIDLastSave="0" documentId="13_ncr:1_{5D31C383-F11F-4F63-8018-9FF8AD28ECCA}" xr6:coauthVersionLast="45" xr6:coauthVersionMax="45" xr10:uidLastSave="{00000000-0000-0000-0000-000000000000}"/>
  <bookViews>
    <workbookView xWindow="-120" yWindow="-120" windowWidth="29040" windowHeight="15225" xr2:uid="{00000000-000D-0000-FFFF-FFFF00000000}"/>
  </bookViews>
  <sheets>
    <sheet name="Intro" sheetId="3" r:id="rId1"/>
    <sheet name="Prospective Project" sheetId="4" r:id="rId2"/>
    <sheet name="Active Project" sheetId="5" r:id="rId3"/>
    <sheet name="Sys Admin" sheetId="1" r:id="rId4"/>
    <sheet name="Enablement Services" sheetId="6" r:id="rId5"/>
    <sheet name="Platform Cloud Costs" sheetId="8" r:id="rId6"/>
    <sheet name="Other Overhead C " sheetId="17" r:id="rId7"/>
    <sheet name="Rate Sheet" sheetId="20" r:id="rId8"/>
    <sheet name="Cloud Consumption" sheetId="16" r:id="rId9"/>
    <sheet name="Prospective Project Calculation" sheetId="12" state="hidden" r:id="rId10"/>
    <sheet name="Active Project Calculation" sheetId="11" state="hidden" r:id="rId11"/>
    <sheet name="Sys Admin Calculation" sheetId="13" state="hidden" r:id="rId12"/>
    <sheet name="Sys Admin Calculation Y2" sheetId="18" state="hidden" r:id="rId13"/>
    <sheet name="Sys Admin Calculation Y3" sheetId="19" state="hidden" r:id="rId14"/>
    <sheet name="Inputs" sheetId="14" state="hidden" r:id="rId15"/>
  </sheets>
  <definedNames>
    <definedName name="_xlnm._FilterDatabase" localSheetId="14" hidden="1">Inputs!$A$13:$Q$30</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7" i="19" l="1"/>
  <c r="G17" i="18"/>
  <c r="I42" i="18"/>
  <c r="I43" i="18"/>
  <c r="I44" i="18"/>
  <c r="I41" i="18"/>
  <c r="I35" i="18"/>
  <c r="I36" i="18"/>
  <c r="I37" i="18"/>
  <c r="I34" i="18"/>
  <c r="I42" i="19"/>
  <c r="I43" i="19"/>
  <c r="I44" i="19"/>
  <c r="I41" i="19"/>
  <c r="I35" i="19"/>
  <c r="I36" i="19"/>
  <c r="I37" i="19"/>
  <c r="I34" i="19"/>
  <c r="I42" i="13"/>
  <c r="I43" i="13"/>
  <c r="I44" i="13"/>
  <c r="I41" i="13"/>
  <c r="I35" i="13"/>
  <c r="I36" i="13"/>
  <c r="I37" i="13"/>
  <c r="I34" i="13"/>
  <c r="G1" i="8"/>
  <c r="J1" i="17"/>
  <c r="B10" i="20"/>
  <c r="G18" i="17" s="1"/>
  <c r="F18" i="17" s="1"/>
  <c r="G6" i="17"/>
  <c r="G7" i="17"/>
  <c r="G8" i="17"/>
  <c r="G9" i="17"/>
  <c r="G10" i="17"/>
  <c r="G11" i="17"/>
  <c r="G5" i="17"/>
  <c r="G17" i="17" l="1"/>
  <c r="F17" i="17" s="1"/>
  <c r="F43" i="12"/>
  <c r="D34" i="19"/>
  <c r="E34" i="19" s="1"/>
  <c r="D33" i="19"/>
  <c r="E33" i="19" s="1"/>
  <c r="B29" i="19"/>
  <c r="B28" i="19"/>
  <c r="B27" i="19"/>
  <c r="A29" i="19"/>
  <c r="A28" i="19"/>
  <c r="A27" i="19"/>
  <c r="V6" i="19"/>
  <c r="V7" i="19"/>
  <c r="V8" i="19"/>
  <c r="V9" i="19"/>
  <c r="V10" i="19"/>
  <c r="V11" i="19"/>
  <c r="V12" i="19"/>
  <c r="V13" i="19"/>
  <c r="V14" i="19"/>
  <c r="V15" i="19"/>
  <c r="V16" i="19"/>
  <c r="V17" i="19"/>
  <c r="V18" i="19"/>
  <c r="V19" i="19"/>
  <c r="V20" i="19"/>
  <c r="V21" i="19"/>
  <c r="V5" i="19"/>
  <c r="V6" i="18"/>
  <c r="V7" i="18"/>
  <c r="V8" i="18"/>
  <c r="V9" i="18"/>
  <c r="V10" i="18"/>
  <c r="V11" i="18"/>
  <c r="V12" i="18"/>
  <c r="V13" i="18"/>
  <c r="V14" i="18"/>
  <c r="V15" i="18"/>
  <c r="V16" i="18"/>
  <c r="V17" i="18"/>
  <c r="V18" i="18"/>
  <c r="V19" i="18"/>
  <c r="V20" i="18"/>
  <c r="V21" i="18"/>
  <c r="D34" i="18"/>
  <c r="D33" i="18"/>
  <c r="B29" i="18"/>
  <c r="B28" i="18"/>
  <c r="B27" i="18"/>
  <c r="B26" i="18"/>
  <c r="B25" i="18"/>
  <c r="V5" i="18"/>
  <c r="U5" i="18"/>
  <c r="N50" i="19"/>
  <c r="N49" i="19"/>
  <c r="N48" i="19"/>
  <c r="N47" i="19"/>
  <c r="N46" i="19"/>
  <c r="Q45" i="19"/>
  <c r="N45" i="19"/>
  <c r="N44" i="19"/>
  <c r="N43" i="19"/>
  <c r="N42" i="19"/>
  <c r="Q41" i="19"/>
  <c r="N41" i="19"/>
  <c r="N40" i="19"/>
  <c r="N39" i="19"/>
  <c r="N38" i="19"/>
  <c r="Q37" i="19"/>
  <c r="N37" i="19"/>
  <c r="Q36" i="19"/>
  <c r="N36" i="19"/>
  <c r="N35" i="19"/>
  <c r="N34" i="19"/>
  <c r="F34" i="19"/>
  <c r="A34" i="19"/>
  <c r="V33" i="19"/>
  <c r="F33" i="19"/>
  <c r="A33" i="19"/>
  <c r="V32" i="19"/>
  <c r="V31" i="19"/>
  <c r="Q29" i="19"/>
  <c r="Q28" i="19"/>
  <c r="Q27" i="19"/>
  <c r="B26" i="19"/>
  <c r="A26" i="19"/>
  <c r="B25" i="19"/>
  <c r="A25" i="19"/>
  <c r="G24" i="19"/>
  <c r="R21" i="19"/>
  <c r="Q21" i="19"/>
  <c r="P21" i="19"/>
  <c r="O21" i="19"/>
  <c r="N21" i="19"/>
  <c r="M21" i="19"/>
  <c r="L21" i="19"/>
  <c r="K21" i="19"/>
  <c r="J21" i="19"/>
  <c r="D21" i="19"/>
  <c r="B21" i="19"/>
  <c r="A21" i="19"/>
  <c r="R20" i="19"/>
  <c r="Q20" i="19"/>
  <c r="P20" i="19"/>
  <c r="O20" i="19"/>
  <c r="N20" i="19"/>
  <c r="M20" i="19"/>
  <c r="L20" i="19"/>
  <c r="K20" i="19"/>
  <c r="J20" i="19"/>
  <c r="D20" i="19"/>
  <c r="B20" i="19"/>
  <c r="A20" i="19"/>
  <c r="R19" i="19"/>
  <c r="Q19" i="19"/>
  <c r="P19" i="19"/>
  <c r="O19" i="19"/>
  <c r="N19" i="19"/>
  <c r="M19" i="19"/>
  <c r="L19" i="19"/>
  <c r="K19" i="19"/>
  <c r="J19" i="19"/>
  <c r="D19" i="19"/>
  <c r="B19" i="19"/>
  <c r="A19" i="19"/>
  <c r="R18" i="19"/>
  <c r="Q18" i="19"/>
  <c r="P18" i="19"/>
  <c r="O18" i="19"/>
  <c r="K18" i="19"/>
  <c r="J18" i="19"/>
  <c r="D18" i="19"/>
  <c r="B18" i="19"/>
  <c r="A18" i="19"/>
  <c r="R17" i="19"/>
  <c r="Q17" i="19"/>
  <c r="P17" i="19"/>
  <c r="O17" i="19"/>
  <c r="L17" i="19"/>
  <c r="J17" i="19"/>
  <c r="D17" i="19"/>
  <c r="B17" i="19"/>
  <c r="A17" i="19"/>
  <c r="R16" i="19"/>
  <c r="Q16" i="19"/>
  <c r="P16" i="19"/>
  <c r="O16" i="19"/>
  <c r="N16" i="19"/>
  <c r="M16" i="19"/>
  <c r="L16" i="19"/>
  <c r="K16" i="19"/>
  <c r="J16" i="19"/>
  <c r="D16" i="19"/>
  <c r="B16" i="19"/>
  <c r="A16" i="19"/>
  <c r="R15" i="19"/>
  <c r="Q15" i="19"/>
  <c r="P15" i="19"/>
  <c r="O15" i="19"/>
  <c r="N15" i="19"/>
  <c r="M15" i="19"/>
  <c r="L15" i="19"/>
  <c r="K15" i="19"/>
  <c r="J15" i="19"/>
  <c r="D15" i="19"/>
  <c r="B15" i="19"/>
  <c r="A15" i="19"/>
  <c r="R14" i="19"/>
  <c r="Q14" i="19"/>
  <c r="P14" i="19"/>
  <c r="O14" i="19"/>
  <c r="L14" i="19"/>
  <c r="K14" i="19"/>
  <c r="J14" i="19"/>
  <c r="D14" i="19"/>
  <c r="B14" i="19"/>
  <c r="A14" i="19"/>
  <c r="R13" i="19"/>
  <c r="Q13" i="19"/>
  <c r="P13" i="19"/>
  <c r="O13" i="19"/>
  <c r="L13" i="19"/>
  <c r="K13" i="19"/>
  <c r="J13" i="19"/>
  <c r="D13" i="19"/>
  <c r="B13" i="19"/>
  <c r="A13" i="19"/>
  <c r="R12" i="19"/>
  <c r="Q12" i="19"/>
  <c r="P12" i="19"/>
  <c r="O12" i="19"/>
  <c r="L12" i="19"/>
  <c r="J12" i="19"/>
  <c r="D12" i="19"/>
  <c r="B12" i="19"/>
  <c r="A12" i="19"/>
  <c r="R11" i="19"/>
  <c r="Q11" i="19"/>
  <c r="P11" i="19"/>
  <c r="O11" i="19"/>
  <c r="L11" i="19"/>
  <c r="K11" i="19"/>
  <c r="J11" i="19"/>
  <c r="D11" i="19"/>
  <c r="B11" i="19"/>
  <c r="A11" i="19"/>
  <c r="R10" i="19"/>
  <c r="Q10" i="19"/>
  <c r="P10" i="19"/>
  <c r="O10" i="19"/>
  <c r="N10" i="19"/>
  <c r="M10" i="19"/>
  <c r="L10" i="19"/>
  <c r="K10" i="19"/>
  <c r="J10" i="19"/>
  <c r="D10" i="19"/>
  <c r="B10" i="19"/>
  <c r="A10" i="19"/>
  <c r="R9" i="19"/>
  <c r="Q9" i="19"/>
  <c r="P9" i="19"/>
  <c r="O9" i="19"/>
  <c r="K9" i="19"/>
  <c r="J9" i="19"/>
  <c r="D9" i="19"/>
  <c r="B9" i="19"/>
  <c r="A9" i="19"/>
  <c r="R8" i="19"/>
  <c r="Q8" i="19"/>
  <c r="P8" i="19"/>
  <c r="O8" i="19"/>
  <c r="K8" i="19"/>
  <c r="J8" i="19"/>
  <c r="D8" i="19"/>
  <c r="B8" i="19"/>
  <c r="A8" i="19"/>
  <c r="R7" i="19"/>
  <c r="Q7" i="19"/>
  <c r="P7" i="19"/>
  <c r="O7" i="19"/>
  <c r="J7" i="19"/>
  <c r="D7" i="19"/>
  <c r="B7" i="19"/>
  <c r="A7" i="19"/>
  <c r="R6" i="19"/>
  <c r="Q6" i="19"/>
  <c r="P6" i="19"/>
  <c r="O6" i="19"/>
  <c r="L6" i="19"/>
  <c r="J6" i="19"/>
  <c r="D6" i="19"/>
  <c r="B6" i="19"/>
  <c r="A6" i="19"/>
  <c r="R5" i="19"/>
  <c r="Q5" i="19"/>
  <c r="P5" i="19"/>
  <c r="O5" i="19"/>
  <c r="L5" i="19"/>
  <c r="K5" i="19"/>
  <c r="J5" i="19"/>
  <c r="B5" i="19"/>
  <c r="A5" i="19"/>
  <c r="N4" i="19"/>
  <c r="M4" i="19"/>
  <c r="L4" i="19"/>
  <c r="K4" i="19"/>
  <c r="J4" i="19"/>
  <c r="I4" i="19"/>
  <c r="I24" i="19" s="1"/>
  <c r="H4" i="19"/>
  <c r="H24" i="19" s="1"/>
  <c r="G4" i="19"/>
  <c r="F4" i="19"/>
  <c r="F24" i="19" s="1"/>
  <c r="E4" i="19"/>
  <c r="E24" i="19" s="1"/>
  <c r="D4" i="19"/>
  <c r="B4" i="19"/>
  <c r="A4" i="19"/>
  <c r="S3" i="19"/>
  <c r="R3" i="19"/>
  <c r="Q3" i="19"/>
  <c r="P3" i="19"/>
  <c r="O3" i="19"/>
  <c r="J3" i="19"/>
  <c r="E3" i="19"/>
  <c r="A3" i="19"/>
  <c r="N50" i="18"/>
  <c r="N49" i="18"/>
  <c r="N48" i="18"/>
  <c r="N47" i="18"/>
  <c r="N46" i="18"/>
  <c r="Q45" i="18"/>
  <c r="N45" i="18"/>
  <c r="N44" i="18"/>
  <c r="N43" i="18"/>
  <c r="N42" i="18"/>
  <c r="Q41" i="18"/>
  <c r="N41" i="18"/>
  <c r="N40" i="18"/>
  <c r="N39" i="18"/>
  <c r="N38" i="18"/>
  <c r="Q37" i="18"/>
  <c r="N37" i="18"/>
  <c r="Q36" i="18"/>
  <c r="N36" i="18"/>
  <c r="N35" i="18"/>
  <c r="N34" i="18"/>
  <c r="A34" i="18"/>
  <c r="V33" i="18"/>
  <c r="A33" i="18"/>
  <c r="V32" i="18"/>
  <c r="V31" i="18"/>
  <c r="Q29" i="18"/>
  <c r="A29" i="18"/>
  <c r="Q28" i="18"/>
  <c r="A28" i="18"/>
  <c r="Q27" i="18"/>
  <c r="A27" i="18"/>
  <c r="A26" i="18"/>
  <c r="A25" i="18"/>
  <c r="R21" i="18"/>
  <c r="Q21" i="18"/>
  <c r="P21" i="18"/>
  <c r="O21" i="18"/>
  <c r="N21" i="18"/>
  <c r="M21" i="18"/>
  <c r="L21" i="18"/>
  <c r="K21" i="18"/>
  <c r="J21" i="18"/>
  <c r="D21" i="18"/>
  <c r="B21" i="18"/>
  <c r="A21" i="18"/>
  <c r="R20" i="18"/>
  <c r="Q20" i="18"/>
  <c r="P20" i="18"/>
  <c r="O20" i="18"/>
  <c r="N20" i="18"/>
  <c r="M20" i="18"/>
  <c r="L20" i="18"/>
  <c r="K20" i="18"/>
  <c r="J20" i="18"/>
  <c r="D20" i="18"/>
  <c r="B20" i="18"/>
  <c r="A20" i="18"/>
  <c r="R19" i="18"/>
  <c r="Q19" i="18"/>
  <c r="P19" i="18"/>
  <c r="O19" i="18"/>
  <c r="N19" i="18"/>
  <c r="M19" i="18"/>
  <c r="L19" i="18"/>
  <c r="K19" i="18"/>
  <c r="J19" i="18"/>
  <c r="D19" i="18"/>
  <c r="B19" i="18"/>
  <c r="A19" i="18"/>
  <c r="R18" i="18"/>
  <c r="Q18" i="18"/>
  <c r="P18" i="18"/>
  <c r="O18" i="18"/>
  <c r="K18" i="18"/>
  <c r="J18" i="18"/>
  <c r="D18" i="18"/>
  <c r="B18" i="18"/>
  <c r="A18" i="18"/>
  <c r="R17" i="18"/>
  <c r="Q17" i="18"/>
  <c r="P17" i="18"/>
  <c r="O17" i="18"/>
  <c r="L17" i="18"/>
  <c r="J17" i="18"/>
  <c r="D17" i="18"/>
  <c r="B17" i="18"/>
  <c r="A17" i="18"/>
  <c r="R16" i="18"/>
  <c r="Q16" i="18"/>
  <c r="P16" i="18"/>
  <c r="O16" i="18"/>
  <c r="N16" i="18"/>
  <c r="M16" i="18"/>
  <c r="L16" i="18"/>
  <c r="K16" i="18"/>
  <c r="J16" i="18"/>
  <c r="D16" i="18"/>
  <c r="B16" i="18"/>
  <c r="A16" i="18"/>
  <c r="R15" i="18"/>
  <c r="Q15" i="18"/>
  <c r="P15" i="18"/>
  <c r="O15" i="18"/>
  <c r="N15" i="18"/>
  <c r="M15" i="18"/>
  <c r="L15" i="18"/>
  <c r="K15" i="18"/>
  <c r="J15" i="18"/>
  <c r="D15" i="18"/>
  <c r="B15" i="18"/>
  <c r="A15" i="18"/>
  <c r="R14" i="18"/>
  <c r="Q14" i="18"/>
  <c r="P14" i="18"/>
  <c r="O14" i="18"/>
  <c r="L14" i="18"/>
  <c r="K14" i="18"/>
  <c r="J14" i="18"/>
  <c r="D14" i="18"/>
  <c r="B14" i="18"/>
  <c r="A14" i="18"/>
  <c r="R13" i="18"/>
  <c r="Q13" i="18"/>
  <c r="P13" i="18"/>
  <c r="O13" i="18"/>
  <c r="L13" i="18"/>
  <c r="K13" i="18"/>
  <c r="J13" i="18"/>
  <c r="D13" i="18"/>
  <c r="B13" i="18"/>
  <c r="A13" i="18"/>
  <c r="R12" i="18"/>
  <c r="Q12" i="18"/>
  <c r="P12" i="18"/>
  <c r="O12" i="18"/>
  <c r="L12" i="18"/>
  <c r="J12" i="18"/>
  <c r="D12" i="18"/>
  <c r="B12" i="18"/>
  <c r="A12" i="18"/>
  <c r="R11" i="18"/>
  <c r="Q11" i="18"/>
  <c r="P11" i="18"/>
  <c r="O11" i="18"/>
  <c r="L11" i="18"/>
  <c r="K11" i="18"/>
  <c r="J11" i="18"/>
  <c r="D11" i="18"/>
  <c r="B11" i="18"/>
  <c r="A11" i="18"/>
  <c r="R10" i="18"/>
  <c r="Q10" i="18"/>
  <c r="P10" i="18"/>
  <c r="O10" i="18"/>
  <c r="N10" i="18"/>
  <c r="M10" i="18"/>
  <c r="L10" i="18"/>
  <c r="K10" i="18"/>
  <c r="J10" i="18"/>
  <c r="D10" i="18"/>
  <c r="B10" i="18"/>
  <c r="A10" i="18"/>
  <c r="R9" i="18"/>
  <c r="Q9" i="18"/>
  <c r="P9" i="18"/>
  <c r="O9" i="18"/>
  <c r="K9" i="18"/>
  <c r="J9" i="18"/>
  <c r="D9" i="18"/>
  <c r="B9" i="18"/>
  <c r="A9" i="18"/>
  <c r="R8" i="18"/>
  <c r="Q8" i="18"/>
  <c r="P8" i="18"/>
  <c r="O8" i="18"/>
  <c r="K8" i="18"/>
  <c r="J8" i="18"/>
  <c r="D8" i="18"/>
  <c r="B8" i="18"/>
  <c r="A8" i="18"/>
  <c r="R7" i="18"/>
  <c r="Q7" i="18"/>
  <c r="P7" i="18"/>
  <c r="O7" i="18"/>
  <c r="J7" i="18"/>
  <c r="D7" i="18"/>
  <c r="B7" i="18"/>
  <c r="A7" i="18"/>
  <c r="R6" i="18"/>
  <c r="Q6" i="18"/>
  <c r="P6" i="18"/>
  <c r="O6" i="18"/>
  <c r="L6" i="18"/>
  <c r="J6" i="18"/>
  <c r="D6" i="18"/>
  <c r="B6" i="18"/>
  <c r="A6" i="18"/>
  <c r="R5" i="18"/>
  <c r="Q5" i="18"/>
  <c r="P5" i="18"/>
  <c r="O5" i="18"/>
  <c r="L5" i="18"/>
  <c r="K5" i="18"/>
  <c r="J5" i="18"/>
  <c r="B5" i="18"/>
  <c r="A5" i="18"/>
  <c r="N4" i="18"/>
  <c r="M4" i="18"/>
  <c r="L4" i="18"/>
  <c r="K4" i="18"/>
  <c r="J4" i="18"/>
  <c r="I4" i="18"/>
  <c r="I24" i="18" s="1"/>
  <c r="H4" i="18"/>
  <c r="H24" i="18" s="1"/>
  <c r="G4" i="18"/>
  <c r="G24" i="18" s="1"/>
  <c r="F4" i="18"/>
  <c r="F24" i="18" s="1"/>
  <c r="E4" i="18"/>
  <c r="E24" i="18" s="1"/>
  <c r="D4" i="18"/>
  <c r="B4" i="18"/>
  <c r="A4" i="18"/>
  <c r="S3" i="18"/>
  <c r="R3" i="18"/>
  <c r="Q3" i="18"/>
  <c r="P3" i="18"/>
  <c r="O3" i="18"/>
  <c r="J3" i="18"/>
  <c r="E3" i="18"/>
  <c r="A3" i="18"/>
  <c r="T34" i="1"/>
  <c r="U20" i="19" s="1"/>
  <c r="T19" i="1"/>
  <c r="U5" i="19" s="1"/>
  <c r="R19" i="1"/>
  <c r="T5" i="19" s="1"/>
  <c r="N20" i="1"/>
  <c r="U6" i="18" s="1"/>
  <c r="N21" i="1"/>
  <c r="U7" i="18" s="1"/>
  <c r="N34" i="1"/>
  <c r="U20" i="18" s="1"/>
  <c r="L20" i="1"/>
  <c r="T6" i="18" s="1"/>
  <c r="L21" i="1"/>
  <c r="T7" i="18" s="1"/>
  <c r="L19" i="1"/>
  <c r="T5" i="18" s="1"/>
  <c r="E34" i="18" l="1"/>
  <c r="F34" i="18" s="1"/>
  <c r="E33" i="18"/>
  <c r="F33" i="18" s="1"/>
  <c r="X5" i="18"/>
  <c r="L25" i="18"/>
  <c r="T21" i="1"/>
  <c r="U7" i="19" s="1"/>
  <c r="L25" i="19"/>
  <c r="R21" i="1"/>
  <c r="T7" i="19" s="1"/>
  <c r="T20" i="1"/>
  <c r="U6" i="19" s="1"/>
  <c r="X20" i="19"/>
  <c r="AA20" i="18"/>
  <c r="X7" i="18"/>
  <c r="R20" i="1"/>
  <c r="T6" i="19" s="1"/>
  <c r="AB20" i="19"/>
  <c r="L26" i="19"/>
  <c r="W5" i="19"/>
  <c r="AA5" i="19"/>
  <c r="K25" i="19"/>
  <c r="K26" i="19"/>
  <c r="X5" i="19"/>
  <c r="W6" i="19"/>
  <c r="AC20" i="19"/>
  <c r="X6" i="18"/>
  <c r="W6" i="18"/>
  <c r="W5" i="18"/>
  <c r="X20" i="18"/>
  <c r="AB20" i="18"/>
  <c r="K25" i="18"/>
  <c r="K26" i="18"/>
  <c r="AC20" i="18"/>
  <c r="L26" i="18"/>
  <c r="W7" i="18"/>
  <c r="N48" i="13"/>
  <c r="N49" i="13"/>
  <c r="N50" i="13"/>
  <c r="N47" i="13"/>
  <c r="V32" i="13"/>
  <c r="V33" i="13"/>
  <c r="V31" i="13"/>
  <c r="N46" i="13"/>
  <c r="T5" i="13"/>
  <c r="N35" i="13"/>
  <c r="N36" i="13"/>
  <c r="N37" i="13"/>
  <c r="N38" i="13"/>
  <c r="N39" i="13"/>
  <c r="N40" i="13"/>
  <c r="N41" i="13"/>
  <c r="N42" i="13"/>
  <c r="N43" i="13"/>
  <c r="N44" i="13"/>
  <c r="N45" i="13"/>
  <c r="N34" i="13"/>
  <c r="Q36" i="13"/>
  <c r="Q37" i="13"/>
  <c r="Q41" i="13"/>
  <c r="Q42" i="13"/>
  <c r="Q43" i="13"/>
  <c r="Q44" i="13"/>
  <c r="Q45" i="13"/>
  <c r="C71" i="6"/>
  <c r="C70" i="6"/>
  <c r="C69" i="6"/>
  <c r="V6" i="13"/>
  <c r="V7" i="13"/>
  <c r="V8" i="13"/>
  <c r="V9" i="13"/>
  <c r="V10" i="13"/>
  <c r="V11" i="13"/>
  <c r="V12" i="13"/>
  <c r="V13" i="13"/>
  <c r="V14" i="13"/>
  <c r="V15" i="13"/>
  <c r="V16" i="13"/>
  <c r="V17" i="13"/>
  <c r="V18" i="13"/>
  <c r="V19" i="13"/>
  <c r="V20" i="13"/>
  <c r="V21" i="13"/>
  <c r="V5" i="13"/>
  <c r="U5" i="13"/>
  <c r="Q29" i="13"/>
  <c r="Q28" i="13"/>
  <c r="Q27" i="13"/>
  <c r="A29" i="13"/>
  <c r="A28" i="13"/>
  <c r="A27" i="13"/>
  <c r="A26" i="13"/>
  <c r="A25" i="13"/>
  <c r="B29" i="13"/>
  <c r="B28" i="13"/>
  <c r="B27" i="13"/>
  <c r="B26" i="13"/>
  <c r="B25" i="13"/>
  <c r="U6" i="13"/>
  <c r="U7" i="13"/>
  <c r="U20" i="13"/>
  <c r="D34" i="13"/>
  <c r="D33" i="13"/>
  <c r="E33" i="13" s="1"/>
  <c r="A34" i="13"/>
  <c r="A33" i="13"/>
  <c r="T6" i="13"/>
  <c r="T7" i="13"/>
  <c r="P3" i="13"/>
  <c r="Q3" i="13"/>
  <c r="R3" i="13"/>
  <c r="S3" i="13"/>
  <c r="O3" i="13"/>
  <c r="J3" i="13"/>
  <c r="E3" i="13"/>
  <c r="A3" i="13"/>
  <c r="G5" i="13"/>
  <c r="G5" i="18" s="1"/>
  <c r="G5" i="19" s="1"/>
  <c r="J5" i="13"/>
  <c r="K5" i="13"/>
  <c r="L5" i="13"/>
  <c r="O5" i="13"/>
  <c r="P5" i="13"/>
  <c r="Q5" i="13"/>
  <c r="R5" i="13"/>
  <c r="G6" i="13"/>
  <c r="G6" i="18" s="1"/>
  <c r="G6" i="19" s="1"/>
  <c r="J6" i="13"/>
  <c r="L6" i="13"/>
  <c r="O6" i="13"/>
  <c r="P6" i="13"/>
  <c r="Q6" i="13"/>
  <c r="R6" i="13"/>
  <c r="J7" i="13"/>
  <c r="O7" i="13"/>
  <c r="P7" i="13"/>
  <c r="Q7" i="13"/>
  <c r="R7" i="13"/>
  <c r="J8" i="13"/>
  <c r="K8" i="13"/>
  <c r="O8" i="13"/>
  <c r="P8" i="13"/>
  <c r="Q8" i="13"/>
  <c r="R8" i="13"/>
  <c r="J9" i="13"/>
  <c r="K9" i="13"/>
  <c r="O9" i="13"/>
  <c r="P9" i="13"/>
  <c r="Q9" i="13"/>
  <c r="R9" i="13"/>
  <c r="G10" i="13"/>
  <c r="G10" i="18" s="1"/>
  <c r="G10" i="19" s="1"/>
  <c r="J10" i="13"/>
  <c r="K10" i="13"/>
  <c r="L10" i="13"/>
  <c r="M10" i="13"/>
  <c r="N10" i="13"/>
  <c r="O10" i="13"/>
  <c r="P10" i="13"/>
  <c r="Q10" i="13"/>
  <c r="R10" i="13"/>
  <c r="G11" i="13"/>
  <c r="G11" i="18" s="1"/>
  <c r="G11" i="19" s="1"/>
  <c r="J11" i="13"/>
  <c r="K11" i="13"/>
  <c r="L11" i="13"/>
  <c r="O11" i="13"/>
  <c r="P11" i="13"/>
  <c r="Q11" i="13"/>
  <c r="R11" i="13"/>
  <c r="G12" i="13"/>
  <c r="G12" i="18" s="1"/>
  <c r="G12" i="19" s="1"/>
  <c r="J12" i="13"/>
  <c r="L12" i="13"/>
  <c r="O12" i="13"/>
  <c r="P12" i="13"/>
  <c r="Q12" i="13"/>
  <c r="R12" i="13"/>
  <c r="J13" i="13"/>
  <c r="K13" i="13"/>
  <c r="L13" i="13"/>
  <c r="O13" i="13"/>
  <c r="P13" i="13"/>
  <c r="Q13" i="13"/>
  <c r="R13" i="13"/>
  <c r="G14" i="13"/>
  <c r="G14" i="18" s="1"/>
  <c r="G14" i="19" s="1"/>
  <c r="J14" i="13"/>
  <c r="K14" i="13"/>
  <c r="L14" i="13"/>
  <c r="O14" i="13"/>
  <c r="P14" i="13"/>
  <c r="Q14" i="13"/>
  <c r="R14" i="13"/>
  <c r="G15" i="13"/>
  <c r="G15" i="18" s="1"/>
  <c r="G15" i="19" s="1"/>
  <c r="H15" i="13"/>
  <c r="H15" i="18" s="1"/>
  <c r="H15" i="19" s="1"/>
  <c r="I15" i="13"/>
  <c r="I15" i="18" s="1"/>
  <c r="I15" i="19" s="1"/>
  <c r="J15" i="13"/>
  <c r="K15" i="13"/>
  <c r="L15" i="13"/>
  <c r="M15" i="13"/>
  <c r="N15" i="13"/>
  <c r="O15" i="13"/>
  <c r="P15" i="13"/>
  <c r="Q15" i="13"/>
  <c r="R15" i="13"/>
  <c r="G16" i="13"/>
  <c r="G16" i="18" s="1"/>
  <c r="G16" i="19" s="1"/>
  <c r="H16" i="13"/>
  <c r="H16" i="18" s="1"/>
  <c r="H16" i="19" s="1"/>
  <c r="I16" i="13"/>
  <c r="I16" i="18" s="1"/>
  <c r="I16" i="19" s="1"/>
  <c r="J16" i="13"/>
  <c r="K16" i="13"/>
  <c r="L16" i="13"/>
  <c r="M16" i="13"/>
  <c r="N16" i="13"/>
  <c r="O16" i="13"/>
  <c r="P16" i="13"/>
  <c r="Q16" i="13"/>
  <c r="R16" i="13"/>
  <c r="J17" i="13"/>
  <c r="L17" i="13"/>
  <c r="O17" i="13"/>
  <c r="P17" i="13"/>
  <c r="Q17" i="13"/>
  <c r="R17" i="13"/>
  <c r="J18" i="13"/>
  <c r="K18" i="13"/>
  <c r="O18" i="13"/>
  <c r="P18" i="13"/>
  <c r="Q18" i="13"/>
  <c r="R18" i="13"/>
  <c r="G19" i="13"/>
  <c r="G19" i="18" s="1"/>
  <c r="G19" i="19" s="1"/>
  <c r="J19" i="13"/>
  <c r="K19" i="13"/>
  <c r="L19" i="13"/>
  <c r="M19" i="13"/>
  <c r="N19" i="13"/>
  <c r="O19" i="13"/>
  <c r="P19" i="13"/>
  <c r="Q19" i="13"/>
  <c r="R19" i="13"/>
  <c r="G20" i="13"/>
  <c r="G20" i="18" s="1"/>
  <c r="G20" i="19" s="1"/>
  <c r="H20" i="13"/>
  <c r="H20" i="18" s="1"/>
  <c r="H20" i="19" s="1"/>
  <c r="I20" i="13"/>
  <c r="I20" i="18" s="1"/>
  <c r="I20" i="19" s="1"/>
  <c r="J20" i="13"/>
  <c r="K20" i="13"/>
  <c r="L20" i="13"/>
  <c r="M20" i="13"/>
  <c r="N20" i="13"/>
  <c r="O20" i="13"/>
  <c r="P20" i="13"/>
  <c r="Q20" i="13"/>
  <c r="R20" i="13"/>
  <c r="G21" i="13"/>
  <c r="G21" i="18" s="1"/>
  <c r="G21" i="19" s="1"/>
  <c r="H21" i="13"/>
  <c r="H21" i="18" s="1"/>
  <c r="H21" i="19" s="1"/>
  <c r="I21" i="13"/>
  <c r="I21" i="18" s="1"/>
  <c r="I21" i="19" s="1"/>
  <c r="J21" i="13"/>
  <c r="K21" i="13"/>
  <c r="L21" i="13"/>
  <c r="M21" i="13"/>
  <c r="N21" i="13"/>
  <c r="O21" i="13"/>
  <c r="P21" i="13"/>
  <c r="Q21" i="13"/>
  <c r="R21" i="13"/>
  <c r="F5" i="13"/>
  <c r="F5" i="18" s="1"/>
  <c r="F5" i="19" s="1"/>
  <c r="Z5" i="19" s="1"/>
  <c r="F8" i="13"/>
  <c r="F8" i="18" s="1"/>
  <c r="F8" i="19" s="1"/>
  <c r="F9" i="13"/>
  <c r="F9" i="18" s="1"/>
  <c r="F9" i="19" s="1"/>
  <c r="F10" i="13"/>
  <c r="F10" i="18" s="1"/>
  <c r="F10" i="19" s="1"/>
  <c r="F11" i="13"/>
  <c r="F11" i="18" s="1"/>
  <c r="F11" i="19" s="1"/>
  <c r="F13" i="13"/>
  <c r="F13" i="18" s="1"/>
  <c r="F13" i="19" s="1"/>
  <c r="F14" i="13"/>
  <c r="F14" i="18" s="1"/>
  <c r="F14" i="19" s="1"/>
  <c r="F15" i="13"/>
  <c r="F15" i="18" s="1"/>
  <c r="F15" i="19" s="1"/>
  <c r="F16" i="13"/>
  <c r="F16" i="18" s="1"/>
  <c r="F16" i="19" s="1"/>
  <c r="F18" i="13"/>
  <c r="F18" i="18" s="1"/>
  <c r="F18" i="19" s="1"/>
  <c r="F19" i="13"/>
  <c r="F19" i="18" s="1"/>
  <c r="F19" i="19" s="1"/>
  <c r="F20" i="13"/>
  <c r="F20" i="18" s="1"/>
  <c r="F20" i="19" s="1"/>
  <c r="Z20" i="19" s="1"/>
  <c r="F21" i="13"/>
  <c r="F21" i="18" s="1"/>
  <c r="F21" i="19" s="1"/>
  <c r="E5" i="13"/>
  <c r="E5" i="18" s="1"/>
  <c r="E5" i="19" s="1"/>
  <c r="E6" i="13"/>
  <c r="E6" i="18" s="1"/>
  <c r="E6" i="19" s="1"/>
  <c r="E7" i="13"/>
  <c r="E7" i="18" s="1"/>
  <c r="E7" i="19" s="1"/>
  <c r="E8" i="13"/>
  <c r="E8" i="18" s="1"/>
  <c r="E8" i="19" s="1"/>
  <c r="E9" i="13"/>
  <c r="E9" i="18" s="1"/>
  <c r="E9" i="19" s="1"/>
  <c r="E10" i="13"/>
  <c r="E10" i="18" s="1"/>
  <c r="E10" i="19" s="1"/>
  <c r="E11" i="13"/>
  <c r="E11" i="18" s="1"/>
  <c r="E11" i="19" s="1"/>
  <c r="E12" i="13"/>
  <c r="E12" i="18" s="1"/>
  <c r="E12" i="19" s="1"/>
  <c r="E13" i="13"/>
  <c r="E13" i="18" s="1"/>
  <c r="E13" i="19" s="1"/>
  <c r="E14" i="13"/>
  <c r="E14" i="18" s="1"/>
  <c r="E14" i="19" s="1"/>
  <c r="E15" i="13"/>
  <c r="E15" i="18" s="1"/>
  <c r="E15" i="19" s="1"/>
  <c r="E16" i="13"/>
  <c r="E16" i="18" s="1"/>
  <c r="E16" i="19" s="1"/>
  <c r="E17" i="13"/>
  <c r="E17" i="18" s="1"/>
  <c r="E17" i="19" s="1"/>
  <c r="E18" i="13"/>
  <c r="E18" i="18" s="1"/>
  <c r="E18" i="19" s="1"/>
  <c r="E19" i="13"/>
  <c r="E19" i="18" s="1"/>
  <c r="E19" i="19" s="1"/>
  <c r="E20" i="13"/>
  <c r="E20" i="18" s="1"/>
  <c r="E20" i="19" s="1"/>
  <c r="E21" i="13"/>
  <c r="E21" i="18" s="1"/>
  <c r="E21" i="19" s="1"/>
  <c r="D6" i="13"/>
  <c r="D7" i="13"/>
  <c r="D8" i="13"/>
  <c r="D9" i="13"/>
  <c r="D10" i="13"/>
  <c r="D11" i="13"/>
  <c r="D12" i="13"/>
  <c r="D13" i="13"/>
  <c r="D14" i="13"/>
  <c r="D15" i="13"/>
  <c r="D16" i="13"/>
  <c r="D17" i="13"/>
  <c r="D18" i="13"/>
  <c r="D19" i="13"/>
  <c r="D20" i="13"/>
  <c r="D21" i="13"/>
  <c r="B5" i="13"/>
  <c r="B6" i="13"/>
  <c r="B7" i="13"/>
  <c r="B8" i="13"/>
  <c r="B9" i="13"/>
  <c r="B10" i="13"/>
  <c r="B11" i="13"/>
  <c r="B12" i="13"/>
  <c r="B13" i="13"/>
  <c r="B14" i="13"/>
  <c r="B15" i="13"/>
  <c r="B16" i="13"/>
  <c r="B17" i="13"/>
  <c r="B18" i="13"/>
  <c r="B19" i="13"/>
  <c r="B20" i="13"/>
  <c r="B21" i="13"/>
  <c r="A5" i="13"/>
  <c r="A6" i="13"/>
  <c r="A7" i="13"/>
  <c r="A8" i="13"/>
  <c r="A9" i="13"/>
  <c r="A10" i="13"/>
  <c r="A11" i="13"/>
  <c r="A12" i="13"/>
  <c r="A13" i="13"/>
  <c r="A14" i="13"/>
  <c r="A15" i="13"/>
  <c r="A16" i="13"/>
  <c r="A17" i="13"/>
  <c r="A18" i="13"/>
  <c r="A19" i="13"/>
  <c r="A20" i="13"/>
  <c r="A21" i="13"/>
  <c r="B4" i="13"/>
  <c r="D4" i="13"/>
  <c r="E4" i="13"/>
  <c r="E24" i="13" s="1"/>
  <c r="F4" i="13"/>
  <c r="F24" i="13" s="1"/>
  <c r="G4" i="13"/>
  <c r="G24" i="13" s="1"/>
  <c r="H4" i="13"/>
  <c r="H24" i="13" s="1"/>
  <c r="I4" i="13"/>
  <c r="I24" i="13" s="1"/>
  <c r="J4" i="13"/>
  <c r="K4" i="13"/>
  <c r="L4" i="13"/>
  <c r="M4" i="13"/>
  <c r="N4" i="13"/>
  <c r="A4" i="13"/>
  <c r="F22" i="1"/>
  <c r="F23" i="1"/>
  <c r="F24" i="1"/>
  <c r="F25" i="1"/>
  <c r="F26" i="1"/>
  <c r="F27" i="1"/>
  <c r="F28" i="1"/>
  <c r="F29" i="1"/>
  <c r="F30" i="1"/>
  <c r="F31" i="1"/>
  <c r="F32" i="1"/>
  <c r="F33" i="1"/>
  <c r="F34" i="1"/>
  <c r="F35" i="1"/>
  <c r="Z20" i="18" l="1"/>
  <c r="Q43" i="18"/>
  <c r="Q43" i="19"/>
  <c r="X6" i="19"/>
  <c r="Y6" i="19" s="1"/>
  <c r="X7" i="19"/>
  <c r="Q42" i="18"/>
  <c r="Q42" i="19"/>
  <c r="AA20" i="19"/>
  <c r="Q44" i="19"/>
  <c r="Q44" i="18"/>
  <c r="W7" i="19"/>
  <c r="Y7" i="19" s="1"/>
  <c r="AA5" i="18"/>
  <c r="Y7" i="18"/>
  <c r="E34" i="13"/>
  <c r="F34" i="13" s="1"/>
  <c r="Y5" i="18"/>
  <c r="AA5" i="13"/>
  <c r="Y6" i="18"/>
  <c r="Y5" i="19"/>
  <c r="T13" i="13"/>
  <c r="L27" i="1"/>
  <c r="T21" i="13"/>
  <c r="L35" i="1"/>
  <c r="T20" i="13"/>
  <c r="W20" i="13" s="1"/>
  <c r="L34" i="1"/>
  <c r="T16" i="13"/>
  <c r="L30" i="1"/>
  <c r="T12" i="13"/>
  <c r="L26" i="1"/>
  <c r="T8" i="13"/>
  <c r="L22" i="1"/>
  <c r="T17" i="13"/>
  <c r="L31" i="1"/>
  <c r="T19" i="13"/>
  <c r="L33" i="1"/>
  <c r="T15" i="13"/>
  <c r="L29" i="1"/>
  <c r="T11" i="13"/>
  <c r="L25" i="1"/>
  <c r="T9" i="13"/>
  <c r="L23" i="1"/>
  <c r="T18" i="13"/>
  <c r="L32" i="1"/>
  <c r="T14" i="13"/>
  <c r="L28" i="1"/>
  <c r="T10" i="13"/>
  <c r="L24" i="1"/>
  <c r="L25" i="13"/>
  <c r="K26" i="13"/>
  <c r="X7" i="13"/>
  <c r="AA20" i="13"/>
  <c r="W7" i="13"/>
  <c r="W5" i="13"/>
  <c r="Z20" i="13"/>
  <c r="L26" i="13"/>
  <c r="K25" i="13"/>
  <c r="X6" i="13"/>
  <c r="W6" i="13"/>
  <c r="Z5" i="13"/>
  <c r="X20" i="13"/>
  <c r="X5" i="13"/>
  <c r="F33" i="13"/>
  <c r="R24" i="14"/>
  <c r="R25" i="14"/>
  <c r="R29" i="14"/>
  <c r="R30" i="14"/>
  <c r="D20" i="1"/>
  <c r="D21" i="1"/>
  <c r="D22" i="1"/>
  <c r="H22" i="1" s="1"/>
  <c r="D23" i="1"/>
  <c r="H23" i="1" s="1"/>
  <c r="D24" i="1"/>
  <c r="H24" i="1" s="1"/>
  <c r="D25" i="1"/>
  <c r="H25" i="1" s="1"/>
  <c r="D26" i="1"/>
  <c r="H26" i="1" s="1"/>
  <c r="D27" i="1"/>
  <c r="H27" i="1" s="1"/>
  <c r="D28" i="1"/>
  <c r="H28" i="1" s="1"/>
  <c r="D29" i="1"/>
  <c r="H29" i="1" s="1"/>
  <c r="D30" i="1"/>
  <c r="H30" i="1" s="1"/>
  <c r="D31" i="1"/>
  <c r="H31" i="1" s="1"/>
  <c r="D32" i="1"/>
  <c r="H32" i="1" s="1"/>
  <c r="D33" i="1"/>
  <c r="H33" i="1" s="1"/>
  <c r="D34" i="1"/>
  <c r="D35" i="1"/>
  <c r="H35" i="1" s="1"/>
  <c r="D19" i="1"/>
  <c r="A87" i="1"/>
  <c r="A34" i="1" s="1"/>
  <c r="A88" i="1"/>
  <c r="A35" i="1" s="1"/>
  <c r="A85" i="1"/>
  <c r="A32" i="1" s="1"/>
  <c r="A86" i="1"/>
  <c r="A33" i="1" s="1"/>
  <c r="A73" i="1"/>
  <c r="A20" i="1" s="1"/>
  <c r="A74" i="1"/>
  <c r="A21" i="1" s="1"/>
  <c r="A75" i="1"/>
  <c r="A22" i="1" s="1"/>
  <c r="A76" i="1"/>
  <c r="A23" i="1" s="1"/>
  <c r="A77" i="1"/>
  <c r="A24" i="1" s="1"/>
  <c r="A78" i="1"/>
  <c r="A25" i="1" s="1"/>
  <c r="A79" i="1"/>
  <c r="A26" i="1" s="1"/>
  <c r="A80" i="1"/>
  <c r="A27" i="1" s="1"/>
  <c r="A81" i="1"/>
  <c r="A28" i="1" s="1"/>
  <c r="A82" i="1"/>
  <c r="A29" i="1" s="1"/>
  <c r="A83" i="1"/>
  <c r="A30" i="1" s="1"/>
  <c r="A84" i="1"/>
  <c r="A31" i="1" s="1"/>
  <c r="A72" i="1"/>
  <c r="A19" i="1" s="1"/>
  <c r="D16" i="1"/>
  <c r="D15" i="1"/>
  <c r="D87" i="1" l="1"/>
  <c r="S20" i="19"/>
  <c r="S20" i="18"/>
  <c r="S20" i="13"/>
  <c r="D83" i="1"/>
  <c r="S16" i="19"/>
  <c r="S16" i="18"/>
  <c r="S16" i="13"/>
  <c r="D82" i="1"/>
  <c r="S15" i="18"/>
  <c r="S15" i="19"/>
  <c r="S15" i="13"/>
  <c r="D88" i="1"/>
  <c r="S21" i="19"/>
  <c r="S21" i="18"/>
  <c r="S21" i="13"/>
  <c r="Y7" i="13"/>
  <c r="R24" i="1"/>
  <c r="T10" i="19" s="1"/>
  <c r="T10" i="18"/>
  <c r="R32" i="1"/>
  <c r="T18" i="19" s="1"/>
  <c r="T18" i="18"/>
  <c r="R25" i="1"/>
  <c r="T11" i="19" s="1"/>
  <c r="T11" i="18"/>
  <c r="R33" i="1"/>
  <c r="T19" i="19" s="1"/>
  <c r="T19" i="18"/>
  <c r="R22" i="1"/>
  <c r="T8" i="19" s="1"/>
  <c r="T8" i="18"/>
  <c r="R30" i="1"/>
  <c r="T16" i="19" s="1"/>
  <c r="T16" i="18"/>
  <c r="R35" i="1"/>
  <c r="T21" i="19" s="1"/>
  <c r="T21" i="18"/>
  <c r="R28" i="1"/>
  <c r="T14" i="19" s="1"/>
  <c r="T14" i="18"/>
  <c r="R23" i="1"/>
  <c r="T9" i="19" s="1"/>
  <c r="T9" i="18"/>
  <c r="R29" i="1"/>
  <c r="T15" i="19" s="1"/>
  <c r="T15" i="18"/>
  <c r="R31" i="1"/>
  <c r="T17" i="19" s="1"/>
  <c r="T17" i="18"/>
  <c r="R26" i="1"/>
  <c r="T12" i="19" s="1"/>
  <c r="T12" i="18"/>
  <c r="R34" i="1"/>
  <c r="T20" i="19" s="1"/>
  <c r="W20" i="19" s="1"/>
  <c r="Y20" i="19" s="1"/>
  <c r="AD20" i="19" s="1"/>
  <c r="T87" i="1" s="1"/>
  <c r="T20" i="18"/>
  <c r="W20" i="18" s="1"/>
  <c r="Y20" i="18" s="1"/>
  <c r="AD20" i="18" s="1"/>
  <c r="N87" i="1" s="1"/>
  <c r="R27" i="1"/>
  <c r="T13" i="19" s="1"/>
  <c r="T13" i="18"/>
  <c r="U19" i="13"/>
  <c r="W19" i="13" s="1"/>
  <c r="N33" i="1"/>
  <c r="U15" i="13"/>
  <c r="X15" i="13" s="1"/>
  <c r="N29" i="1"/>
  <c r="U11" i="13"/>
  <c r="W11" i="13" s="1"/>
  <c r="N25" i="1"/>
  <c r="U18" i="13"/>
  <c r="Z18" i="13" s="1"/>
  <c r="N32" i="1"/>
  <c r="U14" i="13"/>
  <c r="Z14" i="13" s="1"/>
  <c r="N28" i="1"/>
  <c r="U10" i="13"/>
  <c r="Z10" i="13" s="1"/>
  <c r="N24" i="1"/>
  <c r="U21" i="13"/>
  <c r="AC21" i="13" s="1"/>
  <c r="N35" i="1"/>
  <c r="U17" i="13"/>
  <c r="N31" i="1"/>
  <c r="U13" i="13"/>
  <c r="W13" i="13" s="1"/>
  <c r="N27" i="1"/>
  <c r="U9" i="13"/>
  <c r="W9" i="13" s="1"/>
  <c r="N23" i="1"/>
  <c r="U16" i="13"/>
  <c r="X16" i="13" s="1"/>
  <c r="N30" i="1"/>
  <c r="U12" i="13"/>
  <c r="N26" i="1"/>
  <c r="N22" i="1"/>
  <c r="T12" i="1"/>
  <c r="N12" i="1"/>
  <c r="T10" i="1"/>
  <c r="N10" i="1"/>
  <c r="T8" i="1"/>
  <c r="N8" i="1"/>
  <c r="T6" i="1"/>
  <c r="N6" i="1"/>
  <c r="U8" i="13"/>
  <c r="H8" i="1"/>
  <c r="H6" i="1"/>
  <c r="Y20" i="13"/>
  <c r="Y6" i="13"/>
  <c r="Y5" i="13"/>
  <c r="H12" i="1"/>
  <c r="H10" i="1"/>
  <c r="L8" i="17"/>
  <c r="M8" i="17" s="1"/>
  <c r="L9" i="17"/>
  <c r="L10" i="17"/>
  <c r="M10" i="17" s="1"/>
  <c r="D59" i="1"/>
  <c r="J3" i="11"/>
  <c r="J2" i="11"/>
  <c r="C4" i="11"/>
  <c r="D4" i="11" s="1"/>
  <c r="C1" i="11"/>
  <c r="F1" i="11" s="1"/>
  <c r="F22" i="14"/>
  <c r="G13" i="13" s="1"/>
  <c r="G13" i="18" s="1"/>
  <c r="G13" i="19" s="1"/>
  <c r="J15" i="14"/>
  <c r="E15" i="14"/>
  <c r="F6" i="13" s="1"/>
  <c r="K16" i="14"/>
  <c r="F16" i="14"/>
  <c r="G7" i="13" s="1"/>
  <c r="G7" i="18" s="1"/>
  <c r="G7" i="19" s="1"/>
  <c r="J16" i="14"/>
  <c r="E16" i="14"/>
  <c r="F7" i="13" s="1"/>
  <c r="K18" i="14"/>
  <c r="K17" i="14"/>
  <c r="F18" i="14"/>
  <c r="G9" i="13" s="1"/>
  <c r="G9" i="18" s="1"/>
  <c r="G9" i="19" s="1"/>
  <c r="F17" i="14"/>
  <c r="G8" i="13" s="1"/>
  <c r="G8" i="18" s="1"/>
  <c r="G8" i="19" s="1"/>
  <c r="K27" i="14"/>
  <c r="F27" i="14"/>
  <c r="G18" i="13" s="1"/>
  <c r="G18" i="18" s="1"/>
  <c r="G18" i="19" s="1"/>
  <c r="J21" i="14"/>
  <c r="E21" i="14"/>
  <c r="F12" i="13" s="1"/>
  <c r="F12" i="18" s="1"/>
  <c r="F12" i="19" s="1"/>
  <c r="J26" i="14"/>
  <c r="E26" i="14"/>
  <c r="F17" i="13" s="1"/>
  <c r="F17" i="18" s="1"/>
  <c r="F17" i="19" s="1"/>
  <c r="AA17" i="13" l="1"/>
  <c r="F6" i="18"/>
  <c r="AA6" i="13"/>
  <c r="Z6" i="13"/>
  <c r="K12" i="19"/>
  <c r="K12" i="18"/>
  <c r="K12" i="13"/>
  <c r="K6" i="18"/>
  <c r="K6" i="19"/>
  <c r="K6" i="13"/>
  <c r="L18" i="18"/>
  <c r="L18" i="19"/>
  <c r="L18" i="13"/>
  <c r="F7" i="18"/>
  <c r="Z7" i="13"/>
  <c r="AA7" i="13"/>
  <c r="Z12" i="13"/>
  <c r="L7" i="19"/>
  <c r="L7" i="18"/>
  <c r="L7" i="13"/>
  <c r="L8" i="18"/>
  <c r="L8" i="19"/>
  <c r="L8" i="13"/>
  <c r="L9" i="18"/>
  <c r="L9" i="19"/>
  <c r="L9" i="13"/>
  <c r="K7" i="18"/>
  <c r="K7" i="19"/>
  <c r="K7" i="13"/>
  <c r="K17" i="18"/>
  <c r="K17" i="19"/>
  <c r="K17" i="13"/>
  <c r="K43" i="19"/>
  <c r="K36" i="19"/>
  <c r="K35" i="19"/>
  <c r="K42" i="19"/>
  <c r="L42" i="19" s="1"/>
  <c r="K34" i="18"/>
  <c r="K41" i="18"/>
  <c r="K36" i="18"/>
  <c r="K43" i="18"/>
  <c r="K41" i="19"/>
  <c r="K34" i="19"/>
  <c r="K35" i="18"/>
  <c r="K42" i="18"/>
  <c r="L42" i="18" s="1"/>
  <c r="I26" i="18" s="1"/>
  <c r="N26" i="18" s="1"/>
  <c r="K37" i="18"/>
  <c r="L37" i="18" s="1"/>
  <c r="K44" i="18"/>
  <c r="K44" i="19"/>
  <c r="L44" i="19" s="1"/>
  <c r="K37" i="19"/>
  <c r="L37" i="19" s="1"/>
  <c r="W18" i="13"/>
  <c r="W15" i="13"/>
  <c r="Y15" i="13" s="1"/>
  <c r="Z17" i="13"/>
  <c r="AC16" i="13"/>
  <c r="W14" i="13"/>
  <c r="T22" i="1"/>
  <c r="U8" i="19" s="1"/>
  <c r="U8" i="18"/>
  <c r="AB21" i="13"/>
  <c r="X11" i="13"/>
  <c r="Y11" i="13" s="1"/>
  <c r="T26" i="1"/>
  <c r="U12" i="19" s="1"/>
  <c r="U12" i="18"/>
  <c r="T23" i="1"/>
  <c r="U9" i="19" s="1"/>
  <c r="U9" i="18"/>
  <c r="T31" i="1"/>
  <c r="U17" i="19" s="1"/>
  <c r="U17" i="18"/>
  <c r="W17" i="18" s="1"/>
  <c r="T24" i="1"/>
  <c r="U10" i="19" s="1"/>
  <c r="U10" i="18"/>
  <c r="T32" i="1"/>
  <c r="U18" i="19" s="1"/>
  <c r="U18" i="18"/>
  <c r="T29" i="1"/>
  <c r="U15" i="19" s="1"/>
  <c r="U15" i="18"/>
  <c r="AA13" i="13"/>
  <c r="Z19" i="13"/>
  <c r="T30" i="1"/>
  <c r="U16" i="19" s="1"/>
  <c r="U16" i="18"/>
  <c r="T27" i="1"/>
  <c r="U13" i="19" s="1"/>
  <c r="U13" i="18"/>
  <c r="T35" i="1"/>
  <c r="U21" i="19" s="1"/>
  <c r="U21" i="18"/>
  <c r="T28" i="1"/>
  <c r="U14" i="19" s="1"/>
  <c r="U14" i="18"/>
  <c r="T25" i="1"/>
  <c r="U11" i="19" s="1"/>
  <c r="U11" i="18"/>
  <c r="T33" i="1"/>
  <c r="U19" i="19" s="1"/>
  <c r="U19" i="18"/>
  <c r="L44" i="18"/>
  <c r="AA9" i="13"/>
  <c r="W10" i="13"/>
  <c r="Z11" i="13"/>
  <c r="AA19" i="13"/>
  <c r="Z13" i="13"/>
  <c r="Z21" i="13"/>
  <c r="X10" i="13"/>
  <c r="X18" i="13"/>
  <c r="Y18" i="13" s="1"/>
  <c r="AA11" i="13"/>
  <c r="X21" i="13"/>
  <c r="X13" i="13"/>
  <c r="Y13" i="13" s="1"/>
  <c r="W21" i="13"/>
  <c r="AA14" i="13"/>
  <c r="W16" i="13"/>
  <c r="Y16" i="13" s="1"/>
  <c r="Z15" i="13"/>
  <c r="X19" i="13"/>
  <c r="Y19" i="13" s="1"/>
  <c r="Z9" i="13"/>
  <c r="X17" i="13"/>
  <c r="AA18" i="13"/>
  <c r="AB16" i="13"/>
  <c r="X9" i="13"/>
  <c r="Y9" i="13" s="1"/>
  <c r="W17" i="13"/>
  <c r="Y17" i="13" s="1"/>
  <c r="AA21" i="13"/>
  <c r="AA10" i="13"/>
  <c r="X14" i="13"/>
  <c r="Z16" i="13"/>
  <c r="AA15" i="13"/>
  <c r="AA16" i="13"/>
  <c r="AB15" i="13"/>
  <c r="W12" i="13"/>
  <c r="AA12" i="13"/>
  <c r="AC15" i="13"/>
  <c r="X12" i="13"/>
  <c r="K42" i="13"/>
  <c r="K35" i="13"/>
  <c r="X8" i="13"/>
  <c r="W8" i="13"/>
  <c r="AA8" i="13"/>
  <c r="Z8" i="13"/>
  <c r="K43" i="13"/>
  <c r="K36" i="13"/>
  <c r="K44" i="13"/>
  <c r="L44" i="13" s="1"/>
  <c r="K37" i="13"/>
  <c r="L37" i="13" s="1"/>
  <c r="K41" i="13"/>
  <c r="K34" i="13"/>
  <c r="D61" i="1"/>
  <c r="P11" i="4"/>
  <c r="F42" i="12"/>
  <c r="O11" i="4" s="1"/>
  <c r="C31" i="4"/>
  <c r="A49" i="12"/>
  <c r="A96" i="12" s="1"/>
  <c r="A131" i="12"/>
  <c r="A84" i="12"/>
  <c r="A85" i="12"/>
  <c r="A86" i="12"/>
  <c r="A87" i="12"/>
  <c r="A88" i="12"/>
  <c r="A89" i="12"/>
  <c r="A90" i="12"/>
  <c r="A91" i="12"/>
  <c r="A92" i="12"/>
  <c r="A93" i="12"/>
  <c r="A94" i="12"/>
  <c r="A95" i="12"/>
  <c r="R13" i="4"/>
  <c r="P13" i="4"/>
  <c r="O13" i="4"/>
  <c r="R12" i="4"/>
  <c r="P12" i="4"/>
  <c r="O12" i="4"/>
  <c r="R11" i="4"/>
  <c r="G2" i="12"/>
  <c r="F24" i="16"/>
  <c r="G24" i="16"/>
  <c r="E24" i="16"/>
  <c r="F23" i="16"/>
  <c r="G23" i="16"/>
  <c r="E23" i="16"/>
  <c r="F22" i="16"/>
  <c r="G22" i="16"/>
  <c r="E22" i="16"/>
  <c r="F21" i="16"/>
  <c r="G21" i="16"/>
  <c r="E21" i="16"/>
  <c r="F20" i="16"/>
  <c r="G20" i="16"/>
  <c r="E20" i="16"/>
  <c r="D21" i="16"/>
  <c r="T8" i="11" s="1"/>
  <c r="O10" i="4"/>
  <c r="P10" i="4"/>
  <c r="R10" i="4"/>
  <c r="S10" i="4"/>
  <c r="C40" i="5"/>
  <c r="C25" i="4"/>
  <c r="C22" i="4"/>
  <c r="I9" i="8"/>
  <c r="F133" i="14"/>
  <c r="J133" i="14" s="1"/>
  <c r="G133" i="14"/>
  <c r="K133" i="14" s="1"/>
  <c r="H133" i="14"/>
  <c r="P133" i="14" s="1"/>
  <c r="O133" i="14"/>
  <c r="F134" i="14"/>
  <c r="J134" i="14" s="1"/>
  <c r="G134" i="14"/>
  <c r="O134" i="14" s="1"/>
  <c r="H134" i="14"/>
  <c r="L134" i="14" s="1"/>
  <c r="B135" i="14"/>
  <c r="C135" i="14"/>
  <c r="D135" i="14"/>
  <c r="F135" i="14" s="1"/>
  <c r="N135" i="14" s="1"/>
  <c r="E135" i="14"/>
  <c r="H135" i="14" s="1"/>
  <c r="F136" i="14"/>
  <c r="J136" i="14" s="1"/>
  <c r="G136" i="14"/>
  <c r="K136" i="14" s="1"/>
  <c r="H136" i="14"/>
  <c r="L136" i="14" s="1"/>
  <c r="B137" i="14"/>
  <c r="C137" i="14"/>
  <c r="H137" i="14" s="1"/>
  <c r="P137" i="14" s="1"/>
  <c r="D137" i="14"/>
  <c r="E137" i="14"/>
  <c r="F137" i="14" s="1"/>
  <c r="F138" i="14"/>
  <c r="J138" i="14" s="1"/>
  <c r="G138" i="14"/>
  <c r="O138" i="14" s="1"/>
  <c r="H138" i="14"/>
  <c r="L138" i="14" s="1"/>
  <c r="N138" i="14"/>
  <c r="F139" i="14"/>
  <c r="N139" i="14" s="1"/>
  <c r="G139" i="14"/>
  <c r="K139" i="14" s="1"/>
  <c r="H139" i="14"/>
  <c r="P139" i="14" s="1"/>
  <c r="L139" i="14"/>
  <c r="F140" i="14"/>
  <c r="J140" i="14" s="1"/>
  <c r="G140" i="14"/>
  <c r="K140" i="14" s="1"/>
  <c r="H140" i="14"/>
  <c r="L140" i="14" s="1"/>
  <c r="O140" i="14"/>
  <c r="F141" i="14"/>
  <c r="J141" i="14" s="1"/>
  <c r="G141" i="14"/>
  <c r="K141" i="14" s="1"/>
  <c r="H141" i="14"/>
  <c r="P141" i="14" s="1"/>
  <c r="N141" i="14"/>
  <c r="F142" i="14"/>
  <c r="J142" i="14" s="1"/>
  <c r="G142" i="14"/>
  <c r="O142" i="14" s="1"/>
  <c r="H142" i="14"/>
  <c r="L142" i="14" s="1"/>
  <c r="F143" i="14"/>
  <c r="N143" i="14" s="1"/>
  <c r="G143" i="14"/>
  <c r="K143" i="14" s="1"/>
  <c r="H143" i="14"/>
  <c r="L143" i="14" s="1"/>
  <c r="P143" i="14"/>
  <c r="F144" i="14"/>
  <c r="J144" i="14" s="1"/>
  <c r="G144" i="14"/>
  <c r="O144" i="14" s="1"/>
  <c r="H144" i="14"/>
  <c r="L144" i="14" s="1"/>
  <c r="P144" i="14"/>
  <c r="F145" i="14"/>
  <c r="N145" i="14" s="1"/>
  <c r="G145" i="14"/>
  <c r="K145" i="14" s="1"/>
  <c r="H145" i="14"/>
  <c r="P145" i="14" s="1"/>
  <c r="J145" i="14"/>
  <c r="C38" i="5"/>
  <c r="C39" i="5" s="1"/>
  <c r="C37" i="5"/>
  <c r="D27" i="5"/>
  <c r="E14" i="5"/>
  <c r="D23" i="5"/>
  <c r="C12" i="5"/>
  <c r="D8" i="11" s="1"/>
  <c r="C16" i="5"/>
  <c r="C8" i="11" s="1"/>
  <c r="C14" i="5"/>
  <c r="C23" i="4"/>
  <c r="C24" i="4" s="1"/>
  <c r="C7" i="16"/>
  <c r="C21" i="16" s="1"/>
  <c r="B7" i="16"/>
  <c r="B21" i="16" s="1"/>
  <c r="C17" i="4"/>
  <c r="C33" i="4" s="1"/>
  <c r="AD37" i="12"/>
  <c r="D12" i="1"/>
  <c r="D10" i="1"/>
  <c r="D8" i="1"/>
  <c r="J123" i="14"/>
  <c r="R123" i="14" s="1"/>
  <c r="I123" i="14"/>
  <c r="M123" i="14" s="1"/>
  <c r="H123" i="14"/>
  <c r="L123" i="14" s="1"/>
  <c r="J119" i="14"/>
  <c r="N119" i="14" s="1"/>
  <c r="I119" i="14"/>
  <c r="M119" i="14" s="1"/>
  <c r="H119" i="14"/>
  <c r="P119" i="14" s="1"/>
  <c r="J115" i="14"/>
  <c r="N115" i="14" s="1"/>
  <c r="I115" i="14"/>
  <c r="Q115" i="14" s="1"/>
  <c r="H115" i="14"/>
  <c r="P115" i="14" s="1"/>
  <c r="J111" i="14"/>
  <c r="R111" i="14" s="1"/>
  <c r="I111" i="14"/>
  <c r="Q111" i="14" s="1"/>
  <c r="H111" i="14"/>
  <c r="L111" i="14" s="1"/>
  <c r="I103" i="14"/>
  <c r="Q103" i="14" s="1"/>
  <c r="J102" i="14"/>
  <c r="N102" i="14" s="1"/>
  <c r="I102" i="14"/>
  <c r="Q102" i="14" s="1"/>
  <c r="H102" i="14"/>
  <c r="L102" i="14" s="1"/>
  <c r="J101" i="14"/>
  <c r="R101" i="14" s="1"/>
  <c r="I101" i="14"/>
  <c r="M101" i="14" s="1"/>
  <c r="H101" i="14"/>
  <c r="L101" i="14" s="1"/>
  <c r="J100" i="14"/>
  <c r="N100" i="14" s="1"/>
  <c r="I100" i="14"/>
  <c r="M100" i="14" s="1"/>
  <c r="H100" i="14"/>
  <c r="L100" i="14" s="1"/>
  <c r="J99" i="14"/>
  <c r="N99" i="14" s="1"/>
  <c r="I99" i="14"/>
  <c r="Q99" i="14" s="1"/>
  <c r="H99" i="14"/>
  <c r="P99" i="14" s="1"/>
  <c r="J91" i="14"/>
  <c r="R91" i="14" s="1"/>
  <c r="J95" i="14"/>
  <c r="R95" i="14" s="1"/>
  <c r="I95" i="14"/>
  <c r="M95" i="14" s="1"/>
  <c r="H95" i="14"/>
  <c r="L95" i="14" s="1"/>
  <c r="J94" i="14"/>
  <c r="N94" i="14" s="1"/>
  <c r="I94" i="14"/>
  <c r="M94" i="14" s="1"/>
  <c r="H94" i="14"/>
  <c r="P94" i="14" s="1"/>
  <c r="J93" i="14"/>
  <c r="N93" i="14" s="1"/>
  <c r="I93" i="14"/>
  <c r="M93" i="14" s="1"/>
  <c r="H93" i="14"/>
  <c r="P93" i="14" s="1"/>
  <c r="J92" i="14"/>
  <c r="D9" i="16" s="1"/>
  <c r="B9" i="16" s="1"/>
  <c r="B22" i="16" s="1"/>
  <c r="I92" i="14"/>
  <c r="Q92" i="14" s="1"/>
  <c r="H92" i="14"/>
  <c r="L92" i="14" s="1"/>
  <c r="I91" i="14"/>
  <c r="M91" i="14" s="1"/>
  <c r="H91" i="14"/>
  <c r="L91" i="14" s="1"/>
  <c r="J90" i="14"/>
  <c r="N90" i="14" s="1"/>
  <c r="I90" i="14"/>
  <c r="M90" i="14" s="1"/>
  <c r="H90" i="14"/>
  <c r="P90" i="14" s="1"/>
  <c r="J89" i="14"/>
  <c r="N89" i="14" s="1"/>
  <c r="I89" i="14"/>
  <c r="Q89" i="14" s="1"/>
  <c r="H89" i="14"/>
  <c r="P89" i="14" s="1"/>
  <c r="J85" i="14"/>
  <c r="R85" i="14" s="1"/>
  <c r="I85" i="14"/>
  <c r="Q85" i="14" s="1"/>
  <c r="H85" i="14"/>
  <c r="L85" i="14" s="1"/>
  <c r="J84" i="14"/>
  <c r="R84" i="14" s="1"/>
  <c r="I84" i="14"/>
  <c r="M84" i="14" s="1"/>
  <c r="H84" i="14"/>
  <c r="L84" i="14" s="1"/>
  <c r="J83" i="14"/>
  <c r="N83" i="14" s="1"/>
  <c r="I83" i="14"/>
  <c r="M83" i="14" s="1"/>
  <c r="H83" i="14"/>
  <c r="L83" i="14" s="1"/>
  <c r="J82" i="14"/>
  <c r="N82" i="14" s="1"/>
  <c r="I82" i="14"/>
  <c r="Q82" i="14" s="1"/>
  <c r="H82" i="14"/>
  <c r="P82" i="14" s="1"/>
  <c r="J81" i="14"/>
  <c r="R81" i="14" s="1"/>
  <c r="I81" i="14"/>
  <c r="Q81" i="14" s="1"/>
  <c r="H81" i="14"/>
  <c r="L81" i="14" s="1"/>
  <c r="J80" i="14"/>
  <c r="R80" i="14" s="1"/>
  <c r="I80" i="14"/>
  <c r="M80" i="14" s="1"/>
  <c r="H80" i="14"/>
  <c r="L80" i="14" s="1"/>
  <c r="J79" i="14"/>
  <c r="N79" i="14" s="1"/>
  <c r="I79" i="14"/>
  <c r="M79" i="14" s="1"/>
  <c r="H79" i="14"/>
  <c r="P79" i="14" s="1"/>
  <c r="J75" i="14"/>
  <c r="N75" i="14" s="1"/>
  <c r="I75" i="14"/>
  <c r="Q75" i="14" s="1"/>
  <c r="H75" i="14"/>
  <c r="P75" i="14" s="1"/>
  <c r="J74" i="14"/>
  <c r="R74" i="14" s="1"/>
  <c r="I74" i="14"/>
  <c r="Q74" i="14" s="1"/>
  <c r="H74" i="14"/>
  <c r="L74" i="14" s="1"/>
  <c r="J73" i="14"/>
  <c r="R73" i="14" s="1"/>
  <c r="I73" i="14"/>
  <c r="M73" i="14" s="1"/>
  <c r="H73" i="14"/>
  <c r="L73" i="14" s="1"/>
  <c r="J72" i="14"/>
  <c r="N72" i="14" s="1"/>
  <c r="I72" i="14"/>
  <c r="M72" i="14" s="1"/>
  <c r="H72" i="14"/>
  <c r="P72" i="14" s="1"/>
  <c r="J71" i="14"/>
  <c r="N71" i="14" s="1"/>
  <c r="I71" i="14"/>
  <c r="Q71" i="14" s="1"/>
  <c r="H71" i="14"/>
  <c r="P71" i="14" s="1"/>
  <c r="J70" i="14"/>
  <c r="N70" i="14" s="1"/>
  <c r="I70" i="14"/>
  <c r="Q70" i="14" s="1"/>
  <c r="H70" i="14"/>
  <c r="L70" i="14" s="1"/>
  <c r="J69" i="14"/>
  <c r="R69" i="14" s="1"/>
  <c r="I69" i="14"/>
  <c r="M69" i="14" s="1"/>
  <c r="H69" i="14"/>
  <c r="L69" i="14" s="1"/>
  <c r="J65" i="14"/>
  <c r="N65" i="14" s="1"/>
  <c r="I65" i="14"/>
  <c r="M65" i="14" s="1"/>
  <c r="H65" i="14"/>
  <c r="P65" i="14" s="1"/>
  <c r="J64" i="14"/>
  <c r="N64" i="14" s="1"/>
  <c r="I64" i="14"/>
  <c r="Q64" i="14" s="1"/>
  <c r="H64" i="14"/>
  <c r="P64" i="14" s="1"/>
  <c r="J63" i="14"/>
  <c r="R63" i="14" s="1"/>
  <c r="I63" i="14"/>
  <c r="Q63" i="14" s="1"/>
  <c r="H63" i="14"/>
  <c r="L63" i="14" s="1"/>
  <c r="J62" i="14"/>
  <c r="R62" i="14" s="1"/>
  <c r="I62" i="14"/>
  <c r="M62" i="14" s="1"/>
  <c r="H62" i="14"/>
  <c r="L62" i="14" s="1"/>
  <c r="J61" i="14"/>
  <c r="N61" i="14" s="1"/>
  <c r="I61" i="14"/>
  <c r="M61" i="14" s="1"/>
  <c r="H61" i="14"/>
  <c r="L61" i="14" s="1"/>
  <c r="J60" i="14"/>
  <c r="N60" i="14" s="1"/>
  <c r="I60" i="14"/>
  <c r="Q60" i="14" s="1"/>
  <c r="H60" i="14"/>
  <c r="P60" i="14" s="1"/>
  <c r="J59" i="14"/>
  <c r="R59" i="14" s="1"/>
  <c r="I59" i="14"/>
  <c r="Q59" i="14" s="1"/>
  <c r="H59" i="14"/>
  <c r="L59" i="14" s="1"/>
  <c r="J55" i="14"/>
  <c r="R55" i="14" s="1"/>
  <c r="I55" i="14"/>
  <c r="M55" i="14" s="1"/>
  <c r="H55" i="14"/>
  <c r="L55" i="14" s="1"/>
  <c r="J54" i="14"/>
  <c r="N54" i="14" s="1"/>
  <c r="I54" i="14"/>
  <c r="M54" i="14" s="1"/>
  <c r="H54" i="14"/>
  <c r="P54" i="14" s="1"/>
  <c r="J53" i="14"/>
  <c r="N53" i="14" s="1"/>
  <c r="I53" i="14"/>
  <c r="Q53" i="14" s="1"/>
  <c r="H53" i="14"/>
  <c r="P53" i="14" s="1"/>
  <c r="J52" i="14"/>
  <c r="N52" i="14" s="1"/>
  <c r="I52" i="14"/>
  <c r="Q52" i="14" s="1"/>
  <c r="H52" i="14"/>
  <c r="L52" i="14" s="1"/>
  <c r="J51" i="14"/>
  <c r="R51" i="14" s="1"/>
  <c r="I51" i="14"/>
  <c r="M51" i="14" s="1"/>
  <c r="H51" i="14"/>
  <c r="L51" i="14" s="1"/>
  <c r="J50" i="14"/>
  <c r="N50" i="14" s="1"/>
  <c r="I50" i="14"/>
  <c r="M50" i="14" s="1"/>
  <c r="H50" i="14"/>
  <c r="P50" i="14" s="1"/>
  <c r="J49" i="14"/>
  <c r="N49" i="14" s="1"/>
  <c r="I49" i="14"/>
  <c r="C6" i="16" s="1"/>
  <c r="H49" i="14"/>
  <c r="P49" i="14" s="1"/>
  <c r="J41" i="14"/>
  <c r="N41" i="14" s="1"/>
  <c r="I41" i="14"/>
  <c r="Q41" i="14" s="1"/>
  <c r="H41" i="14"/>
  <c r="L41" i="14" s="1"/>
  <c r="J40" i="14"/>
  <c r="R40" i="14" s="1"/>
  <c r="I40" i="14"/>
  <c r="M40" i="14" s="1"/>
  <c r="H40" i="14"/>
  <c r="L40" i="14" s="1"/>
  <c r="J39" i="14"/>
  <c r="N39" i="14" s="1"/>
  <c r="I39" i="14"/>
  <c r="M39" i="14" s="1"/>
  <c r="H39" i="14"/>
  <c r="P39" i="14" s="1"/>
  <c r="J38" i="14"/>
  <c r="N38" i="14" s="1"/>
  <c r="I38" i="14"/>
  <c r="Q38" i="14" s="1"/>
  <c r="H38" i="14"/>
  <c r="P38" i="14" s="1"/>
  <c r="J37" i="14"/>
  <c r="R37" i="14" s="1"/>
  <c r="I37" i="14"/>
  <c r="Q37" i="14" s="1"/>
  <c r="H37" i="14"/>
  <c r="L37" i="14" s="1"/>
  <c r="E22" i="6"/>
  <c r="E23" i="6"/>
  <c r="E24" i="6"/>
  <c r="E34" i="6"/>
  <c r="C67" i="6" s="1"/>
  <c r="E11" i="6"/>
  <c r="C61" i="6" s="1"/>
  <c r="E12" i="6"/>
  <c r="C65" i="6" s="1"/>
  <c r="E13" i="6"/>
  <c r="A54" i="6"/>
  <c r="A55" i="6"/>
  <c r="A56" i="6"/>
  <c r="A53" i="6"/>
  <c r="A49" i="6"/>
  <c r="A50" i="6"/>
  <c r="A51" i="6"/>
  <c r="A52" i="6"/>
  <c r="A48" i="6"/>
  <c r="A44" i="6"/>
  <c r="A45" i="6"/>
  <c r="A46" i="6"/>
  <c r="A47" i="6"/>
  <c r="A43" i="6"/>
  <c r="F11" i="17"/>
  <c r="F10" i="17"/>
  <c r="F9" i="17"/>
  <c r="F8" i="17"/>
  <c r="F7" i="17"/>
  <c r="F6" i="17"/>
  <c r="F5" i="17"/>
  <c r="G135" i="14" l="1"/>
  <c r="K135" i="14" s="1"/>
  <c r="Q38" i="19"/>
  <c r="Q38" i="18"/>
  <c r="Q38" i="13"/>
  <c r="Q34" i="19"/>
  <c r="Q34" i="18"/>
  <c r="Q34" i="13"/>
  <c r="Q40" i="19"/>
  <c r="Q40" i="18"/>
  <c r="Q40" i="13"/>
  <c r="Y14" i="13"/>
  <c r="F7" i="19"/>
  <c r="AA7" i="18"/>
  <c r="Z7" i="18"/>
  <c r="F6" i="19"/>
  <c r="AA6" i="18"/>
  <c r="Z6" i="18"/>
  <c r="E26" i="18"/>
  <c r="J26" i="18" s="1"/>
  <c r="E26" i="19"/>
  <c r="J26" i="19" s="1"/>
  <c r="E26" i="13"/>
  <c r="J26" i="13" s="1"/>
  <c r="C66" i="6"/>
  <c r="O141" i="14"/>
  <c r="E25" i="18"/>
  <c r="J25" i="18" s="1"/>
  <c r="E25" i="19"/>
  <c r="J25" i="19" s="1"/>
  <c r="E25" i="13"/>
  <c r="J25" i="13" s="1"/>
  <c r="C62" i="6"/>
  <c r="K144" i="14"/>
  <c r="AA14" i="19"/>
  <c r="Z14" i="19"/>
  <c r="X14" i="19"/>
  <c r="W14" i="19"/>
  <c r="Y14" i="19" s="1"/>
  <c r="W18" i="19"/>
  <c r="AA18" i="19"/>
  <c r="Z18" i="19"/>
  <c r="X18" i="19"/>
  <c r="W12" i="19"/>
  <c r="Z12" i="19"/>
  <c r="AA12" i="19"/>
  <c r="X12" i="19"/>
  <c r="AA11" i="19"/>
  <c r="W11" i="19"/>
  <c r="Z11" i="19"/>
  <c r="X11" i="19"/>
  <c r="Z21" i="19"/>
  <c r="AB21" i="19"/>
  <c r="X21" i="19"/>
  <c r="AA21" i="19"/>
  <c r="AC21" i="19"/>
  <c r="W21" i="19"/>
  <c r="Z16" i="19"/>
  <c r="X16" i="19"/>
  <c r="AB16" i="19"/>
  <c r="AA16" i="19"/>
  <c r="W16" i="19"/>
  <c r="AC16" i="19"/>
  <c r="X15" i="19"/>
  <c r="AA15" i="19"/>
  <c r="Z15" i="19"/>
  <c r="AB15" i="19"/>
  <c r="AC15" i="19"/>
  <c r="W15" i="19"/>
  <c r="X10" i="19"/>
  <c r="AA10" i="19"/>
  <c r="W10" i="19"/>
  <c r="Z10" i="19"/>
  <c r="AA9" i="19"/>
  <c r="X9" i="19"/>
  <c r="Z9" i="19"/>
  <c r="W9" i="19"/>
  <c r="Z19" i="19"/>
  <c r="AA19" i="19"/>
  <c r="X19" i="19"/>
  <c r="W19" i="19"/>
  <c r="Y19" i="19" s="1"/>
  <c r="Z13" i="19"/>
  <c r="W13" i="19"/>
  <c r="Y13" i="19" s="1"/>
  <c r="AA13" i="19"/>
  <c r="X13" i="19"/>
  <c r="AA17" i="19"/>
  <c r="X17" i="19"/>
  <c r="W17" i="19"/>
  <c r="Z17" i="19"/>
  <c r="AA8" i="19"/>
  <c r="X8" i="19"/>
  <c r="Z8" i="19"/>
  <c r="W8" i="19"/>
  <c r="Z22" i="13"/>
  <c r="D50" i="13" s="1"/>
  <c r="Y10" i="13"/>
  <c r="AA11" i="18"/>
  <c r="X11" i="18"/>
  <c r="Z11" i="18"/>
  <c r="W11" i="18"/>
  <c r="AB21" i="18"/>
  <c r="AC21" i="18"/>
  <c r="Z21" i="18"/>
  <c r="X21" i="18"/>
  <c r="W21" i="18"/>
  <c r="AA21" i="18"/>
  <c r="Z16" i="18"/>
  <c r="AA16" i="18"/>
  <c r="W16" i="18"/>
  <c r="X16" i="18"/>
  <c r="AC16" i="18"/>
  <c r="AB16" i="18"/>
  <c r="X15" i="18"/>
  <c r="AA15" i="18"/>
  <c r="AB15" i="18"/>
  <c r="AC15" i="18"/>
  <c r="W15" i="18"/>
  <c r="Z15" i="18"/>
  <c r="W10" i="18"/>
  <c r="X10" i="18"/>
  <c r="AA10" i="18"/>
  <c r="Z10" i="18"/>
  <c r="Z9" i="18"/>
  <c r="W9" i="18"/>
  <c r="AA9" i="18"/>
  <c r="X9" i="18"/>
  <c r="X19" i="18"/>
  <c r="AA19" i="18"/>
  <c r="Z19" i="18"/>
  <c r="W19" i="18"/>
  <c r="AA14" i="18"/>
  <c r="Z14" i="18"/>
  <c r="W14" i="18"/>
  <c r="X14" i="18"/>
  <c r="X13" i="18"/>
  <c r="Z13" i="18"/>
  <c r="W13" i="18"/>
  <c r="AA13" i="18"/>
  <c r="X18" i="18"/>
  <c r="W18" i="18"/>
  <c r="Z18" i="18"/>
  <c r="AA18" i="18"/>
  <c r="AA17" i="18"/>
  <c r="X17" i="18"/>
  <c r="Y17" i="18" s="1"/>
  <c r="Z17" i="18"/>
  <c r="AA12" i="18"/>
  <c r="W12" i="18"/>
  <c r="Z12" i="18"/>
  <c r="X12" i="18"/>
  <c r="Z8" i="18"/>
  <c r="AA8" i="18"/>
  <c r="W8" i="18"/>
  <c r="X8" i="18"/>
  <c r="AD16" i="13"/>
  <c r="H83" i="1" s="1"/>
  <c r="Y21" i="13"/>
  <c r="AD21" i="13" s="1"/>
  <c r="H88" i="1" s="1"/>
  <c r="AD15" i="13"/>
  <c r="H82" i="1" s="1"/>
  <c r="I26" i="19"/>
  <c r="N26" i="19" s="1"/>
  <c r="Y12" i="13"/>
  <c r="AA22" i="13"/>
  <c r="D51" i="13" s="1"/>
  <c r="Y8" i="13"/>
  <c r="A3" i="12"/>
  <c r="A50" i="12" s="1"/>
  <c r="A97" i="12" s="1"/>
  <c r="O136" i="14"/>
  <c r="N133" i="14"/>
  <c r="G137" i="14"/>
  <c r="R8" i="11"/>
  <c r="E2" i="12"/>
  <c r="S8" i="11"/>
  <c r="F2" i="12"/>
  <c r="N142" i="14"/>
  <c r="O145" i="14"/>
  <c r="P140" i="14"/>
  <c r="P136" i="14"/>
  <c r="N134" i="14"/>
  <c r="U8" i="11"/>
  <c r="H2" i="12"/>
  <c r="D22" i="16"/>
  <c r="B8" i="11"/>
  <c r="H8" i="11"/>
  <c r="L8" i="11"/>
  <c r="K8" i="11"/>
  <c r="J8" i="11"/>
  <c r="F3" i="11"/>
  <c r="C3" i="11"/>
  <c r="D31" i="5"/>
  <c r="F2" i="11"/>
  <c r="C2" i="11"/>
  <c r="Q10" i="4"/>
  <c r="N137" i="14"/>
  <c r="J137" i="14"/>
  <c r="P135" i="14"/>
  <c r="L135" i="14"/>
  <c r="K137" i="14"/>
  <c r="O137" i="14"/>
  <c r="L145" i="14"/>
  <c r="N144" i="14"/>
  <c r="O143" i="14"/>
  <c r="J143" i="14"/>
  <c r="P142" i="14"/>
  <c r="K142" i="14"/>
  <c r="L141" i="14"/>
  <c r="N140" i="14"/>
  <c r="O139" i="14"/>
  <c r="J139" i="14"/>
  <c r="P138" i="14"/>
  <c r="K138" i="14"/>
  <c r="L137" i="14"/>
  <c r="N136" i="14"/>
  <c r="O135" i="14"/>
  <c r="J135" i="14"/>
  <c r="P134" i="14"/>
  <c r="K134" i="14"/>
  <c r="L133" i="14"/>
  <c r="A31" i="12"/>
  <c r="A35" i="12"/>
  <c r="A34" i="12"/>
  <c r="A30" i="12"/>
  <c r="T30" i="12" s="1"/>
  <c r="A4" i="12"/>
  <c r="A33" i="12"/>
  <c r="A29" i="12"/>
  <c r="A36" i="12"/>
  <c r="A32" i="12"/>
  <c r="R41" i="14"/>
  <c r="M49" i="14"/>
  <c r="R38" i="14"/>
  <c r="L39" i="14"/>
  <c r="R93" i="14"/>
  <c r="L94" i="14"/>
  <c r="N123" i="14"/>
  <c r="R52" i="14"/>
  <c r="M53" i="14"/>
  <c r="D8" i="16"/>
  <c r="N59" i="14"/>
  <c r="R64" i="14"/>
  <c r="Q93" i="14"/>
  <c r="Q49" i="14"/>
  <c r="N74" i="14"/>
  <c r="P80" i="14"/>
  <c r="N81" i="14"/>
  <c r="R89" i="14"/>
  <c r="L90" i="14"/>
  <c r="R102" i="14"/>
  <c r="R70" i="14"/>
  <c r="M71" i="14"/>
  <c r="M75" i="14"/>
  <c r="D11" i="16"/>
  <c r="L99" i="14"/>
  <c r="M111" i="14"/>
  <c r="M115" i="14"/>
  <c r="L119" i="14"/>
  <c r="P55" i="14"/>
  <c r="L65" i="14"/>
  <c r="M99" i="14"/>
  <c r="Q54" i="14"/>
  <c r="Q79" i="14"/>
  <c r="P100" i="14"/>
  <c r="Q119" i="14"/>
  <c r="P61" i="14"/>
  <c r="P83" i="14"/>
  <c r="N37" i="14"/>
  <c r="R49" i="14"/>
  <c r="L50" i="14"/>
  <c r="M60" i="14"/>
  <c r="Q61" i="14"/>
  <c r="P62" i="14"/>
  <c r="N63" i="14"/>
  <c r="R71" i="14"/>
  <c r="L72" i="14"/>
  <c r="M82" i="14"/>
  <c r="Q83" i="14"/>
  <c r="P84" i="14"/>
  <c r="N85" i="14"/>
  <c r="Q100" i="14"/>
  <c r="N101" i="14"/>
  <c r="P123" i="14"/>
  <c r="M38" i="14"/>
  <c r="Q39" i="14"/>
  <c r="P40" i="14"/>
  <c r="R53" i="14"/>
  <c r="L54" i="14"/>
  <c r="M64" i="14"/>
  <c r="Q65" i="14"/>
  <c r="P69" i="14"/>
  <c r="R75" i="14"/>
  <c r="L79" i="14"/>
  <c r="M89" i="14"/>
  <c r="Q90" i="14"/>
  <c r="P91" i="14"/>
  <c r="N92" i="14"/>
  <c r="D10" i="16"/>
  <c r="B10" i="16" s="1"/>
  <c r="P101" i="14"/>
  <c r="M102" i="14"/>
  <c r="N111" i="14"/>
  <c r="R115" i="14"/>
  <c r="D14" i="16"/>
  <c r="B6" i="16"/>
  <c r="Q50" i="14"/>
  <c r="P51" i="14"/>
  <c r="R60" i="14"/>
  <c r="Q72" i="14"/>
  <c r="P73" i="14"/>
  <c r="R82" i="14"/>
  <c r="R92" i="14"/>
  <c r="Q94" i="14"/>
  <c r="P95" i="14"/>
  <c r="R99" i="14"/>
  <c r="L115" i="14"/>
  <c r="R100" i="14"/>
  <c r="Q101" i="14"/>
  <c r="P102" i="14"/>
  <c r="M103" i="14"/>
  <c r="P111" i="14"/>
  <c r="R119" i="14"/>
  <c r="Q123" i="14"/>
  <c r="C9" i="16"/>
  <c r="C22" i="16" s="1"/>
  <c r="M37" i="14"/>
  <c r="L38" i="14"/>
  <c r="N40" i="14"/>
  <c r="M41" i="14"/>
  <c r="L49" i="14"/>
  <c r="N51" i="14"/>
  <c r="M52" i="14"/>
  <c r="L53" i="14"/>
  <c r="N55" i="14"/>
  <c r="M59" i="14"/>
  <c r="L60" i="14"/>
  <c r="N62" i="14"/>
  <c r="M63" i="14"/>
  <c r="L64" i="14"/>
  <c r="N69" i="14"/>
  <c r="M70" i="14"/>
  <c r="L71" i="14"/>
  <c r="N73" i="14"/>
  <c r="M74" i="14"/>
  <c r="L75" i="14"/>
  <c r="N80" i="14"/>
  <c r="M81" i="14"/>
  <c r="L82" i="14"/>
  <c r="N84" i="14"/>
  <c r="M85" i="14"/>
  <c r="L89" i="14"/>
  <c r="N91" i="14"/>
  <c r="M92" i="14"/>
  <c r="L93" i="14"/>
  <c r="N95" i="14"/>
  <c r="P37" i="14"/>
  <c r="R39" i="14"/>
  <c r="Q40" i="14"/>
  <c r="P41" i="14"/>
  <c r="R50" i="14"/>
  <c r="Q51" i="14"/>
  <c r="P52" i="14"/>
  <c r="R54" i="14"/>
  <c r="Q55" i="14"/>
  <c r="P59" i="14"/>
  <c r="R61" i="14"/>
  <c r="Q62" i="14"/>
  <c r="P63" i="14"/>
  <c r="R65" i="14"/>
  <c r="Q69" i="14"/>
  <c r="P70" i="14"/>
  <c r="R72" i="14"/>
  <c r="Q73" i="14"/>
  <c r="P74" i="14"/>
  <c r="R79" i="14"/>
  <c r="Q80" i="14"/>
  <c r="P81" i="14"/>
  <c r="R83" i="14"/>
  <c r="Q84" i="14"/>
  <c r="P85" i="14"/>
  <c r="R90" i="14"/>
  <c r="Q91" i="14"/>
  <c r="P92" i="14"/>
  <c r="R94" i="14"/>
  <c r="Q95" i="14"/>
  <c r="F13" i="17"/>
  <c r="G13" i="17"/>
  <c r="Q39" i="19" l="1"/>
  <c r="Q39" i="18"/>
  <c r="Q39" i="13"/>
  <c r="AA6" i="19"/>
  <c r="Z6" i="19"/>
  <c r="Q35" i="18"/>
  <c r="Q35" i="19"/>
  <c r="Q35" i="13"/>
  <c r="Y15" i="18"/>
  <c r="AD15" i="18" s="1"/>
  <c r="N82" i="1" s="1"/>
  <c r="Y15" i="19"/>
  <c r="AD15" i="19" s="1"/>
  <c r="T82" i="1" s="1"/>
  <c r="AA7" i="19"/>
  <c r="AA22" i="19" s="1"/>
  <c r="D51" i="19" s="1"/>
  <c r="Z7" i="19"/>
  <c r="Y16" i="19"/>
  <c r="AD16" i="19" s="1"/>
  <c r="T83" i="1" s="1"/>
  <c r="Y8" i="19"/>
  <c r="Y9" i="19"/>
  <c r="Y21" i="19"/>
  <c r="AD21" i="19" s="1"/>
  <c r="T88" i="1" s="1"/>
  <c r="Y11" i="19"/>
  <c r="Z22" i="19"/>
  <c r="D50" i="19" s="1"/>
  <c r="Y17" i="19"/>
  <c r="Y10" i="19"/>
  <c r="Y12" i="19"/>
  <c r="Y18" i="19"/>
  <c r="E35" i="19"/>
  <c r="F35" i="19" s="1"/>
  <c r="E35" i="18"/>
  <c r="F35" i="18" s="1"/>
  <c r="E35" i="13"/>
  <c r="F35" i="13" s="1"/>
  <c r="Y8" i="18"/>
  <c r="Y12" i="18"/>
  <c r="Y13" i="18"/>
  <c r="Y16" i="18"/>
  <c r="AD16" i="18" s="1"/>
  <c r="N83" i="1" s="1"/>
  <c r="Y18" i="18"/>
  <c r="Y21" i="18"/>
  <c r="AD21" i="18" s="1"/>
  <c r="N88" i="1" s="1"/>
  <c r="Y19" i="18"/>
  <c r="Y10" i="18"/>
  <c r="Y14" i="18"/>
  <c r="AA22" i="18"/>
  <c r="D51" i="18" s="1"/>
  <c r="Y9" i="18"/>
  <c r="Y11" i="18"/>
  <c r="Y22" i="13"/>
  <c r="D49" i="13" s="1"/>
  <c r="E3" i="12"/>
  <c r="E4" i="12" s="1"/>
  <c r="F3" i="12"/>
  <c r="G3" i="12"/>
  <c r="G4" i="12" s="1"/>
  <c r="H3" i="12"/>
  <c r="H4" i="12" s="1"/>
  <c r="I8" i="11"/>
  <c r="M8" i="11"/>
  <c r="B8" i="16"/>
  <c r="B20" i="16" s="1"/>
  <c r="D20" i="16"/>
  <c r="W8" i="11"/>
  <c r="J2" i="12"/>
  <c r="J3" i="12" s="1"/>
  <c r="J4" i="12" s="1"/>
  <c r="V8" i="11"/>
  <c r="I2" i="12"/>
  <c r="I3" i="12" s="1"/>
  <c r="I4" i="12" s="1"/>
  <c r="C14" i="16"/>
  <c r="C24" i="16" s="1"/>
  <c r="O2" i="12" s="1"/>
  <c r="D24" i="16"/>
  <c r="P2" i="12" s="1"/>
  <c r="C11" i="16"/>
  <c r="C23" i="16" s="1"/>
  <c r="D23" i="16"/>
  <c r="A32" i="11"/>
  <c r="A36" i="11"/>
  <c r="A40" i="11"/>
  <c r="A9" i="11"/>
  <c r="A10" i="11" s="1"/>
  <c r="A11" i="11" s="1"/>
  <c r="A33" i="11"/>
  <c r="A37" i="11"/>
  <c r="A41" i="11"/>
  <c r="A34" i="11"/>
  <c r="A38" i="11"/>
  <c r="A42" i="11"/>
  <c r="A35" i="11"/>
  <c r="A39" i="11"/>
  <c r="G36" i="11"/>
  <c r="G40" i="11"/>
  <c r="G37" i="11"/>
  <c r="G41" i="11"/>
  <c r="G38" i="11"/>
  <c r="G42" i="11"/>
  <c r="G39" i="11"/>
  <c r="G9" i="11"/>
  <c r="V2" i="12"/>
  <c r="X3" i="12"/>
  <c r="X31" i="12"/>
  <c r="X35" i="12"/>
  <c r="W29" i="12"/>
  <c r="W33" i="12"/>
  <c r="X2" i="12"/>
  <c r="X30" i="12"/>
  <c r="W4" i="12"/>
  <c r="W36" i="12"/>
  <c r="X4" i="12"/>
  <c r="X32" i="12"/>
  <c r="X36" i="12"/>
  <c r="W30" i="12"/>
  <c r="W34" i="12"/>
  <c r="W2" i="12"/>
  <c r="X34" i="12"/>
  <c r="W32" i="12"/>
  <c r="X29" i="12"/>
  <c r="X33" i="12"/>
  <c r="W3" i="12"/>
  <c r="W31" i="12"/>
  <c r="W35" i="12"/>
  <c r="U31" i="12"/>
  <c r="A78" i="12"/>
  <c r="A125" i="12" s="1"/>
  <c r="V31" i="12"/>
  <c r="N31" i="12"/>
  <c r="L31" i="12"/>
  <c r="O31" i="12"/>
  <c r="M31" i="12"/>
  <c r="P31" i="12"/>
  <c r="E31" i="12"/>
  <c r="H31" i="12"/>
  <c r="F31" i="12"/>
  <c r="I31" i="12"/>
  <c r="G31" i="12"/>
  <c r="D31" i="12"/>
  <c r="K31" i="12"/>
  <c r="C31" i="12"/>
  <c r="J31" i="12"/>
  <c r="B31" i="12"/>
  <c r="A51" i="12"/>
  <c r="A98" i="12" s="1"/>
  <c r="V4" i="12"/>
  <c r="F4" i="12"/>
  <c r="A79" i="12"/>
  <c r="A126" i="12" s="1"/>
  <c r="V32" i="12"/>
  <c r="O32" i="12"/>
  <c r="M32" i="12"/>
  <c r="P32" i="12"/>
  <c r="K32" i="12"/>
  <c r="L32" i="12"/>
  <c r="H32" i="12"/>
  <c r="F32" i="12"/>
  <c r="N32" i="12"/>
  <c r="I32" i="12"/>
  <c r="G32" i="12"/>
  <c r="J32" i="12"/>
  <c r="E32" i="12"/>
  <c r="B32" i="12"/>
  <c r="C32" i="12"/>
  <c r="D32" i="12"/>
  <c r="A76" i="12"/>
  <c r="A123" i="12" s="1"/>
  <c r="V29" i="12"/>
  <c r="P29" i="12"/>
  <c r="K29" i="12"/>
  <c r="N29" i="12"/>
  <c r="L29" i="12"/>
  <c r="I29" i="12"/>
  <c r="G29" i="12"/>
  <c r="J29" i="12"/>
  <c r="M29" i="12"/>
  <c r="E29" i="12"/>
  <c r="H29" i="12"/>
  <c r="B29" i="12"/>
  <c r="C29" i="12"/>
  <c r="F29" i="12"/>
  <c r="O29" i="12"/>
  <c r="D29" i="12"/>
  <c r="A82" i="12"/>
  <c r="A129" i="12" s="1"/>
  <c r="V35" i="12"/>
  <c r="N35" i="12"/>
  <c r="L35" i="12"/>
  <c r="O35" i="12"/>
  <c r="M35" i="12"/>
  <c r="P35" i="12"/>
  <c r="E35" i="12"/>
  <c r="B35" i="12"/>
  <c r="H35" i="12"/>
  <c r="F35" i="12"/>
  <c r="C35" i="12"/>
  <c r="K35" i="12"/>
  <c r="I35" i="12"/>
  <c r="G35" i="12"/>
  <c r="D35" i="12"/>
  <c r="J35" i="12"/>
  <c r="V3" i="12"/>
  <c r="V34" i="12"/>
  <c r="K34" i="12"/>
  <c r="N34" i="12"/>
  <c r="L34" i="12"/>
  <c r="O34" i="12"/>
  <c r="M34" i="12"/>
  <c r="J34" i="12"/>
  <c r="A81" i="12"/>
  <c r="A128" i="12" s="1"/>
  <c r="E34" i="12"/>
  <c r="H34" i="12"/>
  <c r="F34" i="12"/>
  <c r="I34" i="12"/>
  <c r="C34" i="12"/>
  <c r="P34" i="12"/>
  <c r="G34" i="12"/>
  <c r="D34" i="12"/>
  <c r="B34" i="12"/>
  <c r="A83" i="12"/>
  <c r="A130" i="12" s="1"/>
  <c r="V36" i="12"/>
  <c r="O36" i="12"/>
  <c r="M36" i="12"/>
  <c r="P36" i="12"/>
  <c r="K36" i="12"/>
  <c r="N36" i="12"/>
  <c r="H36" i="12"/>
  <c r="F36" i="12"/>
  <c r="C36" i="12"/>
  <c r="I36" i="12"/>
  <c r="G36" i="12"/>
  <c r="D36" i="12"/>
  <c r="J36" i="12"/>
  <c r="L36" i="12"/>
  <c r="E36" i="12"/>
  <c r="B36" i="12"/>
  <c r="A80" i="12"/>
  <c r="A127" i="12" s="1"/>
  <c r="P33" i="12"/>
  <c r="V33" i="12"/>
  <c r="K33" i="12"/>
  <c r="N33" i="12"/>
  <c r="L33" i="12"/>
  <c r="I33" i="12"/>
  <c r="G33" i="12"/>
  <c r="M33" i="12"/>
  <c r="J33" i="12"/>
  <c r="O33" i="12"/>
  <c r="E33" i="12"/>
  <c r="B33" i="12"/>
  <c r="C33" i="12"/>
  <c r="H33" i="12"/>
  <c r="F33" i="12"/>
  <c r="D33" i="12"/>
  <c r="V30" i="12"/>
  <c r="K30" i="12"/>
  <c r="N30" i="12"/>
  <c r="L30" i="12"/>
  <c r="A77" i="12"/>
  <c r="A124" i="12" s="1"/>
  <c r="O30" i="12"/>
  <c r="M30" i="12"/>
  <c r="P30" i="12"/>
  <c r="J30" i="12"/>
  <c r="E30" i="12"/>
  <c r="H30" i="12"/>
  <c r="F30" i="12"/>
  <c r="G30" i="12"/>
  <c r="C30" i="12"/>
  <c r="B30" i="12"/>
  <c r="I30" i="12"/>
  <c r="D30" i="12"/>
  <c r="T31" i="12"/>
  <c r="B11" i="8"/>
  <c r="G2" i="8" s="1"/>
  <c r="T34" i="12"/>
  <c r="U35" i="12"/>
  <c r="T35" i="12"/>
  <c r="U30" i="12"/>
  <c r="T32" i="12"/>
  <c r="U32" i="12"/>
  <c r="U29" i="12"/>
  <c r="T29" i="12"/>
  <c r="A5" i="12"/>
  <c r="W5" i="12" s="1"/>
  <c r="U34" i="12"/>
  <c r="U36" i="12"/>
  <c r="T36" i="12"/>
  <c r="T33" i="12"/>
  <c r="U33" i="12"/>
  <c r="B11" i="16"/>
  <c r="B23" i="16" s="1"/>
  <c r="B14" i="16"/>
  <c r="B24" i="16" s="1"/>
  <c r="N2" i="12" s="1"/>
  <c r="C8" i="16"/>
  <c r="C10" i="16"/>
  <c r="G28" i="19" l="1"/>
  <c r="G28" i="18"/>
  <c r="G28" i="13"/>
  <c r="E36" i="18"/>
  <c r="E36" i="19"/>
  <c r="N3" i="12"/>
  <c r="N4" i="12" s="1"/>
  <c r="G29" i="18"/>
  <c r="G29" i="19"/>
  <c r="G29" i="13"/>
  <c r="P3" i="12"/>
  <c r="P4" i="12" s="1"/>
  <c r="P5" i="12" s="1"/>
  <c r="G27" i="19"/>
  <c r="G27" i="18"/>
  <c r="G27" i="13"/>
  <c r="N63" i="1"/>
  <c r="G35" i="18"/>
  <c r="J35" i="18" s="1"/>
  <c r="L35" i="18" s="1"/>
  <c r="H26" i="18" s="1"/>
  <c r="Y22" i="19"/>
  <c r="D49" i="19" s="1"/>
  <c r="G35" i="13"/>
  <c r="J34" i="13" s="1"/>
  <c r="L34" i="13" s="1"/>
  <c r="H63" i="1"/>
  <c r="T63" i="1"/>
  <c r="G35" i="19"/>
  <c r="J35" i="19" s="1"/>
  <c r="L35" i="19" s="1"/>
  <c r="H26" i="19" s="1"/>
  <c r="J34" i="18"/>
  <c r="L34" i="18" s="1"/>
  <c r="J37" i="13"/>
  <c r="E29" i="13"/>
  <c r="U27" i="13" s="1"/>
  <c r="E29" i="19"/>
  <c r="E29" i="18"/>
  <c r="E28" i="13"/>
  <c r="T27" i="13" s="1"/>
  <c r="E28" i="19"/>
  <c r="E28" i="18"/>
  <c r="E27" i="13"/>
  <c r="J27" i="13" s="1"/>
  <c r="E27" i="19"/>
  <c r="E27" i="18"/>
  <c r="Y22" i="18"/>
  <c r="D49" i="18" s="1"/>
  <c r="D65" i="1"/>
  <c r="E36" i="13"/>
  <c r="H65" i="1" s="1"/>
  <c r="C20" i="16"/>
  <c r="AA2" i="12"/>
  <c r="Z29" i="12"/>
  <c r="R30" i="12"/>
  <c r="Z2" i="12"/>
  <c r="O3" i="12"/>
  <c r="Z8" i="11"/>
  <c r="Z9" i="11" s="1"/>
  <c r="M2" i="12"/>
  <c r="M3" i="12" s="1"/>
  <c r="M4" i="12" s="1"/>
  <c r="M5" i="12" s="1"/>
  <c r="P8" i="11"/>
  <c r="AB8" i="11" s="1"/>
  <c r="C2" i="12"/>
  <c r="X8" i="11"/>
  <c r="K2" i="12"/>
  <c r="K3" i="12" s="1"/>
  <c r="K4" i="12" s="1"/>
  <c r="K5" i="12" s="1"/>
  <c r="Y8" i="11"/>
  <c r="L2" i="12"/>
  <c r="L3" i="12" s="1"/>
  <c r="L4" i="12" s="1"/>
  <c r="L5" i="12" s="1"/>
  <c r="Q8" i="11"/>
  <c r="AC8" i="11" s="1"/>
  <c r="AD8" i="11" s="1"/>
  <c r="AE8" i="11" s="1"/>
  <c r="D2" i="12"/>
  <c r="O8" i="11"/>
  <c r="AA8" i="11" s="1"/>
  <c r="B2" i="12"/>
  <c r="H9" i="11"/>
  <c r="X9" i="11"/>
  <c r="V9" i="11"/>
  <c r="R9" i="11"/>
  <c r="W9" i="11"/>
  <c r="O9" i="11"/>
  <c r="P9" i="11"/>
  <c r="Y9" i="11"/>
  <c r="U9" i="11"/>
  <c r="S9" i="11"/>
  <c r="T9" i="11"/>
  <c r="H41" i="11"/>
  <c r="X41" i="11"/>
  <c r="W41" i="11"/>
  <c r="R41" i="11"/>
  <c r="Y41" i="11"/>
  <c r="S41" i="11"/>
  <c r="O41" i="11"/>
  <c r="V41" i="11"/>
  <c r="Q41" i="11"/>
  <c r="P41" i="11"/>
  <c r="Z41" i="11"/>
  <c r="U41" i="11"/>
  <c r="T41" i="11"/>
  <c r="H39" i="11"/>
  <c r="Z39" i="11"/>
  <c r="U39" i="11"/>
  <c r="T39" i="11"/>
  <c r="P39" i="11"/>
  <c r="V39" i="11"/>
  <c r="Q39" i="11"/>
  <c r="S39" i="11"/>
  <c r="O39" i="11"/>
  <c r="R39" i="11"/>
  <c r="X39" i="11"/>
  <c r="W39" i="11"/>
  <c r="Y39" i="11"/>
  <c r="H37" i="11"/>
  <c r="X37" i="11"/>
  <c r="W37" i="11"/>
  <c r="R37" i="11"/>
  <c r="Y37" i="11"/>
  <c r="S37" i="11"/>
  <c r="O37" i="11"/>
  <c r="V37" i="11"/>
  <c r="Z37" i="11"/>
  <c r="U37" i="11"/>
  <c r="T37" i="11"/>
  <c r="P37" i="11"/>
  <c r="Q37" i="11"/>
  <c r="H42" i="11"/>
  <c r="Y42" i="11"/>
  <c r="S42" i="11"/>
  <c r="O42" i="11"/>
  <c r="Z42" i="11"/>
  <c r="U42" i="11"/>
  <c r="T42" i="11"/>
  <c r="P42" i="11"/>
  <c r="R42" i="11"/>
  <c r="X42" i="11"/>
  <c r="V42" i="11"/>
  <c r="Q42" i="11"/>
  <c r="W42" i="11"/>
  <c r="H40" i="11"/>
  <c r="V40" i="11"/>
  <c r="Q40" i="11"/>
  <c r="X40" i="11"/>
  <c r="W40" i="11"/>
  <c r="R40" i="11"/>
  <c r="Z40" i="11"/>
  <c r="U40" i="11"/>
  <c r="T40" i="11"/>
  <c r="P40" i="11"/>
  <c r="S40" i="11"/>
  <c r="O40" i="11"/>
  <c r="AA40" i="11" s="1"/>
  <c r="Y40" i="11"/>
  <c r="H38" i="11"/>
  <c r="Y38" i="11"/>
  <c r="S38" i="11"/>
  <c r="O38" i="11"/>
  <c r="Z38" i="11"/>
  <c r="U38" i="11"/>
  <c r="T38" i="11"/>
  <c r="P38" i="11"/>
  <c r="X38" i="11"/>
  <c r="W38" i="11"/>
  <c r="V38" i="11"/>
  <c r="R38" i="11"/>
  <c r="Q38" i="11"/>
  <c r="H36" i="11"/>
  <c r="V36" i="11"/>
  <c r="Q36" i="11"/>
  <c r="X36" i="11"/>
  <c r="W36" i="11"/>
  <c r="R36" i="11"/>
  <c r="U36" i="11"/>
  <c r="T36" i="11"/>
  <c r="P36" i="11"/>
  <c r="Z36" i="11"/>
  <c r="O36" i="11"/>
  <c r="Y36" i="11"/>
  <c r="S36" i="11"/>
  <c r="N42" i="11"/>
  <c r="I42" i="11"/>
  <c r="D10" i="11"/>
  <c r="N38" i="11"/>
  <c r="I38" i="11"/>
  <c r="I36" i="11"/>
  <c r="N36" i="11"/>
  <c r="E42" i="11"/>
  <c r="B42" i="11"/>
  <c r="D42" i="11"/>
  <c r="K42" i="11" s="1"/>
  <c r="B41" i="11"/>
  <c r="D41" i="11"/>
  <c r="J41" i="11" s="1"/>
  <c r="E41" i="11"/>
  <c r="D40" i="11"/>
  <c r="L40" i="11" s="1"/>
  <c r="E40" i="11"/>
  <c r="B40" i="11"/>
  <c r="I40" i="11"/>
  <c r="N40" i="11"/>
  <c r="C9" i="11"/>
  <c r="B9" i="11"/>
  <c r="D9" i="11"/>
  <c r="K9" i="11" s="1"/>
  <c r="G10" i="11"/>
  <c r="I9" i="11"/>
  <c r="N41" i="11"/>
  <c r="I41" i="11"/>
  <c r="D39" i="11"/>
  <c r="J39" i="11" s="1"/>
  <c r="E39" i="11"/>
  <c r="B39" i="11"/>
  <c r="E38" i="11"/>
  <c r="B38" i="11"/>
  <c r="D38" i="11"/>
  <c r="L38" i="11" s="1"/>
  <c r="B37" i="11"/>
  <c r="E37" i="11"/>
  <c r="D37" i="11"/>
  <c r="J37" i="11" s="1"/>
  <c r="D36" i="11"/>
  <c r="J36" i="11" s="1"/>
  <c r="B36" i="11"/>
  <c r="E36" i="11"/>
  <c r="A12" i="11"/>
  <c r="D11" i="11"/>
  <c r="I39" i="11"/>
  <c r="N39" i="11"/>
  <c r="I37" i="11"/>
  <c r="N37" i="11"/>
  <c r="D35" i="11"/>
  <c r="E35" i="11"/>
  <c r="B35" i="11"/>
  <c r="E34" i="11"/>
  <c r="D34" i="11"/>
  <c r="B34" i="11"/>
  <c r="B33" i="11"/>
  <c r="D33" i="11"/>
  <c r="E33" i="11"/>
  <c r="D32" i="11"/>
  <c r="E32" i="11"/>
  <c r="B32" i="11"/>
  <c r="S35" i="12"/>
  <c r="Z36" i="12"/>
  <c r="R35" i="12"/>
  <c r="R36" i="12"/>
  <c r="Z35" i="12"/>
  <c r="Q32" i="12"/>
  <c r="AA35" i="12"/>
  <c r="AA3" i="12"/>
  <c r="X5" i="12"/>
  <c r="Q36" i="12"/>
  <c r="Y36" i="12" s="1"/>
  <c r="S36" i="12"/>
  <c r="Z34" i="12"/>
  <c r="S29" i="12"/>
  <c r="Q29" i="12"/>
  <c r="Z32" i="12"/>
  <c r="R31" i="12"/>
  <c r="Z31" i="12"/>
  <c r="AA31" i="12"/>
  <c r="AA32" i="12"/>
  <c r="AA34" i="12"/>
  <c r="AA4" i="12"/>
  <c r="AA30" i="12"/>
  <c r="AA36" i="12"/>
  <c r="AA33" i="12"/>
  <c r="AA29" i="12"/>
  <c r="Q34" i="12"/>
  <c r="Z30" i="12"/>
  <c r="Z33" i="12"/>
  <c r="R29" i="12"/>
  <c r="A52" i="12"/>
  <c r="A99" i="12" s="1"/>
  <c r="N5" i="12"/>
  <c r="J5" i="12"/>
  <c r="V5" i="12"/>
  <c r="AA5" i="12" s="1"/>
  <c r="H5" i="12"/>
  <c r="E5" i="12"/>
  <c r="I5" i="12"/>
  <c r="F5" i="12"/>
  <c r="G5" i="12"/>
  <c r="S30" i="12"/>
  <c r="R33" i="12"/>
  <c r="R34" i="12"/>
  <c r="S32" i="12"/>
  <c r="Q30" i="12"/>
  <c r="S33" i="12"/>
  <c r="Q33" i="12"/>
  <c r="S34" i="12"/>
  <c r="Q35" i="12"/>
  <c r="R32" i="12"/>
  <c r="Q31" i="12"/>
  <c r="S31" i="12"/>
  <c r="A6" i="12"/>
  <c r="F19" i="17"/>
  <c r="D63" i="1" s="1"/>
  <c r="H9" i="8"/>
  <c r="J9" i="8" s="1"/>
  <c r="H8" i="8"/>
  <c r="J8" i="8" s="1"/>
  <c r="B43" i="12" s="1"/>
  <c r="H7" i="8"/>
  <c r="H10" i="8"/>
  <c r="G19" i="17"/>
  <c r="J3" i="17" s="1"/>
  <c r="J36" i="18" l="1"/>
  <c r="L36" i="18" s="1"/>
  <c r="AB9" i="18" s="1"/>
  <c r="Y31" i="18"/>
  <c r="L27" i="18"/>
  <c r="Y29" i="12"/>
  <c r="Y33" i="13"/>
  <c r="L29" i="13"/>
  <c r="J37" i="18"/>
  <c r="J29" i="13"/>
  <c r="Y33" i="19"/>
  <c r="L29" i="19"/>
  <c r="Y31" i="19"/>
  <c r="L27" i="19"/>
  <c r="Q9" i="11"/>
  <c r="L29" i="18"/>
  <c r="Y33" i="18"/>
  <c r="S27" i="13"/>
  <c r="J41" i="19"/>
  <c r="L41" i="19" s="1"/>
  <c r="T65" i="1"/>
  <c r="J44" i="19"/>
  <c r="J42" i="19"/>
  <c r="J43" i="19"/>
  <c r="L43" i="19" s="1"/>
  <c r="J41" i="18"/>
  <c r="L41" i="18" s="1"/>
  <c r="N65" i="1"/>
  <c r="J43" i="18"/>
  <c r="L43" i="18" s="1"/>
  <c r="J42" i="18"/>
  <c r="J44" i="18"/>
  <c r="Y32" i="13"/>
  <c r="L28" i="13"/>
  <c r="Y32" i="18"/>
  <c r="L28" i="18"/>
  <c r="Y31" i="13"/>
  <c r="L27" i="13"/>
  <c r="L30" i="13" s="1"/>
  <c r="C51" i="13" s="1"/>
  <c r="Y32" i="19"/>
  <c r="L28" i="19"/>
  <c r="J34" i="19"/>
  <c r="L34" i="19" s="1"/>
  <c r="AB11" i="19" s="1"/>
  <c r="J37" i="19"/>
  <c r="J35" i="13"/>
  <c r="L35" i="13" s="1"/>
  <c r="J36" i="13"/>
  <c r="L36" i="13" s="1"/>
  <c r="AB8" i="13" s="1"/>
  <c r="J36" i="19"/>
  <c r="L36" i="19" s="1"/>
  <c r="AB7" i="19" s="1"/>
  <c r="AB17" i="13"/>
  <c r="AB7" i="13"/>
  <c r="AB18" i="13"/>
  <c r="M26" i="18"/>
  <c r="O26" i="18"/>
  <c r="P26" i="18" s="1"/>
  <c r="N90" i="1" s="1"/>
  <c r="AB20" i="13"/>
  <c r="H25" i="13"/>
  <c r="M25" i="13" s="1"/>
  <c r="AB19" i="13"/>
  <c r="AB10" i="13"/>
  <c r="AB11" i="13"/>
  <c r="AB7" i="18"/>
  <c r="AB8" i="18"/>
  <c r="H28" i="18"/>
  <c r="M28" i="18" s="1"/>
  <c r="AB14" i="18"/>
  <c r="AB5" i="18"/>
  <c r="AB6" i="18"/>
  <c r="AB19" i="19"/>
  <c r="AB10" i="19"/>
  <c r="H25" i="18"/>
  <c r="M25" i="18" s="1"/>
  <c r="AB19" i="18"/>
  <c r="AB10" i="18"/>
  <c r="AB11" i="18"/>
  <c r="H27" i="19"/>
  <c r="M27" i="19" s="1"/>
  <c r="AB18" i="19"/>
  <c r="AB12" i="19"/>
  <c r="AB5" i="19"/>
  <c r="AB9" i="19"/>
  <c r="AB13" i="19"/>
  <c r="AB8" i="19"/>
  <c r="AB17" i="19"/>
  <c r="H26" i="13"/>
  <c r="M26" i="13" s="1"/>
  <c r="AB5" i="13"/>
  <c r="M26" i="19"/>
  <c r="O26" i="19"/>
  <c r="P26" i="19" s="1"/>
  <c r="T90" i="1" s="1"/>
  <c r="Y31" i="12"/>
  <c r="S27" i="19"/>
  <c r="J27" i="19"/>
  <c r="J28" i="13"/>
  <c r="J30" i="13" s="1"/>
  <c r="C49" i="13" s="1"/>
  <c r="E49" i="13" s="1"/>
  <c r="H59" i="1" s="1"/>
  <c r="U27" i="18"/>
  <c r="J29" i="18"/>
  <c r="T27" i="18"/>
  <c r="J28" i="18"/>
  <c r="U27" i="19"/>
  <c r="J29" i="19"/>
  <c r="S27" i="18"/>
  <c r="J27" i="18"/>
  <c r="T27" i="19"/>
  <c r="J28" i="19"/>
  <c r="J43" i="13"/>
  <c r="L43" i="13" s="1"/>
  <c r="J41" i="13"/>
  <c r="L41" i="13" s="1"/>
  <c r="J42" i="13"/>
  <c r="L42" i="13" s="1"/>
  <c r="I26" i="13" s="1"/>
  <c r="J44" i="13"/>
  <c r="B76" i="12"/>
  <c r="D67" i="1"/>
  <c r="H22" i="14"/>
  <c r="H16" i="14"/>
  <c r="H26" i="14"/>
  <c r="H18" i="14"/>
  <c r="H23" i="14"/>
  <c r="H17" i="14"/>
  <c r="H27" i="14"/>
  <c r="H21" i="14"/>
  <c r="H15" i="14"/>
  <c r="B78" i="12"/>
  <c r="Y33" i="12"/>
  <c r="B80" i="12" s="1"/>
  <c r="AB41" i="11"/>
  <c r="S2" i="12"/>
  <c r="D3" i="12"/>
  <c r="Y32" i="12"/>
  <c r="B79" i="12" s="1"/>
  <c r="Q2" i="12"/>
  <c r="B3" i="12"/>
  <c r="R2" i="12"/>
  <c r="C3" i="12"/>
  <c r="Z3" i="12"/>
  <c r="O4" i="12"/>
  <c r="AA39" i="11"/>
  <c r="AB39" i="11"/>
  <c r="AC39" i="11"/>
  <c r="AD39" i="11" s="1"/>
  <c r="AE39" i="11" s="1"/>
  <c r="AB9" i="11"/>
  <c r="H10" i="11"/>
  <c r="X10" i="11"/>
  <c r="S10" i="11"/>
  <c r="Y10" i="11"/>
  <c r="U10" i="11"/>
  <c r="T10" i="11"/>
  <c r="O10" i="11"/>
  <c r="Z10" i="11"/>
  <c r="R10" i="11"/>
  <c r="Q10" i="11"/>
  <c r="V10" i="11"/>
  <c r="W10" i="11"/>
  <c r="P10" i="11"/>
  <c r="AB36" i="11"/>
  <c r="AC40" i="11"/>
  <c r="AD40" i="11" s="1"/>
  <c r="AE40" i="11" s="1"/>
  <c r="AC42" i="11"/>
  <c r="AD42" i="11" s="1"/>
  <c r="AE42" i="11" s="1"/>
  <c r="AB42" i="11"/>
  <c r="AA42" i="11"/>
  <c r="AC37" i="11"/>
  <c r="AD37" i="11" s="1"/>
  <c r="AE37" i="11" s="1"/>
  <c r="AA41" i="11"/>
  <c r="AC38" i="11"/>
  <c r="AD38" i="11" s="1"/>
  <c r="AE38" i="11" s="1"/>
  <c r="AB40" i="11"/>
  <c r="AB37" i="11"/>
  <c r="AA9" i="11"/>
  <c r="AA36" i="11"/>
  <c r="AC36" i="11"/>
  <c r="AD36" i="11" s="1"/>
  <c r="AE36" i="11" s="1"/>
  <c r="AB38" i="11"/>
  <c r="AA38" i="11"/>
  <c r="AA37" i="11"/>
  <c r="AC41" i="11"/>
  <c r="AD41" i="11" s="1"/>
  <c r="AE41" i="11" s="1"/>
  <c r="AC9" i="11"/>
  <c r="AD9" i="11" s="1"/>
  <c r="AE9" i="11" s="1"/>
  <c r="K40" i="11"/>
  <c r="J42" i="11"/>
  <c r="K37" i="11"/>
  <c r="L41" i="11"/>
  <c r="K10" i="11"/>
  <c r="J10" i="11"/>
  <c r="L10" i="11"/>
  <c r="K36" i="11"/>
  <c r="J38" i="11"/>
  <c r="J40" i="11"/>
  <c r="L37" i="11"/>
  <c r="M37" i="11" s="1"/>
  <c r="K39" i="11"/>
  <c r="K41" i="11"/>
  <c r="L36" i="11"/>
  <c r="K38" i="11"/>
  <c r="L42" i="11"/>
  <c r="L39" i="11"/>
  <c r="L9" i="11"/>
  <c r="J9" i="11"/>
  <c r="A13" i="11"/>
  <c r="D12" i="11"/>
  <c r="C10" i="11"/>
  <c r="C11" i="11" s="1"/>
  <c r="C12" i="11" s="1"/>
  <c r="G11" i="11"/>
  <c r="I10" i="11"/>
  <c r="B10" i="11"/>
  <c r="AB36" i="12"/>
  <c r="Y35" i="12"/>
  <c r="AB35" i="12" s="1"/>
  <c r="W6" i="12"/>
  <c r="X6" i="12"/>
  <c r="AB29" i="12"/>
  <c r="B83" i="12"/>
  <c r="AB31" i="12"/>
  <c r="Y30" i="12"/>
  <c r="B77" i="12" s="1"/>
  <c r="Y34" i="12"/>
  <c r="B81" i="12" s="1"/>
  <c r="K6" i="12"/>
  <c r="E6" i="12"/>
  <c r="N6" i="12"/>
  <c r="A53" i="12"/>
  <c r="A100" i="12" s="1"/>
  <c r="V6" i="12"/>
  <c r="P6" i="12"/>
  <c r="I6" i="12"/>
  <c r="L6" i="12"/>
  <c r="J6" i="12"/>
  <c r="G6" i="12"/>
  <c r="M6" i="12"/>
  <c r="F6" i="12"/>
  <c r="H6" i="12"/>
  <c r="J10" i="8"/>
  <c r="B45" i="12" s="1"/>
  <c r="U2" i="12"/>
  <c r="U3" i="12"/>
  <c r="U4" i="12"/>
  <c r="U5" i="12"/>
  <c r="A7" i="12"/>
  <c r="U6" i="12"/>
  <c r="K9" i="17"/>
  <c r="M9" i="17" s="1"/>
  <c r="K8" i="17"/>
  <c r="K10" i="17"/>
  <c r="K7" i="17"/>
  <c r="AD11" i="19" l="1"/>
  <c r="T78" i="1" s="1"/>
  <c r="AD12" i="19"/>
  <c r="T79" i="1" s="1"/>
  <c r="H29" i="19"/>
  <c r="M29" i="19" s="1"/>
  <c r="H25" i="19"/>
  <c r="M25" i="19" s="1"/>
  <c r="AB18" i="18"/>
  <c r="AC5" i="19"/>
  <c r="AD5" i="19" s="1"/>
  <c r="T72" i="1" s="1"/>
  <c r="I25" i="19"/>
  <c r="N25" i="19" s="1"/>
  <c r="AC10" i="19"/>
  <c r="AD10" i="19" s="1"/>
  <c r="T77" i="1" s="1"/>
  <c r="AC11" i="19"/>
  <c r="AC19" i="19"/>
  <c r="AD19" i="19" s="1"/>
  <c r="T86" i="1" s="1"/>
  <c r="Y2" i="12"/>
  <c r="B49" i="12" s="1"/>
  <c r="F28" i="19"/>
  <c r="F28" i="18"/>
  <c r="F28" i="13"/>
  <c r="F29" i="19"/>
  <c r="F29" i="18"/>
  <c r="F29" i="13"/>
  <c r="AD18" i="19"/>
  <c r="T85" i="1" s="1"/>
  <c r="H28" i="19"/>
  <c r="M28" i="19" s="1"/>
  <c r="M30" i="19" s="1"/>
  <c r="C52" i="19" s="1"/>
  <c r="AB12" i="18"/>
  <c r="H27" i="18"/>
  <c r="M27" i="18" s="1"/>
  <c r="M30" i="18" s="1"/>
  <c r="C52" i="18" s="1"/>
  <c r="AB14" i="19"/>
  <c r="AD14" i="19" s="1"/>
  <c r="T81" i="1" s="1"/>
  <c r="AB13" i="18"/>
  <c r="AD13" i="18" s="1"/>
  <c r="N80" i="1" s="1"/>
  <c r="F27" i="18"/>
  <c r="F27" i="19"/>
  <c r="F27" i="13"/>
  <c r="AB6" i="19"/>
  <c r="AB17" i="18"/>
  <c r="AD17" i="18" s="1"/>
  <c r="N84" i="1" s="1"/>
  <c r="AD11" i="18"/>
  <c r="N78" i="1" s="1"/>
  <c r="AD9" i="19"/>
  <c r="T76" i="1" s="1"/>
  <c r="AD6" i="18"/>
  <c r="N73" i="1" s="1"/>
  <c r="AC12" i="18"/>
  <c r="AC13" i="18"/>
  <c r="I27" i="18"/>
  <c r="N27" i="18" s="1"/>
  <c r="AC6" i="18"/>
  <c r="AC17" i="18"/>
  <c r="I29" i="18"/>
  <c r="N29" i="18" s="1"/>
  <c r="AC18" i="18"/>
  <c r="I28" i="18"/>
  <c r="N28" i="18" s="1"/>
  <c r="AC7" i="18"/>
  <c r="AD7" i="18" s="1"/>
  <c r="N74" i="1" s="1"/>
  <c r="AC9" i="18"/>
  <c r="AD9" i="18" s="1"/>
  <c r="N76" i="1" s="1"/>
  <c r="AC8" i="18"/>
  <c r="AD8" i="18" s="1"/>
  <c r="N75" i="1" s="1"/>
  <c r="AC14" i="18"/>
  <c r="AD14" i="18" s="1"/>
  <c r="N81" i="1" s="1"/>
  <c r="AD10" i="18"/>
  <c r="N77" i="1" s="1"/>
  <c r="H29" i="18"/>
  <c r="M29" i="18" s="1"/>
  <c r="AC19" i="18"/>
  <c r="AC5" i="18"/>
  <c r="AC10" i="18"/>
  <c r="I25" i="18"/>
  <c r="N25" i="18" s="1"/>
  <c r="N30" i="18" s="1"/>
  <c r="C53" i="18" s="1"/>
  <c r="AC11" i="18"/>
  <c r="AC18" i="19"/>
  <c r="AC6" i="19"/>
  <c r="AC8" i="19"/>
  <c r="AD8" i="19" s="1"/>
  <c r="T75" i="1" s="1"/>
  <c r="AC13" i="19"/>
  <c r="AD13" i="19" s="1"/>
  <c r="T80" i="1" s="1"/>
  <c r="I27" i="19"/>
  <c r="N27" i="19" s="1"/>
  <c r="AC12" i="19"/>
  <c r="I29" i="19"/>
  <c r="N29" i="19" s="1"/>
  <c r="I28" i="19"/>
  <c r="N28" i="19" s="1"/>
  <c r="AC17" i="19"/>
  <c r="AD17" i="19" s="1"/>
  <c r="T84" i="1" s="1"/>
  <c r="AC9" i="19"/>
  <c r="AC7" i="19"/>
  <c r="AD7" i="19" s="1"/>
  <c r="T74" i="1" s="1"/>
  <c r="AC14" i="19"/>
  <c r="L30" i="18"/>
  <c r="C51" i="18" s="1"/>
  <c r="AD19" i="18"/>
  <c r="N86" i="1" s="1"/>
  <c r="L30" i="19"/>
  <c r="C51" i="19" s="1"/>
  <c r="H29" i="13"/>
  <c r="M29" i="13" s="1"/>
  <c r="AB9" i="13"/>
  <c r="AB6" i="13"/>
  <c r="AB12" i="13"/>
  <c r="H28" i="13"/>
  <c r="M28" i="13" s="1"/>
  <c r="AB13" i="13"/>
  <c r="H27" i="13"/>
  <c r="M27" i="13" s="1"/>
  <c r="AB14" i="13"/>
  <c r="AB22" i="18"/>
  <c r="AB33" i="12"/>
  <c r="J30" i="19"/>
  <c r="C49" i="19" s="1"/>
  <c r="E49" i="19" s="1"/>
  <c r="T59" i="1" s="1"/>
  <c r="J30" i="18"/>
  <c r="C49" i="18" s="1"/>
  <c r="E49" i="18" s="1"/>
  <c r="N59" i="1" s="1"/>
  <c r="M16" i="14"/>
  <c r="I7" i="13"/>
  <c r="I7" i="18" s="1"/>
  <c r="I7" i="19" s="1"/>
  <c r="M15" i="14"/>
  <c r="I6" i="13"/>
  <c r="I6" i="18" s="1"/>
  <c r="I6" i="19" s="1"/>
  <c r="M23" i="14"/>
  <c r="I14" i="13"/>
  <c r="I14" i="18" s="1"/>
  <c r="I14" i="19" s="1"/>
  <c r="M22" i="14"/>
  <c r="I13" i="13"/>
  <c r="I13" i="18" s="1"/>
  <c r="I13" i="19" s="1"/>
  <c r="AC20" i="13"/>
  <c r="AD20" i="13" s="1"/>
  <c r="H87" i="1" s="1"/>
  <c r="AC10" i="13"/>
  <c r="AD10" i="13" s="1"/>
  <c r="H77" i="1" s="1"/>
  <c r="I25" i="13"/>
  <c r="N25" i="13" s="1"/>
  <c r="AC11" i="13"/>
  <c r="AD11" i="13" s="1"/>
  <c r="H78" i="1" s="1"/>
  <c r="AC19" i="13"/>
  <c r="AD19" i="13" s="1"/>
  <c r="H86" i="1" s="1"/>
  <c r="M17" i="14"/>
  <c r="I8" i="13"/>
  <c r="I8" i="18" s="1"/>
  <c r="I8" i="19" s="1"/>
  <c r="M21" i="14"/>
  <c r="I12" i="13"/>
  <c r="I12" i="18" s="1"/>
  <c r="I12" i="19" s="1"/>
  <c r="M18" i="14"/>
  <c r="I9" i="13"/>
  <c r="I9" i="18" s="1"/>
  <c r="I9" i="19" s="1"/>
  <c r="AC18" i="13"/>
  <c r="AD18" i="13" s="1"/>
  <c r="H85" i="1" s="1"/>
  <c r="AC13" i="13"/>
  <c r="AC6" i="13"/>
  <c r="AD6" i="13" s="1"/>
  <c r="H73" i="1" s="1"/>
  <c r="I29" i="13"/>
  <c r="N29" i="13" s="1"/>
  <c r="AC9" i="13"/>
  <c r="AD9" i="13" s="1"/>
  <c r="H76" i="1" s="1"/>
  <c r="I27" i="13"/>
  <c r="N27" i="13" s="1"/>
  <c r="AC5" i="13"/>
  <c r="AC17" i="13"/>
  <c r="AD17" i="13" s="1"/>
  <c r="H84" i="1" s="1"/>
  <c r="AC7" i="13"/>
  <c r="AD7" i="13" s="1"/>
  <c r="H74" i="1" s="1"/>
  <c r="AC8" i="13"/>
  <c r="AD8" i="13" s="1"/>
  <c r="H75" i="1" s="1"/>
  <c r="I28" i="13"/>
  <c r="N28" i="13" s="1"/>
  <c r="AC14" i="13"/>
  <c r="AC12" i="13"/>
  <c r="N26" i="13"/>
  <c r="O26" i="13"/>
  <c r="P26" i="13" s="1"/>
  <c r="H90" i="1" s="1"/>
  <c r="M27" i="14"/>
  <c r="I18" i="13"/>
  <c r="I18" i="18" s="1"/>
  <c r="I18" i="19" s="1"/>
  <c r="M26" i="14"/>
  <c r="I17" i="13"/>
  <c r="I17" i="18" s="1"/>
  <c r="I17" i="19" s="1"/>
  <c r="AA6" i="12"/>
  <c r="M40" i="11"/>
  <c r="M42" i="11"/>
  <c r="M38" i="11"/>
  <c r="M9" i="11"/>
  <c r="M39" i="11"/>
  <c r="G22" i="14"/>
  <c r="G16" i="14"/>
  <c r="G27" i="14"/>
  <c r="G15" i="14"/>
  <c r="G26" i="14"/>
  <c r="G18" i="14"/>
  <c r="G23" i="14"/>
  <c r="G17" i="14"/>
  <c r="G21" i="14"/>
  <c r="C43" i="12"/>
  <c r="G43" i="12" s="1"/>
  <c r="P14" i="4" s="1"/>
  <c r="P16" i="4" s="1"/>
  <c r="M36" i="11"/>
  <c r="AB32" i="12"/>
  <c r="AB2" i="12"/>
  <c r="S3" i="12"/>
  <c r="D4" i="12"/>
  <c r="O5" i="12"/>
  <c r="Z4" i="12"/>
  <c r="Q3" i="12"/>
  <c r="B4" i="12"/>
  <c r="R3" i="12"/>
  <c r="C4" i="12"/>
  <c r="M41" i="11"/>
  <c r="M10" i="11"/>
  <c r="AA10" i="11"/>
  <c r="AC10" i="11"/>
  <c r="AD10" i="11" s="1"/>
  <c r="AE10" i="11" s="1"/>
  <c r="H11" i="11"/>
  <c r="Y11" i="11"/>
  <c r="V11" i="11"/>
  <c r="O11" i="11"/>
  <c r="Z11" i="11"/>
  <c r="W11" i="11"/>
  <c r="P11" i="11"/>
  <c r="T11" i="11"/>
  <c r="S11" i="11"/>
  <c r="Q11" i="11"/>
  <c r="X11" i="11"/>
  <c r="AB10" i="11"/>
  <c r="R11" i="11"/>
  <c r="U11" i="11"/>
  <c r="B11" i="11"/>
  <c r="C13" i="11"/>
  <c r="L11" i="11"/>
  <c r="K11" i="11"/>
  <c r="J11" i="11"/>
  <c r="G12" i="11"/>
  <c r="A14" i="11"/>
  <c r="D13" i="11"/>
  <c r="I11" i="11"/>
  <c r="B82" i="12"/>
  <c r="AB34" i="12"/>
  <c r="X7" i="12"/>
  <c r="W7" i="12"/>
  <c r="AB30" i="12"/>
  <c r="F7" i="12"/>
  <c r="E7" i="12"/>
  <c r="H7" i="12"/>
  <c r="A54" i="12"/>
  <c r="A101" i="12" s="1"/>
  <c r="V7" i="12"/>
  <c r="M7" i="12"/>
  <c r="P7" i="12"/>
  <c r="G7" i="12"/>
  <c r="J7" i="12"/>
  <c r="I7" i="12"/>
  <c r="L7" i="12"/>
  <c r="N7" i="12"/>
  <c r="K7" i="12"/>
  <c r="C45" i="12"/>
  <c r="A8" i="12"/>
  <c r="U7" i="12"/>
  <c r="T3" i="12"/>
  <c r="T7" i="12"/>
  <c r="T5" i="12"/>
  <c r="T6" i="12"/>
  <c r="T4" i="12"/>
  <c r="T2" i="12"/>
  <c r="E53" i="18" l="1"/>
  <c r="N93" i="1" s="1"/>
  <c r="AD13" i="13"/>
  <c r="H80" i="1" s="1"/>
  <c r="M30" i="13"/>
  <c r="C52" i="13" s="1"/>
  <c r="N30" i="19"/>
  <c r="C53" i="19" s="1"/>
  <c r="O25" i="18"/>
  <c r="P25" i="18" s="1"/>
  <c r="N89" i="1" s="1"/>
  <c r="AD6" i="19"/>
  <c r="T73" i="1" s="1"/>
  <c r="X33" i="13"/>
  <c r="K29" i="13"/>
  <c r="O29" i="13" s="1"/>
  <c r="P29" i="13" s="1"/>
  <c r="AD18" i="18"/>
  <c r="N85" i="1" s="1"/>
  <c r="X31" i="13"/>
  <c r="K27" i="13"/>
  <c r="X33" i="18"/>
  <c r="K29" i="18"/>
  <c r="O29" i="18" s="1"/>
  <c r="P29" i="18" s="1"/>
  <c r="O25" i="19"/>
  <c r="P25" i="19" s="1"/>
  <c r="T89" i="1" s="1"/>
  <c r="AC22" i="18"/>
  <c r="D53" i="18" s="1"/>
  <c r="AB22" i="13"/>
  <c r="K27" i="19"/>
  <c r="X31" i="19"/>
  <c r="X33" i="19"/>
  <c r="K29" i="19"/>
  <c r="O29" i="19" s="1"/>
  <c r="P29" i="19" s="1"/>
  <c r="AB22" i="19"/>
  <c r="K27" i="18"/>
  <c r="X31" i="18"/>
  <c r="Z5" i="18" s="1"/>
  <c r="X32" i="13"/>
  <c r="K28" i="13"/>
  <c r="O28" i="13" s="1"/>
  <c r="P28" i="13" s="1"/>
  <c r="AC22" i="19"/>
  <c r="D53" i="19" s="1"/>
  <c r="K28" i="18"/>
  <c r="O28" i="18" s="1"/>
  <c r="P28" i="18" s="1"/>
  <c r="X32" i="18"/>
  <c r="X32" i="19"/>
  <c r="K28" i="19"/>
  <c r="O28" i="19" s="1"/>
  <c r="P28" i="19" s="1"/>
  <c r="D52" i="18"/>
  <c r="N92" i="1"/>
  <c r="AD12" i="18"/>
  <c r="N79" i="1" s="1"/>
  <c r="AD12" i="13"/>
  <c r="H79" i="1" s="1"/>
  <c r="AD14" i="13"/>
  <c r="H81" i="1" s="1"/>
  <c r="N14" i="13"/>
  <c r="N14" i="19"/>
  <c r="N14" i="18"/>
  <c r="N7" i="13"/>
  <c r="N7" i="19"/>
  <c r="N7" i="18"/>
  <c r="N9" i="13"/>
  <c r="N9" i="18"/>
  <c r="N9" i="19"/>
  <c r="N8" i="13"/>
  <c r="N8" i="19"/>
  <c r="N8" i="18"/>
  <c r="N17" i="13"/>
  <c r="N17" i="18"/>
  <c r="N17" i="19"/>
  <c r="N12" i="13"/>
  <c r="N12" i="19"/>
  <c r="N12" i="18"/>
  <c r="N18" i="13"/>
  <c r="N18" i="18"/>
  <c r="N18" i="19"/>
  <c r="N13" i="13"/>
  <c r="N13" i="19"/>
  <c r="N13" i="18"/>
  <c r="N6" i="13"/>
  <c r="N6" i="19"/>
  <c r="N6" i="18"/>
  <c r="E52" i="18"/>
  <c r="H18" i="13"/>
  <c r="H18" i="18" s="1"/>
  <c r="H18" i="19" s="1"/>
  <c r="H9" i="13"/>
  <c r="H9" i="18" s="1"/>
  <c r="H9" i="19" s="1"/>
  <c r="H7" i="13"/>
  <c r="H7" i="18" s="1"/>
  <c r="H7" i="19" s="1"/>
  <c r="H8" i="13"/>
  <c r="H8" i="18" s="1"/>
  <c r="H8" i="19" s="1"/>
  <c r="H6" i="13"/>
  <c r="H6" i="18" s="1"/>
  <c r="H6" i="19" s="1"/>
  <c r="H14" i="13"/>
  <c r="H14" i="18" s="1"/>
  <c r="H14" i="19" s="1"/>
  <c r="H17" i="13"/>
  <c r="H17" i="18" s="1"/>
  <c r="H17" i="19" s="1"/>
  <c r="H13" i="13"/>
  <c r="H13" i="18" s="1"/>
  <c r="H13" i="19" s="1"/>
  <c r="N30" i="13"/>
  <c r="C53" i="13" s="1"/>
  <c r="O25" i="13"/>
  <c r="P25" i="13" s="1"/>
  <c r="H89" i="1" s="1"/>
  <c r="AC22" i="13"/>
  <c r="D53" i="13" s="1"/>
  <c r="AD5" i="13"/>
  <c r="H72" i="1" s="1"/>
  <c r="AA7" i="12"/>
  <c r="R21" i="14"/>
  <c r="H12" i="13"/>
  <c r="H12" i="18" s="1"/>
  <c r="H12" i="19" s="1"/>
  <c r="L23" i="14"/>
  <c r="R23" i="14"/>
  <c r="L27" i="14"/>
  <c r="R27" i="14"/>
  <c r="L18" i="14"/>
  <c r="R18" i="14"/>
  <c r="L16" i="14"/>
  <c r="R16" i="14"/>
  <c r="L26" i="14"/>
  <c r="R26" i="14"/>
  <c r="L22" i="14"/>
  <c r="R22" i="14"/>
  <c r="L17" i="14"/>
  <c r="R17" i="14"/>
  <c r="L15" i="14"/>
  <c r="R15" i="14"/>
  <c r="G45" i="12"/>
  <c r="R14" i="4" s="1"/>
  <c r="R16" i="4" s="1"/>
  <c r="L21" i="14"/>
  <c r="C18" i="5"/>
  <c r="Y3" i="12"/>
  <c r="B50" i="12" s="1"/>
  <c r="K8" i="12"/>
  <c r="Q4" i="12"/>
  <c r="B5" i="12"/>
  <c r="S4" i="12"/>
  <c r="D5" i="12"/>
  <c r="C5" i="12"/>
  <c r="R4" i="12"/>
  <c r="Z5" i="12"/>
  <c r="O6" i="12"/>
  <c r="M11" i="11"/>
  <c r="O12" i="11"/>
  <c r="AA11" i="11"/>
  <c r="X12" i="11"/>
  <c r="AB11" i="11"/>
  <c r="V12" i="11"/>
  <c r="U12" i="11"/>
  <c r="AC11" i="11"/>
  <c r="AD11" i="11" s="1"/>
  <c r="AE11" i="11" s="1"/>
  <c r="H12" i="11"/>
  <c r="T12" i="11"/>
  <c r="Q12" i="11"/>
  <c r="Z12" i="11"/>
  <c r="P12" i="11"/>
  <c r="Y12" i="11"/>
  <c r="W12" i="11"/>
  <c r="R12" i="11"/>
  <c r="S12" i="11"/>
  <c r="C14" i="11"/>
  <c r="B12" i="11"/>
  <c r="J12" i="11"/>
  <c r="L12" i="11"/>
  <c r="K12" i="11"/>
  <c r="I12" i="11"/>
  <c r="G13" i="11"/>
  <c r="A15" i="11"/>
  <c r="D14" i="11"/>
  <c r="T8" i="12"/>
  <c r="X8" i="12"/>
  <c r="W8" i="12"/>
  <c r="G8" i="12"/>
  <c r="E8" i="12"/>
  <c r="M8" i="12"/>
  <c r="L8" i="12"/>
  <c r="I8" i="12"/>
  <c r="P8" i="12"/>
  <c r="N8" i="12"/>
  <c r="A55" i="12"/>
  <c r="A102" i="12" s="1"/>
  <c r="V8" i="12"/>
  <c r="AA8" i="12" s="1"/>
  <c r="J8" i="12"/>
  <c r="H8" i="12"/>
  <c r="F8" i="12"/>
  <c r="A9" i="12"/>
  <c r="U8" i="12"/>
  <c r="Z22" i="18" l="1"/>
  <c r="D50" i="18" s="1"/>
  <c r="AD5" i="18"/>
  <c r="N72" i="1" s="1"/>
  <c r="D52" i="19"/>
  <c r="E52" i="19" s="1"/>
  <c r="T67" i="1" s="1"/>
  <c r="T92" i="1"/>
  <c r="T95" i="1" s="1"/>
  <c r="K30" i="19"/>
  <c r="C50" i="19" s="1"/>
  <c r="E51" i="19" s="1"/>
  <c r="T61" i="1" s="1"/>
  <c r="O27" i="19"/>
  <c r="P27" i="19" s="1"/>
  <c r="T91" i="1" s="1"/>
  <c r="D52" i="13"/>
  <c r="E52" i="13" s="1"/>
  <c r="H92" i="1"/>
  <c r="E53" i="19"/>
  <c r="T93" i="1" s="1"/>
  <c r="K30" i="13"/>
  <c r="C50" i="13" s="1"/>
  <c r="E51" i="13" s="1"/>
  <c r="H61" i="1" s="1"/>
  <c r="O27" i="13"/>
  <c r="P27" i="13" s="1"/>
  <c r="H91" i="1" s="1"/>
  <c r="K30" i="18"/>
  <c r="C50" i="18" s="1"/>
  <c r="E51" i="18" s="1"/>
  <c r="N61" i="1" s="1"/>
  <c r="N67" i="1" s="1"/>
  <c r="O27" i="18"/>
  <c r="P27" i="18" s="1"/>
  <c r="N91" i="1" s="1"/>
  <c r="M17" i="13"/>
  <c r="M17" i="18"/>
  <c r="M17" i="19"/>
  <c r="M14" i="13"/>
  <c r="M14" i="19"/>
  <c r="M14" i="18"/>
  <c r="S13" i="19"/>
  <c r="S13" i="18"/>
  <c r="S18" i="18"/>
  <c r="S18" i="19"/>
  <c r="M6" i="13"/>
  <c r="M6" i="18"/>
  <c r="M6" i="19"/>
  <c r="M13" i="13"/>
  <c r="M13" i="18"/>
  <c r="M13" i="19"/>
  <c r="M7" i="13"/>
  <c r="M7" i="19"/>
  <c r="M7" i="18"/>
  <c r="M18" i="13"/>
  <c r="M18" i="19"/>
  <c r="M18" i="18"/>
  <c r="M8" i="13"/>
  <c r="M8" i="18"/>
  <c r="M8" i="19"/>
  <c r="M9" i="13"/>
  <c r="M9" i="19"/>
  <c r="M9" i="18"/>
  <c r="S6" i="19"/>
  <c r="S6" i="18"/>
  <c r="S7" i="18"/>
  <c r="S7" i="19"/>
  <c r="S12" i="18"/>
  <c r="S12" i="19"/>
  <c r="M12" i="13"/>
  <c r="M12" i="19"/>
  <c r="M12" i="18"/>
  <c r="S8" i="18"/>
  <c r="S8" i="19"/>
  <c r="S17" i="19"/>
  <c r="S17" i="18"/>
  <c r="S9" i="18"/>
  <c r="S9" i="19"/>
  <c r="S14" i="18"/>
  <c r="S14" i="19"/>
  <c r="E53" i="13"/>
  <c r="D73" i="1"/>
  <c r="S6" i="13"/>
  <c r="D74" i="1"/>
  <c r="S7" i="13"/>
  <c r="D85" i="1"/>
  <c r="S18" i="13"/>
  <c r="D79" i="1"/>
  <c r="S12" i="13"/>
  <c r="D75" i="1"/>
  <c r="S8" i="13"/>
  <c r="D84" i="1"/>
  <c r="S17" i="13"/>
  <c r="D80" i="1"/>
  <c r="S13" i="13"/>
  <c r="D76" i="1"/>
  <c r="S9" i="13"/>
  <c r="D81" i="1"/>
  <c r="S14" i="13"/>
  <c r="C15" i="11"/>
  <c r="AB3" i="12"/>
  <c r="Y4" i="12"/>
  <c r="B51" i="12" s="1"/>
  <c r="N8" i="11"/>
  <c r="E8" i="11"/>
  <c r="E10" i="11"/>
  <c r="E9" i="11"/>
  <c r="N9" i="11"/>
  <c r="E11" i="11"/>
  <c r="E12" i="11"/>
  <c r="N10" i="11"/>
  <c r="N11" i="11"/>
  <c r="E13" i="11"/>
  <c r="E14" i="11"/>
  <c r="N12" i="11"/>
  <c r="S5" i="12"/>
  <c r="D6" i="12"/>
  <c r="R5" i="12"/>
  <c r="C6" i="12"/>
  <c r="O7" i="12"/>
  <c r="Z6" i="12"/>
  <c r="B6" i="12"/>
  <c r="Q5" i="12"/>
  <c r="M12" i="11"/>
  <c r="H13" i="11"/>
  <c r="Z13" i="11"/>
  <c r="Q13" i="11"/>
  <c r="S13" i="11"/>
  <c r="P13" i="11"/>
  <c r="AB12" i="11"/>
  <c r="X13" i="11"/>
  <c r="R13" i="11"/>
  <c r="W13" i="11"/>
  <c r="AC12" i="11"/>
  <c r="AD12" i="11" s="1"/>
  <c r="AE12" i="11" s="1"/>
  <c r="U13" i="11"/>
  <c r="Y13" i="11"/>
  <c r="T13" i="11"/>
  <c r="V13" i="11"/>
  <c r="O13" i="11"/>
  <c r="AA12" i="11"/>
  <c r="B13" i="11"/>
  <c r="K13" i="11"/>
  <c r="J13" i="11"/>
  <c r="L13" i="11"/>
  <c r="G14" i="11"/>
  <c r="N13" i="11"/>
  <c r="I13" i="11"/>
  <c r="A16" i="11"/>
  <c r="D15" i="11"/>
  <c r="E15" i="11"/>
  <c r="W9" i="12"/>
  <c r="X9" i="12"/>
  <c r="A56" i="12"/>
  <c r="A103" i="12" s="1"/>
  <c r="P9" i="12"/>
  <c r="H9" i="12"/>
  <c r="K9" i="12"/>
  <c r="I9" i="12"/>
  <c r="N9" i="12"/>
  <c r="L9" i="12"/>
  <c r="J9" i="12"/>
  <c r="G9" i="12"/>
  <c r="V9" i="12"/>
  <c r="E9" i="12"/>
  <c r="F9" i="12"/>
  <c r="M9" i="12"/>
  <c r="A10" i="12"/>
  <c r="U9" i="12"/>
  <c r="T9" i="12"/>
  <c r="H67" i="1" l="1"/>
  <c r="H93" i="1"/>
  <c r="H95" i="1"/>
  <c r="N95" i="1"/>
  <c r="AA9" i="12"/>
  <c r="Y5" i="12"/>
  <c r="B52" i="12" s="1"/>
  <c r="AB4" i="12"/>
  <c r="H14" i="11"/>
  <c r="C7" i="12"/>
  <c r="R6" i="12"/>
  <c r="Q6" i="12"/>
  <c r="B7" i="12"/>
  <c r="S6" i="12"/>
  <c r="D7" i="12"/>
  <c r="O8" i="12"/>
  <c r="Z7" i="12"/>
  <c r="M13" i="11"/>
  <c r="Y14" i="11"/>
  <c r="R14" i="11"/>
  <c r="S14" i="11"/>
  <c r="O14" i="11"/>
  <c r="AA13" i="11"/>
  <c r="U14" i="11"/>
  <c r="X14" i="11"/>
  <c r="Q14" i="11"/>
  <c r="AC13" i="11"/>
  <c r="AD13" i="11" s="1"/>
  <c r="AE13" i="11" s="1"/>
  <c r="V14" i="11"/>
  <c r="Z14" i="11"/>
  <c r="T14" i="11"/>
  <c r="W14" i="11"/>
  <c r="P14" i="11"/>
  <c r="AB13" i="11"/>
  <c r="B14" i="11"/>
  <c r="I14" i="11"/>
  <c r="K14" i="11"/>
  <c r="J14" i="11"/>
  <c r="L14" i="11"/>
  <c r="A17" i="11"/>
  <c r="D16" i="11"/>
  <c r="E16" i="11"/>
  <c r="G15" i="11"/>
  <c r="N14" i="11"/>
  <c r="C16" i="11"/>
  <c r="X10" i="12"/>
  <c r="W10" i="12"/>
  <c r="V10" i="12"/>
  <c r="AA10" i="12" s="1"/>
  <c r="K10" i="12"/>
  <c r="I10" i="12"/>
  <c r="A57" i="12"/>
  <c r="A104" i="12" s="1"/>
  <c r="N10" i="12"/>
  <c r="L10" i="12"/>
  <c r="J10" i="12"/>
  <c r="M10" i="12"/>
  <c r="P10" i="12"/>
  <c r="E10" i="12"/>
  <c r="F10" i="12"/>
  <c r="H10" i="12"/>
  <c r="G10" i="12"/>
  <c r="A11" i="12"/>
  <c r="U10" i="12"/>
  <c r="T10" i="12"/>
  <c r="AB5" i="12" l="1"/>
  <c r="Y6" i="12"/>
  <c r="AB6" i="12" s="1"/>
  <c r="H15" i="11"/>
  <c r="D8" i="12"/>
  <c r="S7" i="12"/>
  <c r="B8" i="12"/>
  <c r="Q7" i="12"/>
  <c r="Z8" i="12"/>
  <c r="O9" i="12"/>
  <c r="C8" i="12"/>
  <c r="R7" i="12"/>
  <c r="M14" i="11"/>
  <c r="T15" i="11"/>
  <c r="Q15" i="11"/>
  <c r="AC14" i="11"/>
  <c r="AD14" i="11" s="1"/>
  <c r="AE14" i="11" s="1"/>
  <c r="O15" i="11"/>
  <c r="AA14" i="11"/>
  <c r="Z15" i="11"/>
  <c r="X15" i="11"/>
  <c r="S15" i="11"/>
  <c r="P15" i="11"/>
  <c r="AB14" i="11"/>
  <c r="V15" i="11"/>
  <c r="U15" i="11"/>
  <c r="R15" i="11"/>
  <c r="W15" i="11"/>
  <c r="Y15" i="11"/>
  <c r="B15" i="11"/>
  <c r="I15" i="11"/>
  <c r="L15" i="11"/>
  <c r="K15" i="11"/>
  <c r="J15" i="11"/>
  <c r="C17" i="11"/>
  <c r="G16" i="11"/>
  <c r="N15" i="11"/>
  <c r="A18" i="11"/>
  <c r="E17" i="11"/>
  <c r="D17" i="11"/>
  <c r="X11" i="12"/>
  <c r="W11" i="12"/>
  <c r="A58" i="12"/>
  <c r="A105" i="12" s="1"/>
  <c r="V11" i="12"/>
  <c r="N11" i="12"/>
  <c r="L11" i="12"/>
  <c r="J11" i="12"/>
  <c r="M11" i="12"/>
  <c r="P11" i="12"/>
  <c r="H11" i="12"/>
  <c r="K11" i="12"/>
  <c r="I11" i="12"/>
  <c r="E11" i="12"/>
  <c r="F11" i="12"/>
  <c r="G11" i="12"/>
  <c r="A12" i="12"/>
  <c r="T11" i="12"/>
  <c r="U11" i="12"/>
  <c r="H16" i="11" l="1"/>
  <c r="B53" i="12"/>
  <c r="Q8" i="12"/>
  <c r="B9" i="12"/>
  <c r="Z9" i="12"/>
  <c r="O10" i="12"/>
  <c r="Y7" i="12"/>
  <c r="R8" i="12"/>
  <c r="C9" i="12"/>
  <c r="S8" i="12"/>
  <c r="D9" i="12"/>
  <c r="M15" i="11"/>
  <c r="U16" i="11"/>
  <c r="S16" i="11"/>
  <c r="O16" i="11"/>
  <c r="AA15" i="11"/>
  <c r="Y16" i="11"/>
  <c r="V16" i="11"/>
  <c r="X16" i="11"/>
  <c r="W16" i="11"/>
  <c r="Z16" i="11"/>
  <c r="Q16" i="11"/>
  <c r="AC15" i="11"/>
  <c r="AD15" i="11" s="1"/>
  <c r="AE15" i="11" s="1"/>
  <c r="R16" i="11"/>
  <c r="P16" i="11"/>
  <c r="AB15" i="11"/>
  <c r="T16" i="11"/>
  <c r="C18" i="11"/>
  <c r="B16" i="11"/>
  <c r="J16" i="11"/>
  <c r="L16" i="11"/>
  <c r="K16" i="11"/>
  <c r="A19" i="11"/>
  <c r="E18" i="11"/>
  <c r="D18" i="11"/>
  <c r="G17" i="11"/>
  <c r="N16" i="11"/>
  <c r="I16" i="11"/>
  <c r="AA11" i="12"/>
  <c r="W12" i="12"/>
  <c r="X12" i="12"/>
  <c r="A59" i="12"/>
  <c r="A106" i="12" s="1"/>
  <c r="V12" i="12"/>
  <c r="M12" i="12"/>
  <c r="P12" i="12"/>
  <c r="H12" i="12"/>
  <c r="K12" i="12"/>
  <c r="I12" i="12"/>
  <c r="F12" i="12"/>
  <c r="L12" i="12"/>
  <c r="J12" i="12"/>
  <c r="G12" i="12"/>
  <c r="N12" i="12"/>
  <c r="E12" i="12"/>
  <c r="A13" i="12"/>
  <c r="T12" i="12"/>
  <c r="U12" i="12"/>
  <c r="H17" i="11" l="1"/>
  <c r="AA12" i="12"/>
  <c r="Y8" i="12"/>
  <c r="B55" i="12" s="1"/>
  <c r="M16" i="11"/>
  <c r="Z10" i="12"/>
  <c r="O11" i="12"/>
  <c r="R9" i="12"/>
  <c r="C10" i="12"/>
  <c r="Q9" i="12"/>
  <c r="B10" i="12"/>
  <c r="D10" i="12"/>
  <c r="S9" i="12"/>
  <c r="B54" i="12"/>
  <c r="AB7" i="12"/>
  <c r="R17" i="11"/>
  <c r="W17" i="11"/>
  <c r="T17" i="11"/>
  <c r="X17" i="11"/>
  <c r="O17" i="11"/>
  <c r="AA16" i="11"/>
  <c r="Q17" i="11"/>
  <c r="AC16" i="11"/>
  <c r="AD16" i="11" s="1"/>
  <c r="AE16" i="11" s="1"/>
  <c r="V17" i="11"/>
  <c r="S17" i="11"/>
  <c r="P17" i="11"/>
  <c r="AB16" i="11"/>
  <c r="Z17" i="11"/>
  <c r="Y17" i="11"/>
  <c r="U17" i="11"/>
  <c r="B17" i="11"/>
  <c r="K17" i="11"/>
  <c r="J17" i="11"/>
  <c r="L17" i="11"/>
  <c r="I17" i="11"/>
  <c r="G18" i="11"/>
  <c r="N17" i="11"/>
  <c r="A20" i="11"/>
  <c r="D19" i="11"/>
  <c r="E19" i="11"/>
  <c r="C19" i="11"/>
  <c r="X13" i="12"/>
  <c r="W13" i="12"/>
  <c r="A60" i="12"/>
  <c r="A107" i="12" s="1"/>
  <c r="V13" i="12"/>
  <c r="P13" i="12"/>
  <c r="H13" i="12"/>
  <c r="K13" i="12"/>
  <c r="I13" i="12"/>
  <c r="N13" i="12"/>
  <c r="L13" i="12"/>
  <c r="G13" i="12"/>
  <c r="M13" i="12"/>
  <c r="J13" i="12"/>
  <c r="E13" i="12"/>
  <c r="F13" i="12"/>
  <c r="A14" i="12"/>
  <c r="U13" i="12"/>
  <c r="T13" i="12"/>
  <c r="H18" i="11" l="1"/>
  <c r="AB8" i="12"/>
  <c r="M17" i="11"/>
  <c r="Y9" i="12"/>
  <c r="AB9" i="12" s="1"/>
  <c r="Q10" i="12"/>
  <c r="B11" i="12"/>
  <c r="R10" i="12"/>
  <c r="C11" i="12"/>
  <c r="Z11" i="12"/>
  <c r="O12" i="12"/>
  <c r="D11" i="12"/>
  <c r="S10" i="12"/>
  <c r="X18" i="11"/>
  <c r="C20" i="11"/>
  <c r="U18" i="11"/>
  <c r="P18" i="11"/>
  <c r="AB17" i="11"/>
  <c r="Q18" i="11"/>
  <c r="AC17" i="11"/>
  <c r="AD17" i="11" s="1"/>
  <c r="AE17" i="11" s="1"/>
  <c r="T18" i="11"/>
  <c r="Y18" i="11"/>
  <c r="S18" i="11"/>
  <c r="W18" i="11"/>
  <c r="Z18" i="11"/>
  <c r="V18" i="11"/>
  <c r="O18" i="11"/>
  <c r="AA17" i="11"/>
  <c r="R18" i="11"/>
  <c r="B18" i="11"/>
  <c r="K18" i="11"/>
  <c r="J18" i="11"/>
  <c r="L18" i="11"/>
  <c r="G19" i="11"/>
  <c r="H19" i="11" s="1"/>
  <c r="N18" i="11"/>
  <c r="A21" i="11"/>
  <c r="D20" i="11"/>
  <c r="E20" i="11"/>
  <c r="I18" i="11"/>
  <c r="AA13" i="12"/>
  <c r="W14" i="12"/>
  <c r="X14" i="12"/>
  <c r="V14" i="12"/>
  <c r="K14" i="12"/>
  <c r="I14" i="12"/>
  <c r="N14" i="12"/>
  <c r="L14" i="12"/>
  <c r="A61" i="12"/>
  <c r="A108" i="12" s="1"/>
  <c r="M14" i="12"/>
  <c r="P14" i="12"/>
  <c r="J14" i="12"/>
  <c r="E14" i="12"/>
  <c r="F14" i="12"/>
  <c r="G14" i="12"/>
  <c r="H14" i="12"/>
  <c r="A15" i="12"/>
  <c r="U14" i="12"/>
  <c r="T14" i="12"/>
  <c r="AA14" i="12" l="1"/>
  <c r="B56" i="12"/>
  <c r="Y10" i="12"/>
  <c r="B57" i="12" s="1"/>
  <c r="C21" i="11"/>
  <c r="M18" i="11"/>
  <c r="Z12" i="12"/>
  <c r="O13" i="12"/>
  <c r="R11" i="12"/>
  <c r="C12" i="12"/>
  <c r="B12" i="12"/>
  <c r="Q11" i="12"/>
  <c r="D12" i="12"/>
  <c r="S11" i="12"/>
  <c r="R19" i="11"/>
  <c r="Z19" i="11"/>
  <c r="T19" i="11"/>
  <c r="P19" i="11"/>
  <c r="AB18" i="11"/>
  <c r="I19" i="11"/>
  <c r="W19" i="11"/>
  <c r="U19" i="11"/>
  <c r="O19" i="11"/>
  <c r="AA18" i="11"/>
  <c r="S19" i="11"/>
  <c r="Q19" i="11"/>
  <c r="AC18" i="11"/>
  <c r="AD18" i="11" s="1"/>
  <c r="AE18" i="11" s="1"/>
  <c r="V19" i="11"/>
  <c r="Y19" i="11"/>
  <c r="X19" i="11"/>
  <c r="B19" i="11"/>
  <c r="L19" i="11"/>
  <c r="K19" i="11"/>
  <c r="J19" i="11"/>
  <c r="G20" i="11"/>
  <c r="H20" i="11" s="1"/>
  <c r="N19" i="11"/>
  <c r="A22" i="11"/>
  <c r="D21" i="11"/>
  <c r="E21" i="11"/>
  <c r="W15" i="12"/>
  <c r="X15" i="12"/>
  <c r="A62" i="12"/>
  <c r="A109" i="12" s="1"/>
  <c r="V15" i="12"/>
  <c r="N15" i="12"/>
  <c r="L15" i="12"/>
  <c r="M15" i="12"/>
  <c r="P15" i="12"/>
  <c r="E15" i="12"/>
  <c r="H15" i="12"/>
  <c r="F15" i="12"/>
  <c r="I15" i="12"/>
  <c r="G15" i="12"/>
  <c r="K15" i="12"/>
  <c r="J15" i="12"/>
  <c r="A16" i="12"/>
  <c r="T58" i="12"/>
  <c r="U15" i="12"/>
  <c r="T15" i="12"/>
  <c r="C22" i="11" l="1"/>
  <c r="AA15" i="12"/>
  <c r="AB10" i="12"/>
  <c r="Y11" i="12"/>
  <c r="B58" i="12" s="1"/>
  <c r="R12" i="12"/>
  <c r="C13" i="12"/>
  <c r="Q12" i="12"/>
  <c r="B13" i="12"/>
  <c r="Z13" i="12"/>
  <c r="O14" i="12"/>
  <c r="S12" i="12"/>
  <c r="Y12" i="12" s="1"/>
  <c r="D13" i="12"/>
  <c r="M19" i="11"/>
  <c r="X20" i="11"/>
  <c r="Q20" i="11"/>
  <c r="AC19" i="11"/>
  <c r="AD19" i="11" s="1"/>
  <c r="AE19" i="11" s="1"/>
  <c r="U20" i="11"/>
  <c r="P20" i="11"/>
  <c r="AB19" i="11"/>
  <c r="Y20" i="11"/>
  <c r="S20" i="11"/>
  <c r="W20" i="11"/>
  <c r="T20" i="11"/>
  <c r="V20" i="11"/>
  <c r="Z20" i="11"/>
  <c r="O20" i="11"/>
  <c r="AA19" i="11"/>
  <c r="R20" i="11"/>
  <c r="B20" i="11"/>
  <c r="J20" i="11"/>
  <c r="L20" i="11"/>
  <c r="K20" i="11"/>
  <c r="G21" i="11"/>
  <c r="H21" i="11" s="1"/>
  <c r="N20" i="11"/>
  <c r="A23" i="11"/>
  <c r="E22" i="11"/>
  <c r="D22" i="11"/>
  <c r="I20" i="11"/>
  <c r="X16" i="12"/>
  <c r="W16" i="12"/>
  <c r="A63" i="12"/>
  <c r="A110" i="12" s="1"/>
  <c r="V16" i="12"/>
  <c r="M16" i="12"/>
  <c r="P16" i="12"/>
  <c r="K16" i="12"/>
  <c r="L16" i="12"/>
  <c r="H16" i="12"/>
  <c r="F16" i="12"/>
  <c r="N16" i="12"/>
  <c r="I16" i="12"/>
  <c r="G16" i="12"/>
  <c r="J16" i="12"/>
  <c r="E16" i="12"/>
  <c r="A17" i="12"/>
  <c r="T16" i="12"/>
  <c r="U16" i="12"/>
  <c r="AB11" i="12" l="1"/>
  <c r="Q13" i="12"/>
  <c r="B14" i="12"/>
  <c r="B59" i="12"/>
  <c r="AB12" i="12"/>
  <c r="D14" i="12"/>
  <c r="S13" i="12"/>
  <c r="Y13" i="12" s="1"/>
  <c r="O15" i="12"/>
  <c r="Z14" i="12"/>
  <c r="R13" i="12"/>
  <c r="C14" i="12"/>
  <c r="M20" i="11"/>
  <c r="Z21" i="11"/>
  <c r="R21" i="11"/>
  <c r="S21" i="11"/>
  <c r="U21" i="11"/>
  <c r="V21" i="11"/>
  <c r="Y21" i="11"/>
  <c r="T21" i="11"/>
  <c r="Q21" i="11"/>
  <c r="AC20" i="11"/>
  <c r="AD20" i="11" s="1"/>
  <c r="AE20" i="11" s="1"/>
  <c r="O21" i="11"/>
  <c r="AA20" i="11"/>
  <c r="W21" i="11"/>
  <c r="P21" i="11"/>
  <c r="AB20" i="11"/>
  <c r="X21" i="11"/>
  <c r="B21" i="11"/>
  <c r="I21" i="11"/>
  <c r="K21" i="11"/>
  <c r="J21" i="11"/>
  <c r="L21" i="11"/>
  <c r="G22" i="11"/>
  <c r="H22" i="11" s="1"/>
  <c r="N21" i="11"/>
  <c r="A24" i="11"/>
  <c r="D23" i="11"/>
  <c r="E23" i="11"/>
  <c r="C23" i="11"/>
  <c r="AA16" i="12"/>
  <c r="X17" i="12"/>
  <c r="W17" i="12"/>
  <c r="A64" i="12"/>
  <c r="A111" i="12" s="1"/>
  <c r="P17" i="12"/>
  <c r="V17" i="12"/>
  <c r="K17" i="12"/>
  <c r="N17" i="12"/>
  <c r="L17" i="12"/>
  <c r="I17" i="12"/>
  <c r="G17" i="12"/>
  <c r="M17" i="12"/>
  <c r="J17" i="12"/>
  <c r="E17" i="12"/>
  <c r="H17" i="12"/>
  <c r="F17" i="12"/>
  <c r="A18" i="12"/>
  <c r="T17" i="12"/>
  <c r="U17" i="12"/>
  <c r="C15" i="12" l="1"/>
  <c r="R14" i="12"/>
  <c r="B60" i="12"/>
  <c r="AB13" i="12"/>
  <c r="Q14" i="12"/>
  <c r="B15" i="12"/>
  <c r="Z15" i="12"/>
  <c r="O16" i="12"/>
  <c r="S14" i="12"/>
  <c r="D15" i="12"/>
  <c r="M21" i="11"/>
  <c r="W22" i="11"/>
  <c r="Q22" i="11"/>
  <c r="AC21" i="11"/>
  <c r="AD21" i="11" s="1"/>
  <c r="AE21" i="11" s="1"/>
  <c r="R22" i="11"/>
  <c r="X22" i="11"/>
  <c r="T22" i="11"/>
  <c r="U22" i="11"/>
  <c r="O22" i="11"/>
  <c r="AA21" i="11"/>
  <c r="Y22" i="11"/>
  <c r="S22" i="11"/>
  <c r="P22" i="11"/>
  <c r="AB21" i="11"/>
  <c r="V22" i="11"/>
  <c r="Z22" i="11"/>
  <c r="B22" i="11"/>
  <c r="K22" i="11"/>
  <c r="J22" i="11"/>
  <c r="L22" i="11"/>
  <c r="C24" i="11"/>
  <c r="G23" i="11"/>
  <c r="H23" i="11" s="1"/>
  <c r="N22" i="11"/>
  <c r="A25" i="11"/>
  <c r="D24" i="11"/>
  <c r="E24" i="11"/>
  <c r="I22" i="11"/>
  <c r="AA17" i="12"/>
  <c r="A19" i="12"/>
  <c r="A66" i="12" s="1"/>
  <c r="A113" i="12" s="1"/>
  <c r="W18" i="12"/>
  <c r="X18" i="12"/>
  <c r="V18" i="12"/>
  <c r="AA18" i="12" s="1"/>
  <c r="K18" i="12"/>
  <c r="N18" i="12"/>
  <c r="L18" i="12"/>
  <c r="M18" i="12"/>
  <c r="A65" i="12"/>
  <c r="A112" i="12" s="1"/>
  <c r="J18" i="12"/>
  <c r="E18" i="12"/>
  <c r="H18" i="12"/>
  <c r="F18" i="12"/>
  <c r="P18" i="12"/>
  <c r="I18" i="12"/>
  <c r="G18" i="12"/>
  <c r="T18" i="12"/>
  <c r="U18" i="12"/>
  <c r="I19" i="12" l="1"/>
  <c r="H19" i="12"/>
  <c r="M19" i="12"/>
  <c r="E19" i="12"/>
  <c r="F19" i="12"/>
  <c r="A20" i="12"/>
  <c r="A21" i="12" s="1"/>
  <c r="Y14" i="12"/>
  <c r="AB14" i="12" s="1"/>
  <c r="G19" i="12"/>
  <c r="O17" i="12"/>
  <c r="Z16" i="12"/>
  <c r="D16" i="12"/>
  <c r="S15" i="12"/>
  <c r="Q15" i="12"/>
  <c r="B16" i="12"/>
  <c r="J19" i="12"/>
  <c r="R15" i="12"/>
  <c r="C16" i="12"/>
  <c r="M22" i="11"/>
  <c r="P23" i="11"/>
  <c r="AB22" i="11"/>
  <c r="O23" i="11"/>
  <c r="AA22" i="11"/>
  <c r="R23" i="11"/>
  <c r="Z23" i="11"/>
  <c r="S23" i="11"/>
  <c r="U23" i="11"/>
  <c r="V23" i="11"/>
  <c r="Y23" i="11"/>
  <c r="T23" i="11"/>
  <c r="Q23" i="11"/>
  <c r="AC22" i="11"/>
  <c r="AD22" i="11" s="1"/>
  <c r="AE22" i="11" s="1"/>
  <c r="X23" i="11"/>
  <c r="W23" i="11"/>
  <c r="B23" i="11"/>
  <c r="I23" i="11"/>
  <c r="C25" i="11"/>
  <c r="L23" i="11"/>
  <c r="K23" i="11"/>
  <c r="J23" i="11"/>
  <c r="A26" i="11"/>
  <c r="E25" i="11"/>
  <c r="D25" i="11"/>
  <c r="G24" i="11"/>
  <c r="H24" i="11" s="1"/>
  <c r="N23" i="11"/>
  <c r="K19" i="12"/>
  <c r="T19" i="12"/>
  <c r="V19" i="12"/>
  <c r="P19" i="12"/>
  <c r="L19" i="12"/>
  <c r="U19" i="12"/>
  <c r="W19" i="12"/>
  <c r="X19" i="12"/>
  <c r="N19" i="12"/>
  <c r="H20" i="12"/>
  <c r="M20" i="12"/>
  <c r="T20" i="12"/>
  <c r="V20" i="12" l="1"/>
  <c r="AA20" i="12" s="1"/>
  <c r="N20" i="12"/>
  <c r="X20" i="12"/>
  <c r="P20" i="12"/>
  <c r="A67" i="12"/>
  <c r="A114" i="12" s="1"/>
  <c r="E20" i="12"/>
  <c r="I20" i="12"/>
  <c r="J20" i="12"/>
  <c r="L20" i="12"/>
  <c r="U20" i="12"/>
  <c r="K20" i="12"/>
  <c r="F20" i="12"/>
  <c r="B61" i="12"/>
  <c r="G20" i="12"/>
  <c r="W20" i="12"/>
  <c r="M23" i="11"/>
  <c r="A22" i="12"/>
  <c r="A23" i="12" s="1"/>
  <c r="W21" i="12"/>
  <c r="P21" i="12"/>
  <c r="L21" i="12"/>
  <c r="E21" i="12"/>
  <c r="V21" i="12"/>
  <c r="J21" i="12"/>
  <c r="X21" i="12"/>
  <c r="N21" i="12"/>
  <c r="K21" i="12"/>
  <c r="M21" i="12"/>
  <c r="F21" i="12"/>
  <c r="I21" i="12"/>
  <c r="A68" i="12"/>
  <c r="A115" i="12" s="1"/>
  <c r="G21" i="12"/>
  <c r="H21" i="12"/>
  <c r="U21" i="12"/>
  <c r="T21" i="12"/>
  <c r="C17" i="12"/>
  <c r="R16" i="12"/>
  <c r="S16" i="12"/>
  <c r="D17" i="12"/>
  <c r="B17" i="12"/>
  <c r="Q16" i="12"/>
  <c r="O18" i="12"/>
  <c r="Z17" i="12"/>
  <c r="Y15" i="12"/>
  <c r="Q24" i="11"/>
  <c r="AC23" i="11"/>
  <c r="AD23" i="11" s="1"/>
  <c r="AE23" i="11" s="1"/>
  <c r="U24" i="11"/>
  <c r="W24" i="11"/>
  <c r="T24" i="11"/>
  <c r="S24" i="11"/>
  <c r="O24" i="11"/>
  <c r="AA23" i="11"/>
  <c r="X24" i="11"/>
  <c r="Y24" i="11"/>
  <c r="Z24" i="11"/>
  <c r="V24" i="11"/>
  <c r="R24" i="11"/>
  <c r="P24" i="11"/>
  <c r="AB23" i="11"/>
  <c r="B24" i="11"/>
  <c r="J24" i="11"/>
  <c r="L24" i="11"/>
  <c r="K24" i="11"/>
  <c r="G25" i="11"/>
  <c r="H25" i="11" s="1"/>
  <c r="N24" i="11"/>
  <c r="I24" i="11"/>
  <c r="A27" i="11"/>
  <c r="E26" i="11"/>
  <c r="D26" i="11"/>
  <c r="C26" i="11"/>
  <c r="AA19" i="12"/>
  <c r="AA21" i="12" l="1"/>
  <c r="Y16" i="12"/>
  <c r="B63" i="12" s="1"/>
  <c r="A24" i="12"/>
  <c r="X23" i="12"/>
  <c r="W23" i="12"/>
  <c r="V23" i="12"/>
  <c r="A70" i="12"/>
  <c r="A117" i="12" s="1"/>
  <c r="T23" i="12"/>
  <c r="U23" i="12"/>
  <c r="V22" i="12"/>
  <c r="L22" i="12"/>
  <c r="L23" i="12" s="1"/>
  <c r="F22" i="12"/>
  <c r="F23" i="12" s="1"/>
  <c r="K22" i="12"/>
  <c r="K23" i="12" s="1"/>
  <c r="I22" i="12"/>
  <c r="I23" i="12" s="1"/>
  <c r="W22" i="12"/>
  <c r="J22" i="12"/>
  <c r="J23" i="12" s="1"/>
  <c r="X22" i="12"/>
  <c r="A69" i="12"/>
  <c r="A116" i="12" s="1"/>
  <c r="E22" i="12"/>
  <c r="E23" i="12" s="1"/>
  <c r="M22" i="12"/>
  <c r="M23" i="12" s="1"/>
  <c r="P22" i="12"/>
  <c r="P23" i="12" s="1"/>
  <c r="N22" i="12"/>
  <c r="N23" i="12" s="1"/>
  <c r="H22" i="12"/>
  <c r="H23" i="12" s="1"/>
  <c r="G22" i="12"/>
  <c r="G23" i="12" s="1"/>
  <c r="T22" i="12"/>
  <c r="U22" i="12"/>
  <c r="Z18" i="12"/>
  <c r="O19" i="12"/>
  <c r="S17" i="12"/>
  <c r="D18" i="12"/>
  <c r="B62" i="12"/>
  <c r="AB15" i="12"/>
  <c r="Q17" i="12"/>
  <c r="B18" i="12"/>
  <c r="R17" i="12"/>
  <c r="C18" i="12"/>
  <c r="M24" i="11"/>
  <c r="V25" i="11"/>
  <c r="W25" i="11"/>
  <c r="Z25" i="11"/>
  <c r="O25" i="11"/>
  <c r="AA24" i="11"/>
  <c r="U25" i="11"/>
  <c r="P25" i="11"/>
  <c r="AB24" i="11"/>
  <c r="Y25" i="11"/>
  <c r="S25" i="11"/>
  <c r="R25" i="11"/>
  <c r="X25" i="11"/>
  <c r="T25" i="11"/>
  <c r="Q25" i="11"/>
  <c r="AC24" i="11"/>
  <c r="AD24" i="11" s="1"/>
  <c r="AE24" i="11" s="1"/>
  <c r="B25" i="11"/>
  <c r="K25" i="11"/>
  <c r="J25" i="11"/>
  <c r="L25" i="11"/>
  <c r="I25" i="11"/>
  <c r="C27" i="11"/>
  <c r="A28" i="11"/>
  <c r="D27" i="11"/>
  <c r="E27" i="11"/>
  <c r="G26" i="11"/>
  <c r="H26" i="11" s="1"/>
  <c r="N25" i="11"/>
  <c r="AA23" i="12" l="1"/>
  <c r="Y17" i="12"/>
  <c r="AB17" i="12" s="1"/>
  <c r="AB16" i="12"/>
  <c r="M25" i="11"/>
  <c r="A25" i="12"/>
  <c r="M24" i="12"/>
  <c r="F24" i="12"/>
  <c r="L24" i="12"/>
  <c r="X24" i="12"/>
  <c r="A71" i="12"/>
  <c r="A118" i="12" s="1"/>
  <c r="P24" i="12"/>
  <c r="J24" i="12"/>
  <c r="E24" i="12"/>
  <c r="W24" i="12"/>
  <c r="V24" i="12"/>
  <c r="K24" i="12"/>
  <c r="I24" i="12"/>
  <c r="H24" i="12"/>
  <c r="G24" i="12"/>
  <c r="N24" i="12"/>
  <c r="T24" i="12"/>
  <c r="U24" i="12"/>
  <c r="AA22" i="12"/>
  <c r="R18" i="12"/>
  <c r="C19" i="12"/>
  <c r="O20" i="12"/>
  <c r="Z19" i="12"/>
  <c r="Q18" i="12"/>
  <c r="B19" i="12"/>
  <c r="S18" i="12"/>
  <c r="D19" i="12"/>
  <c r="X26" i="11"/>
  <c r="O26" i="11"/>
  <c r="AA25" i="11"/>
  <c r="R26" i="11"/>
  <c r="P26" i="11"/>
  <c r="AB25" i="11"/>
  <c r="Z26" i="11"/>
  <c r="S26" i="11"/>
  <c r="U26" i="11"/>
  <c r="W26" i="11"/>
  <c r="Q26" i="11"/>
  <c r="AC25" i="11"/>
  <c r="AD25" i="11" s="1"/>
  <c r="AE25" i="11" s="1"/>
  <c r="T26" i="11"/>
  <c r="Y26" i="11"/>
  <c r="V26" i="11"/>
  <c r="B26" i="11"/>
  <c r="I26" i="11"/>
  <c r="K26" i="11"/>
  <c r="J26" i="11"/>
  <c r="L26" i="11"/>
  <c r="A29" i="11"/>
  <c r="D28" i="11"/>
  <c r="E28" i="11"/>
  <c r="G27" i="11"/>
  <c r="H27" i="11" s="1"/>
  <c r="N26" i="11"/>
  <c r="C28" i="11"/>
  <c r="C29" i="11" s="1"/>
  <c r="B64" i="12" l="1"/>
  <c r="Y18" i="12"/>
  <c r="B65" i="12" s="1"/>
  <c r="AA24" i="12"/>
  <c r="M26" i="11"/>
  <c r="A26" i="12"/>
  <c r="W25" i="12"/>
  <c r="X25" i="12"/>
  <c r="P25" i="12"/>
  <c r="J25" i="12"/>
  <c r="V25" i="12"/>
  <c r="K25" i="12"/>
  <c r="I25" i="12"/>
  <c r="E25" i="12"/>
  <c r="T25" i="12"/>
  <c r="N25" i="12"/>
  <c r="G25" i="12"/>
  <c r="F25" i="12"/>
  <c r="M25" i="12"/>
  <c r="A72" i="12"/>
  <c r="A119" i="12" s="1"/>
  <c r="L25" i="12"/>
  <c r="H25" i="12"/>
  <c r="U25" i="12"/>
  <c r="S19" i="12"/>
  <c r="D20" i="12"/>
  <c r="R19" i="12"/>
  <c r="C20" i="12"/>
  <c r="Q19" i="12"/>
  <c r="B20" i="12"/>
  <c r="O21" i="12"/>
  <c r="Z20" i="12"/>
  <c r="AB18" i="12"/>
  <c r="S27" i="11"/>
  <c r="R27" i="11"/>
  <c r="V27" i="11"/>
  <c r="Q27" i="11"/>
  <c r="AC26" i="11"/>
  <c r="AD26" i="11" s="1"/>
  <c r="AE26" i="11" s="1"/>
  <c r="Z27" i="11"/>
  <c r="Y27" i="11"/>
  <c r="W27" i="11"/>
  <c r="O27" i="11"/>
  <c r="AA26" i="11"/>
  <c r="T27" i="11"/>
  <c r="U27" i="11"/>
  <c r="P27" i="11"/>
  <c r="AB26" i="11"/>
  <c r="X27" i="11"/>
  <c r="B27" i="11"/>
  <c r="L27" i="11"/>
  <c r="K27" i="11"/>
  <c r="J27" i="11"/>
  <c r="G28" i="11"/>
  <c r="H28" i="11" s="1"/>
  <c r="N27" i="11"/>
  <c r="A30" i="11"/>
  <c r="E29" i="11"/>
  <c r="D29" i="11"/>
  <c r="I27" i="11"/>
  <c r="M27" i="11" l="1"/>
  <c r="A27" i="12"/>
  <c r="A73" i="12"/>
  <c r="A120" i="12" s="1"/>
  <c r="M26" i="12"/>
  <c r="E26" i="12"/>
  <c r="W26" i="12"/>
  <c r="X26" i="12"/>
  <c r="T26" i="12"/>
  <c r="N26" i="12"/>
  <c r="J26" i="12"/>
  <c r="H26" i="12"/>
  <c r="G26" i="12"/>
  <c r="V26" i="12"/>
  <c r="L26" i="12"/>
  <c r="F26" i="12"/>
  <c r="I26" i="12"/>
  <c r="K26" i="12"/>
  <c r="P26" i="12"/>
  <c r="U26" i="12"/>
  <c r="AA25" i="12"/>
  <c r="Q20" i="12"/>
  <c r="B21" i="12"/>
  <c r="Z21" i="12"/>
  <c r="O22" i="12"/>
  <c r="Y19" i="12"/>
  <c r="S20" i="12"/>
  <c r="D21" i="12"/>
  <c r="C21" i="12"/>
  <c r="R20" i="12"/>
  <c r="U28" i="11"/>
  <c r="W28" i="11"/>
  <c r="Q28" i="11"/>
  <c r="AC27" i="11"/>
  <c r="AD27" i="11" s="1"/>
  <c r="AE27" i="11" s="1"/>
  <c r="X28" i="11"/>
  <c r="T28" i="11"/>
  <c r="Y28" i="11"/>
  <c r="V28" i="11"/>
  <c r="Z28" i="11"/>
  <c r="R28" i="11"/>
  <c r="P28" i="11"/>
  <c r="AB27" i="11"/>
  <c r="O28" i="11"/>
  <c r="AA27" i="11"/>
  <c r="S28" i="11"/>
  <c r="B28" i="11"/>
  <c r="J28" i="11"/>
  <c r="L28" i="11"/>
  <c r="K28" i="11"/>
  <c r="I28" i="11"/>
  <c r="A31" i="11"/>
  <c r="E30" i="11"/>
  <c r="D30" i="11"/>
  <c r="G29" i="11"/>
  <c r="H29" i="11" s="1"/>
  <c r="N28" i="11"/>
  <c r="C30" i="11"/>
  <c r="AA26" i="12" l="1"/>
  <c r="Y20" i="12"/>
  <c r="B67" i="12" s="1"/>
  <c r="Z22" i="12"/>
  <c r="O23" i="12"/>
  <c r="A28" i="12"/>
  <c r="L27" i="12"/>
  <c r="K27" i="12"/>
  <c r="I27" i="12"/>
  <c r="X27" i="12"/>
  <c r="W27" i="12"/>
  <c r="A74" i="12"/>
  <c r="A121" i="12" s="1"/>
  <c r="E27" i="12"/>
  <c r="G27" i="12"/>
  <c r="J27" i="12"/>
  <c r="V27" i="12"/>
  <c r="M27" i="12"/>
  <c r="H27" i="12"/>
  <c r="T27" i="12"/>
  <c r="N27" i="12"/>
  <c r="P27" i="12"/>
  <c r="F27" i="12"/>
  <c r="U27" i="12"/>
  <c r="Q21" i="12"/>
  <c r="B22" i="12"/>
  <c r="R21" i="12"/>
  <c r="C22" i="12"/>
  <c r="B66" i="12"/>
  <c r="AB19" i="12"/>
  <c r="S21" i="12"/>
  <c r="D22" i="12"/>
  <c r="M28" i="11"/>
  <c r="V29" i="11"/>
  <c r="S29" i="11"/>
  <c r="P29" i="11"/>
  <c r="AB28" i="11"/>
  <c r="Y29" i="11"/>
  <c r="Q29" i="11"/>
  <c r="AC28" i="11"/>
  <c r="AD28" i="11" s="1"/>
  <c r="AE28" i="11" s="1"/>
  <c r="R29" i="11"/>
  <c r="T29" i="11"/>
  <c r="W29" i="11"/>
  <c r="O29" i="11"/>
  <c r="AA28" i="11"/>
  <c r="Z29" i="11"/>
  <c r="X29" i="11"/>
  <c r="U29" i="11"/>
  <c r="B29" i="11"/>
  <c r="K29" i="11"/>
  <c r="J29" i="11"/>
  <c r="L29" i="11"/>
  <c r="C31" i="11"/>
  <c r="C32" i="11" s="1"/>
  <c r="C33" i="11" s="1"/>
  <c r="C34" i="11" s="1"/>
  <c r="C35" i="11" s="1"/>
  <c r="C36" i="11" s="1"/>
  <c r="C37" i="11" s="1"/>
  <c r="C38" i="11" s="1"/>
  <c r="C39" i="11" s="1"/>
  <c r="C40" i="11" s="1"/>
  <c r="C41" i="11" s="1"/>
  <c r="C42" i="11" s="1"/>
  <c r="C43" i="11" s="1"/>
  <c r="N9" i="5" s="1"/>
  <c r="G30" i="11"/>
  <c r="H30" i="11" s="1"/>
  <c r="N29" i="11"/>
  <c r="I29" i="11"/>
  <c r="D31" i="11"/>
  <c r="D43" i="11" s="1"/>
  <c r="N7" i="5" s="1"/>
  <c r="E31" i="11"/>
  <c r="E43" i="11" s="1"/>
  <c r="N10" i="5" s="1"/>
  <c r="AB20" i="12" l="1"/>
  <c r="Y21" i="12"/>
  <c r="AB21" i="12" s="1"/>
  <c r="M29" i="11"/>
  <c r="S22" i="12"/>
  <c r="D23" i="12"/>
  <c r="R22" i="12"/>
  <c r="C23" i="12"/>
  <c r="AA27" i="12"/>
  <c r="W28" i="12"/>
  <c r="W37" i="12" s="1"/>
  <c r="H28" i="12"/>
  <c r="I28" i="12"/>
  <c r="T28" i="12"/>
  <c r="T37" i="12" s="1"/>
  <c r="C44" i="12" s="1"/>
  <c r="M28" i="12"/>
  <c r="F28" i="12"/>
  <c r="G28" i="12"/>
  <c r="E28" i="12"/>
  <c r="X28" i="12"/>
  <c r="X37" i="12" s="1"/>
  <c r="A75" i="12"/>
  <c r="A122" i="12" s="1"/>
  <c r="P28" i="12"/>
  <c r="N28" i="12"/>
  <c r="V28" i="12"/>
  <c r="AA28" i="12" s="1"/>
  <c r="K28" i="12"/>
  <c r="L28" i="12"/>
  <c r="J28" i="12"/>
  <c r="U28" i="12"/>
  <c r="U37" i="12" s="1"/>
  <c r="B44" i="12" s="1"/>
  <c r="Q22" i="12"/>
  <c r="B23" i="12"/>
  <c r="Z23" i="12"/>
  <c r="O24" i="12"/>
  <c r="B68" i="12"/>
  <c r="R30" i="11"/>
  <c r="U30" i="11"/>
  <c r="O30" i="11"/>
  <c r="AA29" i="11"/>
  <c r="P30" i="11"/>
  <c r="AB29" i="11"/>
  <c r="X30" i="11"/>
  <c r="W30" i="11"/>
  <c r="Q30" i="11"/>
  <c r="AC29" i="11"/>
  <c r="AD29" i="11" s="1"/>
  <c r="AE29" i="11" s="1"/>
  <c r="S30" i="11"/>
  <c r="Z30" i="11"/>
  <c r="T30" i="11"/>
  <c r="Y30" i="11"/>
  <c r="V30" i="11"/>
  <c r="B30" i="11"/>
  <c r="K30" i="11"/>
  <c r="J30" i="11"/>
  <c r="L30" i="11"/>
  <c r="I30" i="11"/>
  <c r="G31" i="11"/>
  <c r="H31" i="11" s="1"/>
  <c r="N30" i="11"/>
  <c r="Y22" i="12" l="1"/>
  <c r="G44" i="12"/>
  <c r="Q14" i="4" s="1"/>
  <c r="M30" i="11"/>
  <c r="R23" i="12"/>
  <c r="C24" i="12"/>
  <c r="V37" i="12"/>
  <c r="Z24" i="12"/>
  <c r="O25" i="12"/>
  <c r="Q23" i="12"/>
  <c r="B24" i="12"/>
  <c r="AA37" i="12"/>
  <c r="F44" i="12" s="1"/>
  <c r="Q11" i="4" s="1"/>
  <c r="S23" i="12"/>
  <c r="D24" i="12"/>
  <c r="Z31" i="11"/>
  <c r="W31" i="11"/>
  <c r="V31" i="11"/>
  <c r="S31" i="11"/>
  <c r="X31" i="11"/>
  <c r="O31" i="11"/>
  <c r="AA30" i="11"/>
  <c r="Y31" i="11"/>
  <c r="U31" i="11"/>
  <c r="T31" i="11"/>
  <c r="Q31" i="11"/>
  <c r="AC30" i="11"/>
  <c r="AD30" i="11" s="1"/>
  <c r="AE30" i="11" s="1"/>
  <c r="P31" i="11"/>
  <c r="AB30" i="11"/>
  <c r="R31" i="11"/>
  <c r="B31" i="11"/>
  <c r="L31" i="11"/>
  <c r="K31" i="11"/>
  <c r="J31" i="11"/>
  <c r="G32" i="11"/>
  <c r="H32" i="11" s="1"/>
  <c r="N31" i="11"/>
  <c r="I31" i="11"/>
  <c r="AB22" i="12" l="1"/>
  <c r="B69" i="12"/>
  <c r="M31" i="11"/>
  <c r="S11" i="4"/>
  <c r="Z25" i="12"/>
  <c r="O26" i="12"/>
  <c r="S24" i="12"/>
  <c r="D25" i="12"/>
  <c r="Q24" i="12"/>
  <c r="B25" i="12"/>
  <c r="R24" i="12"/>
  <c r="C25" i="12"/>
  <c r="Y23" i="12"/>
  <c r="Y32" i="11"/>
  <c r="S32" i="11"/>
  <c r="R32" i="11"/>
  <c r="Q32" i="11"/>
  <c r="AC31" i="11"/>
  <c r="AD31" i="11" s="1"/>
  <c r="AE31" i="11" s="1"/>
  <c r="V32" i="11"/>
  <c r="T32" i="11"/>
  <c r="O32" i="11"/>
  <c r="AA31" i="11"/>
  <c r="W32" i="11"/>
  <c r="P32" i="11"/>
  <c r="AB31" i="11"/>
  <c r="U32" i="11"/>
  <c r="X32" i="11"/>
  <c r="Z32" i="11"/>
  <c r="B43" i="11"/>
  <c r="N8" i="5" s="1"/>
  <c r="N11" i="5" s="1"/>
  <c r="J32" i="11"/>
  <c r="L32" i="11"/>
  <c r="K32" i="11"/>
  <c r="I32" i="11"/>
  <c r="G33" i="11"/>
  <c r="H33" i="11" s="1"/>
  <c r="N32" i="11"/>
  <c r="Y24" i="12" l="1"/>
  <c r="B71" i="12" s="1"/>
  <c r="R25" i="12"/>
  <c r="C26" i="12"/>
  <c r="S25" i="12"/>
  <c r="D26" i="12"/>
  <c r="B70" i="12"/>
  <c r="AB23" i="12"/>
  <c r="Q25" i="12"/>
  <c r="B26" i="12"/>
  <c r="Z26" i="12"/>
  <c r="O27" i="12"/>
  <c r="M32" i="11"/>
  <c r="O33" i="11"/>
  <c r="AA32" i="11"/>
  <c r="Q33" i="11"/>
  <c r="AC32" i="11"/>
  <c r="AD32" i="11" s="1"/>
  <c r="AE32" i="11" s="1"/>
  <c r="Z33" i="11"/>
  <c r="P33" i="11"/>
  <c r="AB32" i="11"/>
  <c r="T33" i="11"/>
  <c r="R33" i="11"/>
  <c r="X33" i="11"/>
  <c r="W33" i="11"/>
  <c r="V33" i="11"/>
  <c r="S33" i="11"/>
  <c r="U33" i="11"/>
  <c r="Y33" i="11"/>
  <c r="K33" i="11"/>
  <c r="J33" i="11"/>
  <c r="L33" i="11"/>
  <c r="G34" i="11"/>
  <c r="H34" i="11" s="1"/>
  <c r="N33" i="11"/>
  <c r="I33" i="11"/>
  <c r="AB24" i="12" l="1"/>
  <c r="M33" i="11"/>
  <c r="S26" i="12"/>
  <c r="D27" i="12"/>
  <c r="Q26" i="12"/>
  <c r="B27" i="12"/>
  <c r="R26" i="12"/>
  <c r="C27" i="12"/>
  <c r="Z27" i="12"/>
  <c r="O28" i="12"/>
  <c r="Z28" i="12" s="1"/>
  <c r="Y25" i="12"/>
  <c r="V34" i="11"/>
  <c r="Y34" i="11"/>
  <c r="T34" i="11"/>
  <c r="U34" i="11"/>
  <c r="W34" i="11"/>
  <c r="Q34" i="11"/>
  <c r="AC33" i="11"/>
  <c r="AD33" i="11" s="1"/>
  <c r="AE33" i="11" s="1"/>
  <c r="X34" i="11"/>
  <c r="P34" i="11"/>
  <c r="AB33" i="11"/>
  <c r="S34" i="11"/>
  <c r="R34" i="11"/>
  <c r="Z34" i="11"/>
  <c r="O34" i="11"/>
  <c r="AA33" i="11"/>
  <c r="K34" i="11"/>
  <c r="J34" i="11"/>
  <c r="L34" i="11"/>
  <c r="I34" i="11"/>
  <c r="G35" i="11"/>
  <c r="H35" i="11" s="1"/>
  <c r="N34" i="11"/>
  <c r="Y26" i="12" l="1"/>
  <c r="Z37" i="12"/>
  <c r="E44" i="12" s="1"/>
  <c r="Q13" i="4" s="1"/>
  <c r="S13" i="4" s="1"/>
  <c r="R27" i="12"/>
  <c r="C28" i="12"/>
  <c r="R28" i="12" s="1"/>
  <c r="B72" i="12"/>
  <c r="AB25" i="12"/>
  <c r="AB26" i="12"/>
  <c r="B73" i="12"/>
  <c r="S27" i="12"/>
  <c r="D28" i="12"/>
  <c r="S28" i="12" s="1"/>
  <c r="Q27" i="12"/>
  <c r="B28" i="12"/>
  <c r="Q28" i="12" s="1"/>
  <c r="M34" i="11"/>
  <c r="S35" i="11"/>
  <c r="V35" i="11"/>
  <c r="O35" i="11"/>
  <c r="AA34" i="11"/>
  <c r="Q35" i="11"/>
  <c r="AC34" i="11"/>
  <c r="AD34" i="11" s="1"/>
  <c r="AE34" i="11" s="1"/>
  <c r="T35" i="11"/>
  <c r="Z35" i="11"/>
  <c r="P35" i="11"/>
  <c r="AB34" i="11"/>
  <c r="W35" i="11"/>
  <c r="Y35" i="11"/>
  <c r="R35" i="11"/>
  <c r="X35" i="11"/>
  <c r="U35" i="11"/>
  <c r="N35" i="11"/>
  <c r="N43" i="11" s="1"/>
  <c r="O10" i="5" s="1"/>
  <c r="P10" i="5" s="1"/>
  <c r="L35" i="11"/>
  <c r="K35" i="11"/>
  <c r="J35" i="11"/>
  <c r="I35" i="11"/>
  <c r="I43" i="11" s="1"/>
  <c r="O9" i="5" s="1"/>
  <c r="S37" i="12" l="1"/>
  <c r="Y28" i="12"/>
  <c r="B75" i="12" s="1"/>
  <c r="Y27" i="12"/>
  <c r="R37" i="12"/>
  <c r="M35" i="11"/>
  <c r="M43" i="11" s="1"/>
  <c r="O7" i="5" s="1"/>
  <c r="P7" i="5" s="1"/>
  <c r="AB35" i="11"/>
  <c r="AC35" i="11"/>
  <c r="AD35" i="11" s="1"/>
  <c r="AE35" i="11" s="1"/>
  <c r="AE43" i="11" s="1"/>
  <c r="O8" i="5" s="1"/>
  <c r="P8" i="5" s="1"/>
  <c r="AA35" i="11"/>
  <c r="P9" i="5"/>
  <c r="AB28" i="12" l="1"/>
  <c r="B74" i="12"/>
  <c r="AB27" i="12"/>
  <c r="Y37" i="12"/>
  <c r="D44" i="12" s="1"/>
  <c r="Q12" i="4" s="1"/>
  <c r="O11" i="5"/>
  <c r="P11" i="5" s="1"/>
  <c r="AB37" i="12" l="1"/>
  <c r="S12" i="4"/>
  <c r="Q16" i="4"/>
  <c r="L7" i="17"/>
  <c r="D6" i="1"/>
  <c r="I7" i="8"/>
  <c r="J7" i="8" s="1"/>
  <c r="H19" i="14" l="1"/>
  <c r="B42" i="12"/>
  <c r="J13" i="17"/>
  <c r="L13" i="17"/>
  <c r="M7" i="17"/>
  <c r="G28" i="14" s="1"/>
  <c r="I10" i="13"/>
  <c r="I10" i="18" s="1"/>
  <c r="I10" i="19" s="1"/>
  <c r="H28" i="14"/>
  <c r="H14" i="14"/>
  <c r="H20" i="14"/>
  <c r="G20" i="14" l="1"/>
  <c r="R20" i="14" s="1"/>
  <c r="H19" i="13"/>
  <c r="H19" i="18" s="1"/>
  <c r="H19" i="19" s="1"/>
  <c r="C42" i="12"/>
  <c r="G42" i="12" s="1"/>
  <c r="O14" i="4" s="1"/>
  <c r="S14" i="4" s="1"/>
  <c r="S16" i="4" s="1"/>
  <c r="M18" i="17"/>
  <c r="L16" i="17"/>
  <c r="L17" i="17"/>
  <c r="M15" i="17"/>
  <c r="L18" i="17"/>
  <c r="L15" i="17"/>
  <c r="N15" i="17" s="1"/>
  <c r="M16" i="17"/>
  <c r="M17" i="17"/>
  <c r="G19" i="14"/>
  <c r="R19" i="14" s="1"/>
  <c r="G14" i="14"/>
  <c r="I19" i="13"/>
  <c r="I19" i="18" s="1"/>
  <c r="I19" i="19" s="1"/>
  <c r="I11" i="13"/>
  <c r="I11" i="18" s="1"/>
  <c r="I11" i="19" s="1"/>
  <c r="M20" i="14"/>
  <c r="I5" i="13"/>
  <c r="M14" i="14"/>
  <c r="H11" i="13"/>
  <c r="H11" i="18" s="1"/>
  <c r="H11" i="19" s="1"/>
  <c r="L20" i="14"/>
  <c r="R28" i="14"/>
  <c r="I5" i="18" l="1"/>
  <c r="I5" i="19" s="1"/>
  <c r="D93" i="1"/>
  <c r="H10" i="13"/>
  <c r="H10" i="18" s="1"/>
  <c r="H10" i="19" s="1"/>
  <c r="O16" i="4"/>
  <c r="R14" i="14"/>
  <c r="S5" i="18" s="1"/>
  <c r="L14" i="14"/>
  <c r="M5" i="13" s="1"/>
  <c r="H5" i="13"/>
  <c r="S10" i="13"/>
  <c r="D77" i="1"/>
  <c r="S10" i="19"/>
  <c r="S10" i="18"/>
  <c r="D78" i="1"/>
  <c r="S11" i="19"/>
  <c r="S11" i="13"/>
  <c r="S11" i="18"/>
  <c r="S19" i="13"/>
  <c r="D86" i="1"/>
  <c r="S19" i="18"/>
  <c r="S19" i="19"/>
  <c r="N11" i="18"/>
  <c r="N11" i="19"/>
  <c r="N11" i="13"/>
  <c r="N5" i="13"/>
  <c r="N5" i="18"/>
  <c r="N5" i="19"/>
  <c r="M11" i="13"/>
  <c r="M11" i="19"/>
  <c r="M11" i="18"/>
  <c r="H5" i="18" l="1"/>
  <c r="H5" i="19" s="1"/>
  <c r="D92" i="1"/>
  <c r="D95" i="1" s="1"/>
  <c r="D72" i="1"/>
  <c r="S5" i="19"/>
  <c r="S5" i="13"/>
  <c r="M5" i="18"/>
  <c r="M5"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tc={1B117D70-7F1B-0848-81F2-B95F8865D53E}</author>
  </authors>
  <commentList>
    <comment ref="A43" authorId="0" shapeId="0" xr:uid="{00000000-0006-0000-0E00-00000100000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There is no stability in cost trend for Provider Cost category. This makes it difficult to make a fair projection increase. My recommendation is to either use the half of the percentage increase project for platform cost (7.7%) or 1/3rd of it (5.13% ) as the projected increase in this category</t>
        </r>
      </text>
    </comment>
  </commentList>
</comments>
</file>

<file path=xl/sharedStrings.xml><?xml version="1.0" encoding="utf-8"?>
<sst xmlns="http://schemas.openxmlformats.org/spreadsheetml/2006/main" count="1248" uniqueCount="428">
  <si>
    <t>Persona-Based Estimates</t>
  </si>
  <si>
    <t>Back to Intro</t>
  </si>
  <si>
    <t>Project Name</t>
  </si>
  <si>
    <t>Short Description</t>
  </si>
  <si>
    <t>Name and Email</t>
  </si>
  <si>
    <t>months</t>
  </si>
  <si>
    <t>Cost Estimate</t>
  </si>
  <si>
    <t xml:space="preserve"> Onboarding</t>
  </si>
  <si>
    <t>Active</t>
  </si>
  <si>
    <t>Export</t>
  </si>
  <si>
    <t>Enablement Cost</t>
  </si>
  <si>
    <t>Data Costs</t>
  </si>
  <si>
    <t>Analyst Cost</t>
  </si>
  <si>
    <t>Overhead</t>
  </si>
  <si>
    <t>TOTAL BY PHASE</t>
  </si>
  <si>
    <t>TOTAL -BY  CATEGORY</t>
  </si>
  <si>
    <t>TOTAL COST</t>
  </si>
  <si>
    <t>Hidden Sheet</t>
  </si>
  <si>
    <t>Duration</t>
  </si>
  <si>
    <t>Months</t>
  </si>
  <si>
    <t>Assumptions</t>
  </si>
  <si>
    <t>Overhead Allocation</t>
  </si>
  <si>
    <t>Output Sheet</t>
  </si>
  <si>
    <t>Current</t>
  </si>
  <si>
    <t>Anticipated</t>
  </si>
  <si>
    <t>Remaining Duration</t>
  </si>
  <si>
    <t>Analysts Cost</t>
  </si>
  <si>
    <t>Overall Project Cost to Date</t>
  </si>
  <si>
    <t xml:space="preserve"> (entered by default)</t>
  </si>
  <si>
    <t>Future</t>
  </si>
  <si>
    <t>Enablement Level</t>
  </si>
  <si>
    <t xml:space="preserve"> Y or N </t>
  </si>
  <si>
    <t>Add New Data Provider (s)</t>
  </si>
  <si>
    <t>Link to Dashboard</t>
  </si>
  <si>
    <t>Previous Monthly Costs from Dashboard</t>
  </si>
  <si>
    <t>Enablement Activities</t>
  </si>
  <si>
    <t>Onboarding</t>
  </si>
  <si>
    <t>High</t>
  </si>
  <si>
    <t>Medium</t>
  </si>
  <si>
    <t>Low</t>
  </si>
  <si>
    <t>Per-Month</t>
  </si>
  <si>
    <t>Quarterly Updates</t>
  </si>
  <si>
    <t>Microsite</t>
  </si>
  <si>
    <t>Confluence/Jira/Agile</t>
  </si>
  <si>
    <t>Newsletter</t>
  </si>
  <si>
    <t>VPN</t>
  </si>
  <si>
    <t>TOTAL</t>
  </si>
  <si>
    <t>per month</t>
  </si>
  <si>
    <t>Platform-Related Systems</t>
  </si>
  <si>
    <t xml:space="preserve"> - All projects at this stage will assume a data warehousing + data lake combo</t>
  </si>
  <si>
    <t xml:space="preserve"> - </t>
  </si>
  <si>
    <t xml:space="preserve">DevOps Specialist </t>
  </si>
  <si>
    <t>FTE Hours Per Month</t>
  </si>
  <si>
    <t>Total Annual Cost</t>
  </si>
  <si>
    <t>Total Monthly Cost</t>
  </si>
  <si>
    <t>Data Analyst Cost</t>
  </si>
  <si>
    <t>Project-Related Cloud Consumption</t>
  </si>
  <si>
    <t>OVERHEAD</t>
  </si>
  <si>
    <t>Per Month</t>
  </si>
  <si>
    <t>Hours/FTE</t>
  </si>
  <si>
    <t>60 hours for each update</t>
  </si>
  <si>
    <t>about 120 hours across the year</t>
  </si>
  <si>
    <t>maintainance of pages</t>
  </si>
  <si>
    <t>Outreach Support</t>
  </si>
  <si>
    <t>30 hours for each update</t>
  </si>
  <si>
    <t>webinars/meetings</t>
  </si>
  <si>
    <t>Unit</t>
  </si>
  <si>
    <t>Business and Relationship Management</t>
  </si>
  <si>
    <t>10 hours a month to manage CRM. 30 hours for other meetings</t>
  </si>
  <si>
    <t>Updates to Training and Other Tools</t>
  </si>
  <si>
    <t>Training, demos, other user experience tools</t>
  </si>
  <si>
    <t>Notes</t>
  </si>
  <si>
    <t>Projects- Active</t>
  </si>
  <si>
    <t>Projects- Onboarding</t>
  </si>
  <si>
    <t>Current Number</t>
  </si>
  <si>
    <t>Projects</t>
  </si>
  <si>
    <t>View Costs by Category</t>
  </si>
  <si>
    <t>Project Phase</t>
  </si>
  <si>
    <t>Prospective</t>
  </si>
  <si>
    <t>Monthly Cost</t>
  </si>
  <si>
    <t>Monthly Allocation</t>
  </si>
  <si>
    <t>Per Project</t>
  </si>
  <si>
    <t>The Secure Data Commons (SDC) is a cloud-based analytic platform that provides controlled access to transportation-related data sets. This tool provides a way to estimate the costs of using the Secure Data Commons platform for projects.  Click on the buttons below to get customized estimates based on personas or particular cost categories</t>
  </si>
  <si>
    <t>Yes</t>
  </si>
  <si>
    <t>No</t>
  </si>
  <si>
    <t>Inputs from Dashboard (Updated Monthly)</t>
  </si>
  <si>
    <t>Options</t>
  </si>
  <si>
    <t>Data Related Cloud Costs</t>
  </si>
  <si>
    <t>Enablement Services</t>
  </si>
  <si>
    <t>Business Analyst</t>
  </si>
  <si>
    <t>IT O&amp;M Specialist</t>
  </si>
  <si>
    <t>GOLD</t>
  </si>
  <si>
    <t>SILVER</t>
  </si>
  <si>
    <t>BRONZE</t>
  </si>
  <si>
    <t>Per-Month Cost</t>
  </si>
  <si>
    <t>Planning/Discovery</t>
  </si>
  <si>
    <t>Export/Retirement</t>
  </si>
  <si>
    <t>Project Phases</t>
  </si>
  <si>
    <t>VPC: NAT Gateway</t>
  </si>
  <si>
    <t>CloudWatch</t>
  </si>
  <si>
    <t>Route53</t>
  </si>
  <si>
    <t>Elasticsearch</t>
  </si>
  <si>
    <t>SNS</t>
  </si>
  <si>
    <t>KMS</t>
  </si>
  <si>
    <t>CloudTrail</t>
  </si>
  <si>
    <t>DynamoDB</t>
  </si>
  <si>
    <t>S3</t>
  </si>
  <si>
    <t>Lambda</t>
  </si>
  <si>
    <t>EC2</t>
  </si>
  <si>
    <t>Other Categories</t>
  </si>
  <si>
    <t>Source:  Dashboard</t>
  </si>
  <si>
    <t>Estimated Monthly Growth Rate</t>
  </si>
  <si>
    <t>Estimated Monthly Cost (Medium Estimate)</t>
  </si>
  <si>
    <t># of projects in phase</t>
  </si>
  <si>
    <t>TOTAL cost</t>
  </si>
  <si>
    <t>ODCs (travel, materials)</t>
  </si>
  <si>
    <t>Research Accelerator Team Support</t>
  </si>
  <si>
    <t>ESPO Link</t>
  </si>
  <si>
    <t>&lt;Link&gt;</t>
  </si>
  <si>
    <t>Dedicated Research Insights Team</t>
  </si>
  <si>
    <t>Multi-day Strategic Visioning and Engagement Session</t>
  </si>
  <si>
    <t>Platform DevOps (including testing, features)</t>
  </si>
  <si>
    <t>Day-long strategic vision and engagement</t>
  </si>
  <si>
    <t>On-Site Onboarding Support</t>
  </si>
  <si>
    <t xml:space="preserve">Co-location and onboarding of project users and data.  SDC team will send a rep who will work with the key project personnel to set up data architectures and provision users in a working session. Includes in-person workshop on training </t>
  </si>
  <si>
    <t>Hybrid On-boarding Approach</t>
  </si>
  <si>
    <t>Short-Term Research Accelerator Support</t>
  </si>
  <si>
    <t>Remote Research Insights Team</t>
  </si>
  <si>
    <t>Bi-Annual User Engagement Workshop</t>
  </si>
  <si>
    <t>Quarterly User Engagement Workshop</t>
  </si>
  <si>
    <t>In-Person workshop but restricted to one day.</t>
  </si>
  <si>
    <t>In-Person Facilitated Tech Session in lieu of phone calls. Shortens the process from planning to onboarding. Multi-day engagement</t>
  </si>
  <si>
    <t>Includes remote provisioning of users and infrastructure. 1 in-person workshop on training</t>
  </si>
  <si>
    <t>Data science team available for support on how to maximize potential of data in the SDC. May include services such as collaborating on visualizations, enabling code collaboration etc. 1 in-person visit per quarter. Upto 80 hours of remote engagement</t>
  </si>
  <si>
    <t>2 visits per year. Up to 40 hours of support per month</t>
  </si>
  <si>
    <t xml:space="preserve">1 quarterly meeting with users </t>
  </si>
  <si>
    <t>1 meeting every six months</t>
  </si>
  <si>
    <t>Back-end Research Accelerator Support</t>
  </si>
  <si>
    <t>Hybrid Research Insights Team</t>
  </si>
  <si>
    <t>Remote User Enagement Workshop</t>
  </si>
  <si>
    <t>No in person visits. Upto 20 hours of support per month</t>
  </si>
  <si>
    <t>1 remote meeting every six months</t>
  </si>
  <si>
    <t>Others - &lt;Add Here. Insert rows if needed&gt;</t>
  </si>
  <si>
    <t>Mapping of Activities</t>
  </si>
  <si>
    <t>Numbers - Are being updated with ESPO document. These are just for illustration only. They will be updated net week</t>
  </si>
  <si>
    <t>No in person engagement but creation of Jupyter Notebooks, scripts etc. Three months</t>
  </si>
  <si>
    <t>1 month support inlcuding 1 on-site visit</t>
  </si>
  <si>
    <t>2 month engagement upon onboarding to set up and optimze research capabilities in the SDC. Incudes 1 onsite visit</t>
  </si>
  <si>
    <t>varies based on analysis period</t>
  </si>
  <si>
    <t>x</t>
  </si>
  <si>
    <t>Prospective Projects</t>
  </si>
  <si>
    <t>Kinesis</t>
  </si>
  <si>
    <t>Redshift</t>
  </si>
  <si>
    <t>Firehose</t>
  </si>
  <si>
    <t>Providers cumulative cost for all services utilized</t>
  </si>
  <si>
    <t>10 % Markup</t>
  </si>
  <si>
    <t>20% Markup</t>
  </si>
  <si>
    <t>WAZE-WAZE</t>
  </si>
  <si>
    <t>CVP-WYDOT</t>
  </si>
  <si>
    <t>CVP-THEA</t>
  </si>
  <si>
    <t>CVP-NYC</t>
  </si>
  <si>
    <t>FMI-ATRI</t>
  </si>
  <si>
    <t>Projected monthly increase</t>
  </si>
  <si>
    <t>OR</t>
  </si>
  <si>
    <t>Provider cost breakdown per services utilized</t>
  </si>
  <si>
    <t>Cloud Consumption Cost</t>
  </si>
  <si>
    <t>Data Analysts</t>
  </si>
  <si>
    <t>New Data Provider</t>
  </si>
  <si>
    <t xml:space="preserve">Major Cost Items </t>
  </si>
  <si>
    <t>Average Monthly Cost</t>
  </si>
  <si>
    <t>*special circumstances may create increase this cost</t>
  </si>
  <si>
    <t>Analyst cumulative cost for all services utilized</t>
  </si>
  <si>
    <t>WAZE-SDI</t>
  </si>
  <si>
    <t>CVP-VOLPE-IE</t>
  </si>
  <si>
    <t>CVP-TTI-IE</t>
  </si>
  <si>
    <t>FTP-BTS</t>
  </si>
  <si>
    <t>Analyst cost breakdown per services utilized</t>
  </si>
  <si>
    <t>Hadoop incl. here as EC2. Include either Row 8 or R10</t>
  </si>
  <si>
    <t>Number of Analysts</t>
  </si>
  <si>
    <t>Guidance for Selection</t>
  </si>
  <si>
    <t>Data</t>
  </si>
  <si>
    <t>Data Related Cost</t>
  </si>
  <si>
    <t>Complexity of Data Provider</t>
  </si>
  <si>
    <t>Data Complexity and Size</t>
  </si>
  <si>
    <t>Support Needs</t>
  </si>
  <si>
    <t>Overhead Costs</t>
  </si>
  <si>
    <t>Platform Services</t>
  </si>
  <si>
    <t>Current Projects</t>
  </si>
  <si>
    <t>Projects- Export and Retirement</t>
  </si>
  <si>
    <t>Projects - Planned and Discover</t>
  </si>
  <si>
    <t>Projects- Planned/Discovery</t>
  </si>
  <si>
    <t>Projects-Export/Retirement</t>
  </si>
  <si>
    <t>Project Duration</t>
  </si>
  <si>
    <t>Platform Cost</t>
  </si>
  <si>
    <t>Data Analyst Cost (High)</t>
  </si>
  <si>
    <t>Data Analyst Cost (Medium)</t>
  </si>
  <si>
    <t>Data Analyst Cost (Low)</t>
  </si>
  <si>
    <t>Overhead Cost</t>
  </si>
  <si>
    <t xml:space="preserve">Platform Cost </t>
  </si>
  <si>
    <t>Planning and Discovery Cost</t>
  </si>
  <si>
    <t>Onboarding Cost</t>
  </si>
  <si>
    <t>Export Cost</t>
  </si>
  <si>
    <t>Enablement</t>
  </si>
  <si>
    <t>Platform</t>
  </si>
  <si>
    <t>Analyst</t>
  </si>
  <si>
    <t>Data Complexity and Site</t>
  </si>
  <si>
    <t>High:  Multiple data providers, more than 50 TB in data, real-time ingest required, data warehousing solution needed</t>
  </si>
  <si>
    <t>Medium: Single data provider,  less than 50 TB in data, mostly batch uploads</t>
  </si>
  <si>
    <t>Medium: Between 10-30 analysts, mostly medium computing resources, use of open source tools, intensity is high only for limited period of project duration</t>
  </si>
  <si>
    <t>High:  More than 30 user accounts, high level of computing power required, intensity of analysis is expected to be high, need custom licensed tools</t>
  </si>
  <si>
    <t>Increase Project Duration</t>
  </si>
  <si>
    <t>Project List</t>
  </si>
  <si>
    <t>Previous Month</t>
  </si>
  <si>
    <t>Current Phase</t>
  </si>
  <si>
    <t>Platform Cloud Cost</t>
  </si>
  <si>
    <t xml:space="preserve">Low </t>
  </si>
  <si>
    <t>None</t>
  </si>
  <si>
    <t>Date Warehouse Solution</t>
  </si>
  <si>
    <t>Data Warehouse Growth</t>
  </si>
  <si>
    <t>Storage Growth</t>
  </si>
  <si>
    <t xml:space="preserve">Enablement Services </t>
  </si>
  <si>
    <t>Redshift (More expensive)</t>
  </si>
  <si>
    <t>Hadoop (Less Expensive)</t>
  </si>
  <si>
    <t>Gold</t>
  </si>
  <si>
    <t>Silver</t>
  </si>
  <si>
    <t>Bronze</t>
  </si>
  <si>
    <t xml:space="preserve">Typical enablement services for the support need. </t>
  </si>
  <si>
    <t>Note this is above the standard support services for the project</t>
  </si>
  <si>
    <t>Built-in Assumptions</t>
  </si>
  <si>
    <t>Duration of Enablement Services</t>
  </si>
  <si>
    <t>STAR</t>
  </si>
  <si>
    <t>T-PLAT</t>
  </si>
  <si>
    <t>CVP-Volpe-IE</t>
  </si>
  <si>
    <t>CARMA3-FMCSA</t>
  </si>
  <si>
    <t>CARMA-FHWA</t>
  </si>
  <si>
    <t>FMI-BTS</t>
  </si>
  <si>
    <t>FTA-DA</t>
  </si>
  <si>
    <t>MOD 2.0</t>
  </si>
  <si>
    <t xml:space="preserve">MPI </t>
  </si>
  <si>
    <t>Smart Columbus Evaluation</t>
  </si>
  <si>
    <t>Current Level of Enablement</t>
  </si>
  <si>
    <t>Database Options</t>
  </si>
  <si>
    <t>Enablement Levels</t>
  </si>
  <si>
    <t>Data Complexity</t>
  </si>
  <si>
    <t>List Tables (Do Not Change)</t>
  </si>
  <si>
    <t>Project Tables (Update Monthly from Dashboard)</t>
  </si>
  <si>
    <t>Input Sheet (Blue Cells are calculated automatically for existing projects)</t>
  </si>
  <si>
    <t>MoM Growth Rate in Costs</t>
  </si>
  <si>
    <t>Other Costs Considered Overhead for the SDC Platform</t>
  </si>
  <si>
    <t>Platform Cloud Costs (Overhead) for the SDC Platform</t>
  </si>
  <si>
    <t>Other Data Curation/Ingest Services Growth</t>
  </si>
  <si>
    <t>Input Sheet (Enter data in white shaded cells)</t>
  </si>
  <si>
    <t>months. Max 36 months</t>
  </si>
  <si>
    <t>Analyst Related Cloud Costs</t>
  </si>
  <si>
    <t>Duration of Service</t>
  </si>
  <si>
    <t>only for high options with real-time ingest</t>
  </si>
  <si>
    <t>Typical time for planning. Edit if necssary</t>
  </si>
  <si>
    <t>Typical time for onboarding. Edit if necessary</t>
  </si>
  <si>
    <t>Calculated</t>
  </si>
  <si>
    <t>Typical time for export. Edit if necessary</t>
  </si>
  <si>
    <t xml:space="preserve"> choice between two options (low-cost/hadoop, high-cost/redshift)</t>
  </si>
  <si>
    <t>Allocation Table</t>
  </si>
  <si>
    <t>Planned/Discovery</t>
  </si>
  <si>
    <t>Typical mix of projects</t>
  </si>
  <si>
    <t>Allocation</t>
  </si>
  <si>
    <t>Source:  Estimated based on current spend in SDC Dashboard</t>
  </si>
  <si>
    <t>Cloud Services used on Projects</t>
  </si>
  <si>
    <t xml:space="preserve">Source:  Based on estimates in the SDC Dashboard for existing projects. </t>
  </si>
  <si>
    <t>Standard Enablement,O&amp;M/Support</t>
  </si>
  <si>
    <t>Data Curation</t>
  </si>
  <si>
    <t>Data Storage</t>
  </si>
  <si>
    <t>Estimated Growth of Costs</t>
  </si>
  <si>
    <t>Data Curation (High)</t>
  </si>
  <si>
    <t>Data Curation (Medium)</t>
  </si>
  <si>
    <t>Data Curation (Low)</t>
  </si>
  <si>
    <t>Data Storage (High)</t>
  </si>
  <si>
    <t>Data Storage (Medium)</t>
  </si>
  <si>
    <t>Data Storage (Low)</t>
  </si>
  <si>
    <t>Data Warehouse (Hadoop)-High</t>
  </si>
  <si>
    <t>Data Warehouse (Hadoop)-Medium</t>
  </si>
  <si>
    <t>Data Warehouse (Hadoop)-Low</t>
  </si>
  <si>
    <t>Data Warehouse (Redshift)-High</t>
  </si>
  <si>
    <t>Data Warehouse (Redshift)-Medium</t>
  </si>
  <si>
    <t>Data Warehouse (Redshift)-Low</t>
  </si>
  <si>
    <t>Data Related Cloud Cost (Medium)</t>
  </si>
  <si>
    <t>Data-Related Cost</t>
  </si>
  <si>
    <t>Data-Related Cloud Cost (Low)</t>
  </si>
  <si>
    <t>Data Related Cloud Cost (High)</t>
  </si>
  <si>
    <t>Active Cost</t>
  </si>
  <si>
    <t>Data-Related Cloud</t>
  </si>
  <si>
    <t>Data Analyst Costs</t>
  </si>
  <si>
    <t>Enablement Costs</t>
  </si>
  <si>
    <t>CHART</t>
  </si>
  <si>
    <t>Cloud Consumption Growth</t>
  </si>
  <si>
    <t>Enablement Services Cost (Bronze)</t>
  </si>
  <si>
    <t>Enablement Services Cost (Silver)</t>
  </si>
  <si>
    <t>Enablement Services Cost (Gold)</t>
  </si>
  <si>
    <t>Edit if necessary</t>
  </si>
  <si>
    <t>Number of current analysts</t>
  </si>
  <si>
    <t>Project Cost to Date</t>
  </si>
  <si>
    <t>UPDATE</t>
  </si>
  <si>
    <t>UPDATE TABLE</t>
  </si>
  <si>
    <t>UPDATE based on CRM</t>
  </si>
  <si>
    <t>Plaftorm Services</t>
  </si>
  <si>
    <t>Selected Project</t>
  </si>
  <si>
    <t>New Duration</t>
  </si>
  <si>
    <t>New Analyst</t>
  </si>
  <si>
    <t>Old Duration</t>
  </si>
  <si>
    <t>Old Analyst</t>
  </si>
  <si>
    <t>New</t>
  </si>
  <si>
    <t>MoM Growth Rate</t>
  </si>
  <si>
    <t>TOTALS</t>
  </si>
  <si>
    <t>Cost per new analyst</t>
  </si>
  <si>
    <t>Enablement Duration</t>
  </si>
  <si>
    <t>Enablement (Bronze)</t>
  </si>
  <si>
    <t>Enablement (Gold)</t>
  </si>
  <si>
    <t>Enablement (Silver)</t>
  </si>
  <si>
    <t xml:space="preserve">Selected </t>
  </si>
  <si>
    <t>New Data Provider Costs</t>
  </si>
  <si>
    <t>Existing Data</t>
  </si>
  <si>
    <t>New Data Costs</t>
  </si>
  <si>
    <t>Data Low</t>
  </si>
  <si>
    <t>Data (High)</t>
  </si>
  <si>
    <t>Total Data</t>
  </si>
  <si>
    <t>Desired Changes</t>
  </si>
  <si>
    <t>Desired Enablement Level</t>
  </si>
  <si>
    <t>Secure Data Commons Proof of Concept  Cost Estimator Tool - Version 2</t>
  </si>
  <si>
    <t>Gold: Select this area if your project users have little experience in cloud-based analytics. Need significant co-development</t>
  </si>
  <si>
    <t>Silver: Select this option if your project has some expert users but need significant support for majority of analysts</t>
  </si>
  <si>
    <t>Bronze: Select this option if your project generally have expert users who are very familiar with data needs but might need some early support in using the SDC</t>
  </si>
  <si>
    <t>See below for guidance</t>
  </si>
  <si>
    <t>TOTAL Cost</t>
  </si>
  <si>
    <t>Remaining</t>
  </si>
  <si>
    <t>Current Forecast</t>
  </si>
  <si>
    <t>Typical MONTHLY Cloud Consumption Cost for A PROJECT</t>
  </si>
  <si>
    <t>Current Year</t>
  </si>
  <si>
    <t>Typically offered for first third of project lifecycle</t>
  </si>
  <si>
    <t>TOTAL COST PER YEAR</t>
  </si>
  <si>
    <t>Annual Costs</t>
  </si>
  <si>
    <t>Dev Ops Support</t>
  </si>
  <si>
    <t xml:space="preserve">O&amp;M Support </t>
  </si>
  <si>
    <t>FTEs</t>
  </si>
  <si>
    <t>Dev Ops Team</t>
  </si>
  <si>
    <t>O&amp;M Team including baseline support</t>
  </si>
  <si>
    <t>FTE per month</t>
  </si>
  <si>
    <t>Project Costs to Date</t>
  </si>
  <si>
    <t>Annual Cost</t>
  </si>
  <si>
    <t>Anticipated Cost</t>
  </si>
  <si>
    <t>Existing Project Status</t>
  </si>
  <si>
    <t>New Projects</t>
  </si>
  <si>
    <t>Input Sheet (Enter White Shaded Cells only)</t>
  </si>
  <si>
    <t>Built in Assumptions</t>
  </si>
  <si>
    <t xml:space="preserve">Annual Cost </t>
  </si>
  <si>
    <t>New Planned</t>
  </si>
  <si>
    <t>New Onboarding</t>
  </si>
  <si>
    <t>New Active</t>
  </si>
  <si>
    <t>Change Enablement</t>
  </si>
  <si>
    <t>Change Status</t>
  </si>
  <si>
    <t>Change Resources</t>
  </si>
  <si>
    <t>Cost</t>
  </si>
  <si>
    <t xml:space="preserve">Cost to Move to </t>
  </si>
  <si>
    <t>month</t>
  </si>
  <si>
    <t>Number of New Projects</t>
  </si>
  <si>
    <t>Number of New Projects (and level)</t>
  </si>
  <si>
    <t>Begin at</t>
  </si>
  <si>
    <t>3-Month Rolling Average</t>
  </si>
  <si>
    <t>Yearly Cost</t>
  </si>
  <si>
    <t>Active-High</t>
  </si>
  <si>
    <t>Active-Medium</t>
  </si>
  <si>
    <t>Active-Low</t>
  </si>
  <si>
    <t>Overhead Calculation</t>
  </si>
  <si>
    <t>New Enablement Level</t>
  </si>
  <si>
    <t>New Data Cost</t>
  </si>
  <si>
    <t>New Overhead</t>
  </si>
  <si>
    <t>New Analyst Cost</t>
  </si>
  <si>
    <t>New Platform</t>
  </si>
  <si>
    <t>New Costs</t>
  </si>
  <si>
    <t>Other Overhead</t>
  </si>
  <si>
    <t>Platform Costs</t>
  </si>
  <si>
    <t>ANNUAL</t>
  </si>
  <si>
    <t>Monthly</t>
  </si>
  <si>
    <t>New lifecycle status</t>
  </si>
  <si>
    <t>Type of Project</t>
  </si>
  <si>
    <t>New Enablement Cost Level</t>
  </si>
  <si>
    <t>Status</t>
  </si>
  <si>
    <t>Level</t>
  </si>
  <si>
    <t>Helper</t>
  </si>
  <si>
    <t>New Enablemnet Cost</t>
  </si>
  <si>
    <t>New Year</t>
  </si>
  <si>
    <t>Analyst-Related</t>
  </si>
  <si>
    <t>Platform Cloud</t>
  </si>
  <si>
    <t>Old Projects</t>
  </si>
  <si>
    <t>Total</t>
  </si>
  <si>
    <t>Enablement Costs (New)</t>
  </si>
  <si>
    <t>Total EC</t>
  </si>
  <si>
    <t>Total DC</t>
  </si>
  <si>
    <t>Total DA Cost</t>
  </si>
  <si>
    <t>Monitoring/Log-in etc</t>
  </si>
  <si>
    <t>Storage</t>
  </si>
  <si>
    <t xml:space="preserve">Compute Costs </t>
  </si>
  <si>
    <t>Data Warehouse (Normal)</t>
  </si>
  <si>
    <t>Data Warehouse (High-Cost)</t>
  </si>
  <si>
    <t>Plaform Management Office</t>
  </si>
  <si>
    <t>These are costs associated with the management of the SDC Platform.  If these are not charged back to projects, then can be removed from overhead</t>
  </si>
  <si>
    <t>Platform Team Cost (including testing, features)</t>
  </si>
  <si>
    <t>FTE-Equivalents (Change as needed)</t>
  </si>
  <si>
    <t>NOTE:  FTE-Equivalents for Projects is only truly platform related activities. Does not include enablement. Also includes a lower level than current since we expect feature development to stabilize</t>
  </si>
  <si>
    <t>Low:  Single data proivder, less than 10TB, mostly batch or one-time upload OR if your project uses an existing dataset in the SDC</t>
  </si>
  <si>
    <t>Low: Less than 10 users, mostly medium or regular workstations, only use of open source tools OR if your analyst team is largely ensuring that data is available to other users like evaluators</t>
  </si>
  <si>
    <t xml:space="preserve">None: Select this option if you do not need any additional support beyond the basic levels of support offered by the SDC team. Basic levels of support includes day to day troubleshooting, training and onboarding according the SOPs </t>
  </si>
  <si>
    <t xml:space="preserve">This tab calculates changes to active projects based on user selections.  </t>
  </si>
  <si>
    <t>Year 1</t>
  </si>
  <si>
    <t>Year 2</t>
  </si>
  <si>
    <t>Year 3</t>
  </si>
  <si>
    <t xml:space="preserve">Year 2 </t>
  </si>
  <si>
    <t>Project-by-Project View</t>
  </si>
  <si>
    <t>Duration (Months)</t>
  </si>
  <si>
    <t>Typical Months</t>
  </si>
  <si>
    <t>These are the costs for SDC team support (labor) needed beyond the transition phase</t>
  </si>
  <si>
    <t>Other (VPNs, domain etc, Non-AWS cost</t>
  </si>
  <si>
    <t>WCF WRAP RATE</t>
  </si>
  <si>
    <t>Rate Sheet</t>
  </si>
  <si>
    <t>Labor Rates</t>
  </si>
  <si>
    <t>WCF Wrap Rate</t>
  </si>
  <si>
    <t>`</t>
  </si>
  <si>
    <t>Unallocated Overhead</t>
  </si>
  <si>
    <t>Unallocated Platform</t>
  </si>
  <si>
    <t>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</si>
</sst>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164" formatCode="_(&quot;$&quot;* #,##0_);_(&quot;$&quot;* \(#,##0\);_(&quot;$&quot;* &quot;-&quot;??_);_(@_)"/>
    <numFmt numFmtId="165" formatCode="&quot;$&quot;#,##0.00"/>
    <numFmt numFmtId="166" formatCode="_(&quot;$&quot;* #,##0.0_);_(&quot;$&quot;* \(#,##0.0\);_(&quot;$&quot;* &quot;-&quot;??_);_(@_)"/>
  </numFmts>
  <fonts count="20">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28"/>
      <color theme="8" tint="-0.249977111117893"/>
      <name val="Calibri"/>
      <family val="2"/>
      <scheme val="minor"/>
    </font>
    <font>
      <u/>
      <sz val="11"/>
      <color theme="10"/>
      <name val="Calibri"/>
      <family val="2"/>
      <scheme val="minor"/>
    </font>
    <font>
      <sz val="11"/>
      <color rgb="FF000000"/>
      <name val="Calibri"/>
      <family val="2"/>
    </font>
    <font>
      <b/>
      <sz val="11"/>
      <color rgb="FF000000"/>
      <name val="Calibri"/>
      <family val="2"/>
    </font>
    <font>
      <b/>
      <sz val="20"/>
      <color theme="1"/>
      <name val="Calibri"/>
      <family val="2"/>
      <scheme val="minor"/>
    </font>
    <font>
      <b/>
      <sz val="16"/>
      <color theme="0"/>
      <name val="Calibri"/>
      <family val="2"/>
      <scheme val="minor"/>
    </font>
    <font>
      <b/>
      <sz val="14"/>
      <color theme="1"/>
      <name val="Calibri"/>
      <family val="2"/>
      <scheme val="minor"/>
    </font>
    <font>
      <b/>
      <sz val="11"/>
      <color rgb="FFFF0000"/>
      <name val="Calibri"/>
      <family val="2"/>
      <scheme val="minor"/>
    </font>
    <font>
      <sz val="14"/>
      <color theme="8"/>
      <name val="Calibri"/>
      <family val="2"/>
      <scheme val="minor"/>
    </font>
    <font>
      <sz val="11"/>
      <color theme="0"/>
      <name val="Calibri"/>
      <family val="2"/>
      <scheme val="minor"/>
    </font>
    <font>
      <b/>
      <sz val="12"/>
      <color theme="1"/>
      <name val="Calibri"/>
      <family val="2"/>
      <scheme val="minor"/>
    </font>
    <font>
      <sz val="14"/>
      <color rgb="FF091E42"/>
      <name val="Helvetica Neue"/>
      <family val="2"/>
    </font>
    <font>
      <sz val="12"/>
      <color theme="1"/>
      <name val="Calibri"/>
      <family val="2"/>
      <scheme val="minor"/>
    </font>
    <font>
      <sz val="11"/>
      <name val="Calibri"/>
      <family val="2"/>
      <scheme val="minor"/>
    </font>
    <font>
      <sz val="11"/>
      <color rgb="FF00B050"/>
      <name val="Calibri"/>
      <family val="2"/>
      <scheme val="minor"/>
    </font>
    <font>
      <b/>
      <sz val="16"/>
      <color rgb="FF000000"/>
      <name val="Calibri"/>
      <family val="2"/>
    </font>
  </fonts>
  <fills count="2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5"/>
        <bgColor indexed="64"/>
      </patternFill>
    </fill>
    <fill>
      <patternFill patternType="solid">
        <fgColor theme="9"/>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7030A0"/>
        <bgColor indexed="64"/>
      </patternFill>
    </fill>
    <fill>
      <patternFill patternType="solid">
        <fgColor theme="8"/>
      </patternFill>
    </fill>
    <fill>
      <patternFill patternType="solid">
        <fgColor rgb="FFFFC0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rgb="FF70AD47"/>
        <bgColor indexed="64"/>
      </patternFill>
    </fill>
    <fill>
      <patternFill patternType="solid">
        <fgColor rgb="FFFFFFFF"/>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top/>
      <bottom style="thin">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6">
    <xf numFmtId="0" fontId="0" fillId="0" borderId="0"/>
    <xf numFmtId="44" fontId="1" fillId="0" borderId="0" applyFont="0" applyFill="0" applyBorder="0" applyAlignment="0" applyProtection="0"/>
    <xf numFmtId="0" fontId="5" fillId="0" borderId="0" applyNumberFormat="0" applyFill="0" applyBorder="0" applyAlignment="0" applyProtection="0"/>
    <xf numFmtId="0" fontId="6" fillId="0" borderId="0"/>
    <xf numFmtId="9" fontId="1" fillId="0" borderId="0" applyFont="0" applyFill="0" applyBorder="0" applyAlignment="0" applyProtection="0"/>
    <xf numFmtId="0" fontId="13" fillId="12" borderId="0" applyNumberFormat="0" applyBorder="0" applyAlignment="0" applyProtection="0"/>
  </cellStyleXfs>
  <cellXfs count="266">
    <xf numFmtId="0" fontId="0" fillId="0" borderId="0" xfId="0"/>
    <xf numFmtId="0" fontId="0" fillId="2" borderId="0" xfId="0" applyFill="1"/>
    <xf numFmtId="0" fontId="0" fillId="5" borderId="0" xfId="0" applyFill="1"/>
    <xf numFmtId="0" fontId="5" fillId="5" borderId="0" xfId="2" applyFill="1"/>
    <xf numFmtId="0" fontId="0" fillId="7" borderId="0" xfId="0" applyFill="1"/>
    <xf numFmtId="0" fontId="3" fillId="9" borderId="0" xfId="0" applyFont="1" applyFill="1"/>
    <xf numFmtId="0" fontId="0" fillId="7" borderId="1" xfId="0" applyFill="1" applyBorder="1"/>
    <xf numFmtId="0" fontId="0" fillId="10" borderId="0" xfId="0" applyFill="1"/>
    <xf numFmtId="0" fontId="3" fillId="10" borderId="0" xfId="0" applyFont="1" applyFill="1"/>
    <xf numFmtId="0" fontId="0" fillId="5" borderId="0" xfId="0" applyFill="1" applyAlignment="1">
      <alignment horizontal="left"/>
    </xf>
    <xf numFmtId="0" fontId="0" fillId="10" borderId="0" xfId="0" applyFill="1" applyBorder="1"/>
    <xf numFmtId="0" fontId="3" fillId="10" borderId="0" xfId="0" applyFont="1" applyFill="1" applyBorder="1"/>
    <xf numFmtId="0" fontId="0" fillId="0" borderId="1" xfId="0" applyBorder="1"/>
    <xf numFmtId="44" fontId="0" fillId="0" borderId="1" xfId="1" applyFont="1" applyBorder="1"/>
    <xf numFmtId="44" fontId="0" fillId="0" borderId="1" xfId="0" applyNumberFormat="1" applyBorder="1"/>
    <xf numFmtId="44" fontId="0" fillId="0" borderId="0" xfId="1" applyFont="1"/>
    <xf numFmtId="164" fontId="0" fillId="0" borderId="1" xfId="1" applyNumberFormat="1" applyFont="1" applyBorder="1"/>
    <xf numFmtId="0" fontId="5" fillId="0" borderId="0" xfId="2"/>
    <xf numFmtId="44" fontId="0" fillId="0" borderId="0" xfId="1" applyFont="1" applyAlignment="1"/>
    <xf numFmtId="0" fontId="3" fillId="0" borderId="0" xfId="0" applyFont="1"/>
    <xf numFmtId="0" fontId="0" fillId="0" borderId="2" xfId="0" applyBorder="1"/>
    <xf numFmtId="0" fontId="0" fillId="0" borderId="4" xfId="0" applyBorder="1"/>
    <xf numFmtId="44" fontId="0" fillId="0" borderId="4" xfId="0" applyNumberFormat="1" applyBorder="1"/>
    <xf numFmtId="0" fontId="0" fillId="0" borderId="5" xfId="0" applyBorder="1"/>
    <xf numFmtId="0" fontId="0" fillId="0" borderId="6" xfId="0" applyBorder="1"/>
    <xf numFmtId="44" fontId="0" fillId="0" borderId="6" xfId="0" applyNumberFormat="1" applyBorder="1"/>
    <xf numFmtId="44" fontId="0" fillId="0" borderId="7" xfId="0" applyNumberFormat="1" applyBorder="1"/>
    <xf numFmtId="44" fontId="0" fillId="0" borderId="4" xfId="1" applyFont="1" applyBorder="1"/>
    <xf numFmtId="0" fontId="0" fillId="0" borderId="6" xfId="0" applyNumberFormat="1" applyBorder="1"/>
    <xf numFmtId="44" fontId="0" fillId="0" borderId="7" xfId="1" applyFont="1" applyBorder="1"/>
    <xf numFmtId="0" fontId="8" fillId="0" borderId="0" xfId="0" applyFont="1"/>
    <xf numFmtId="0" fontId="0" fillId="5" borderId="2" xfId="0" applyFill="1" applyBorder="1"/>
    <xf numFmtId="0" fontId="0" fillId="5" borderId="1" xfId="0" applyFill="1" applyBorder="1"/>
    <xf numFmtId="0" fontId="0" fillId="5" borderId="4" xfId="0" applyFill="1" applyBorder="1"/>
    <xf numFmtId="0" fontId="9" fillId="4" borderId="0" xfId="0" applyFont="1" applyFill="1"/>
    <xf numFmtId="44" fontId="9" fillId="4" borderId="0" xfId="0" applyNumberFormat="1" applyFont="1" applyFill="1"/>
    <xf numFmtId="0" fontId="0" fillId="0" borderId="11" xfId="0" applyBorder="1"/>
    <xf numFmtId="0" fontId="0" fillId="0" borderId="3" xfId="0" applyBorder="1"/>
    <xf numFmtId="44" fontId="0" fillId="0" borderId="3" xfId="0" applyNumberFormat="1" applyBorder="1"/>
    <xf numFmtId="6" fontId="0" fillId="0" borderId="12" xfId="0" applyNumberFormat="1" applyBorder="1"/>
    <xf numFmtId="0" fontId="0" fillId="0" borderId="7" xfId="0" applyBorder="1"/>
    <xf numFmtId="0" fontId="2" fillId="11" borderId="8" xfId="0" applyFont="1" applyFill="1" applyBorder="1"/>
    <xf numFmtId="0" fontId="2" fillId="11" borderId="9" xfId="0" applyFont="1" applyFill="1" applyBorder="1"/>
    <xf numFmtId="0" fontId="2" fillId="11" borderId="2" xfId="0" applyFont="1" applyFill="1" applyBorder="1"/>
    <xf numFmtId="0" fontId="2" fillId="11" borderId="1" xfId="0" applyFont="1" applyFill="1" applyBorder="1"/>
    <xf numFmtId="0" fontId="2" fillId="11" borderId="4" xfId="0" applyFont="1" applyFill="1" applyBorder="1"/>
    <xf numFmtId="0" fontId="0" fillId="0" borderId="5" xfId="0" applyFill="1" applyBorder="1"/>
    <xf numFmtId="0" fontId="0" fillId="11" borderId="10" xfId="0" applyFill="1" applyBorder="1"/>
    <xf numFmtId="44" fontId="0" fillId="0" borderId="6" xfId="1" applyFont="1" applyBorder="1"/>
    <xf numFmtId="0" fontId="10" fillId="0" borderId="0" xfId="0" applyFont="1"/>
    <xf numFmtId="0" fontId="11" fillId="0" borderId="0" xfId="0" applyFont="1"/>
    <xf numFmtId="0" fontId="5" fillId="6" borderId="0" xfId="2" applyFill="1"/>
    <xf numFmtId="0" fontId="0" fillId="6" borderId="2" xfId="0" applyFill="1" applyBorder="1"/>
    <xf numFmtId="0" fontId="0" fillId="6" borderId="9" xfId="0" applyFill="1" applyBorder="1"/>
    <xf numFmtId="0" fontId="0" fillId="6" borderId="1" xfId="0" applyFill="1" applyBorder="1"/>
    <xf numFmtId="0" fontId="0" fillId="6" borderId="4" xfId="0" applyFill="1" applyBorder="1"/>
    <xf numFmtId="0" fontId="0" fillId="6" borderId="8" xfId="0" applyFill="1" applyBorder="1"/>
    <xf numFmtId="0" fontId="0" fillId="6" borderId="10" xfId="0" applyFill="1" applyBorder="1"/>
    <xf numFmtId="0" fontId="0" fillId="2" borderId="0" xfId="0" applyFill="1" applyBorder="1"/>
    <xf numFmtId="9" fontId="0" fillId="0" borderId="1" xfId="0" applyNumberFormat="1" applyBorder="1"/>
    <xf numFmtId="0" fontId="0" fillId="0" borderId="8" xfId="0" applyBorder="1"/>
    <xf numFmtId="0" fontId="0" fillId="0" borderId="9" xfId="0" applyBorder="1"/>
    <xf numFmtId="0" fontId="0" fillId="0" borderId="10" xfId="0" applyBorder="1"/>
    <xf numFmtId="9" fontId="0" fillId="0" borderId="6" xfId="0" applyNumberFormat="1" applyBorder="1"/>
    <xf numFmtId="0" fontId="0" fillId="0" borderId="0" xfId="0" applyAlignment="1">
      <alignment wrapText="1"/>
    </xf>
    <xf numFmtId="0" fontId="0" fillId="7" borderId="1" xfId="0" applyFill="1" applyBorder="1" applyAlignment="1">
      <alignment wrapText="1"/>
    </xf>
    <xf numFmtId="0" fontId="0" fillId="13" borderId="0" xfId="0" applyFill="1"/>
    <xf numFmtId="0" fontId="0" fillId="0" borderId="0" xfId="0" applyBorder="1"/>
    <xf numFmtId="0" fontId="0" fillId="2" borderId="1" xfId="0" applyFill="1" applyBorder="1"/>
    <xf numFmtId="17" fontId="14" fillId="0" borderId="0" xfId="0" applyNumberFormat="1" applyFont="1"/>
    <xf numFmtId="17" fontId="14" fillId="3" borderId="0" xfId="0" applyNumberFormat="1" applyFont="1" applyFill="1"/>
    <xf numFmtId="0" fontId="14" fillId="14" borderId="0" xfId="0" applyFont="1" applyFill="1"/>
    <xf numFmtId="0" fontId="14" fillId="15" borderId="0" xfId="0" applyFont="1" applyFill="1"/>
    <xf numFmtId="165" fontId="0" fillId="0" borderId="0" xfId="0" applyNumberFormat="1"/>
    <xf numFmtId="165" fontId="0" fillId="3" borderId="0" xfId="0" applyNumberFormat="1" applyFill="1"/>
    <xf numFmtId="165" fontId="0" fillId="14" borderId="0" xfId="0" applyNumberFormat="1" applyFill="1"/>
    <xf numFmtId="165" fontId="0" fillId="15" borderId="0" xfId="0" applyNumberFormat="1" applyFill="1"/>
    <xf numFmtId="0" fontId="0" fillId="0" borderId="0" xfId="0" applyAlignment="1">
      <alignment horizontal="center"/>
    </xf>
    <xf numFmtId="165" fontId="6" fillId="2" borderId="1" xfId="1" applyNumberFormat="1" applyFont="1" applyFill="1" applyBorder="1" applyAlignment="1">
      <alignment vertical="top"/>
    </xf>
    <xf numFmtId="165" fontId="0" fillId="6" borderId="1" xfId="0" applyNumberFormat="1" applyFill="1" applyBorder="1"/>
    <xf numFmtId="165" fontId="9" fillId="4" borderId="0" xfId="0" applyNumberFormat="1" applyFont="1" applyFill="1"/>
    <xf numFmtId="0" fontId="0" fillId="0" borderId="9" xfId="0" applyBorder="1" applyAlignment="1">
      <alignment wrapText="1"/>
    </xf>
    <xf numFmtId="0" fontId="0" fillId="0" borderId="2" xfId="0" applyFont="1" applyBorder="1" applyAlignment="1">
      <alignment wrapText="1"/>
    </xf>
    <xf numFmtId="0" fontId="0" fillId="0" borderId="4" xfId="0" applyBorder="1" applyAlignment="1">
      <alignment wrapText="1"/>
    </xf>
    <xf numFmtId="0" fontId="2" fillId="11" borderId="14" xfId="0" applyFont="1" applyFill="1" applyBorder="1" applyAlignment="1">
      <alignment horizontal="center"/>
    </xf>
    <xf numFmtId="0" fontId="2" fillId="11" borderId="15" xfId="0" applyFont="1" applyFill="1" applyBorder="1"/>
    <xf numFmtId="0" fontId="0" fillId="0" borderId="15" xfId="0" applyBorder="1"/>
    <xf numFmtId="0" fontId="0" fillId="0" borderId="2" xfId="0" applyFont="1" applyBorder="1"/>
    <xf numFmtId="0" fontId="0" fillId="0" borderId="1" xfId="0" applyFont="1" applyBorder="1"/>
    <xf numFmtId="0" fontId="0" fillId="0" borderId="1" xfId="0" applyFill="1" applyBorder="1"/>
    <xf numFmtId="0" fontId="0" fillId="0" borderId="1" xfId="0" applyBorder="1" applyAlignment="1">
      <alignment horizontal="left" wrapText="1"/>
    </xf>
    <xf numFmtId="0" fontId="0" fillId="0" borderId="0" xfId="0" applyFill="1" applyBorder="1"/>
    <xf numFmtId="6" fontId="0" fillId="0" borderId="1" xfId="0" applyNumberFormat="1" applyBorder="1"/>
    <xf numFmtId="6" fontId="0" fillId="0" borderId="1" xfId="1" applyNumberFormat="1" applyFont="1" applyBorder="1"/>
    <xf numFmtId="0" fontId="15" fillId="0" borderId="0" xfId="0" applyFont="1"/>
    <xf numFmtId="10" fontId="0" fillId="0" borderId="0" xfId="0" applyNumberFormat="1" applyAlignment="1"/>
    <xf numFmtId="0" fontId="0" fillId="13" borderId="0" xfId="0" applyFill="1" applyAlignment="1">
      <alignment horizontal="right"/>
    </xf>
    <xf numFmtId="0" fontId="0" fillId="0" borderId="0" xfId="0" applyAlignment="1"/>
    <xf numFmtId="0" fontId="0" fillId="6" borderId="1" xfId="0" applyFill="1" applyBorder="1" applyAlignment="1">
      <alignment horizontal="center"/>
    </xf>
    <xf numFmtId="0" fontId="3" fillId="0" borderId="1" xfId="0" applyFont="1" applyBorder="1"/>
    <xf numFmtId="166" fontId="0" fillId="0" borderId="1" xfId="1" applyNumberFormat="1" applyFont="1" applyBorder="1"/>
    <xf numFmtId="0" fontId="0" fillId="6" borderId="0" xfId="0" applyFill="1"/>
    <xf numFmtId="164" fontId="0" fillId="6" borderId="0" xfId="0" applyNumberFormat="1" applyFill="1"/>
    <xf numFmtId="0" fontId="0" fillId="6" borderId="13" xfId="0" applyFill="1" applyBorder="1"/>
    <xf numFmtId="164" fontId="0" fillId="7" borderId="1" xfId="1" applyNumberFormat="1" applyFont="1" applyFill="1" applyBorder="1"/>
    <xf numFmtId="44" fontId="0" fillId="0" borderId="0" xfId="0" applyNumberFormat="1"/>
    <xf numFmtId="166" fontId="0" fillId="0" borderId="0" xfId="1" applyNumberFormat="1" applyFont="1"/>
    <xf numFmtId="0" fontId="0" fillId="5" borderId="17" xfId="0" applyFill="1" applyBorder="1"/>
    <xf numFmtId="164" fontId="13" fillId="8" borderId="1" xfId="1" applyNumberFormat="1" applyFont="1" applyFill="1" applyBorder="1"/>
    <xf numFmtId="0" fontId="18" fillId="7" borderId="1" xfId="0" applyFont="1" applyFill="1" applyBorder="1"/>
    <xf numFmtId="164" fontId="18" fillId="7" borderId="1" xfId="1" applyNumberFormat="1" applyFont="1" applyFill="1" applyBorder="1"/>
    <xf numFmtId="0" fontId="0" fillId="0" borderId="12" xfId="0" applyBorder="1"/>
    <xf numFmtId="0" fontId="0" fillId="0" borderId="2" xfId="0" applyFill="1" applyBorder="1"/>
    <xf numFmtId="0" fontId="0" fillId="5" borderId="15" xfId="0" applyFill="1" applyBorder="1"/>
    <xf numFmtId="164" fontId="0" fillId="5" borderId="0" xfId="1" applyNumberFormat="1" applyFont="1" applyFill="1"/>
    <xf numFmtId="44" fontId="0" fillId="0" borderId="2" xfId="1" applyFont="1" applyBorder="1"/>
    <xf numFmtId="44" fontId="0" fillId="0" borderId="15" xfId="1" applyFont="1" applyBorder="1"/>
    <xf numFmtId="44" fontId="0" fillId="0" borderId="17" xfId="1" applyFont="1" applyBorder="1"/>
    <xf numFmtId="44" fontId="0" fillId="0" borderId="3" xfId="1" applyFont="1" applyBorder="1"/>
    <xf numFmtId="44" fontId="0" fillId="0" borderId="20" xfId="1" applyFont="1" applyBorder="1"/>
    <xf numFmtId="44" fontId="0" fillId="0" borderId="16" xfId="1" applyFont="1" applyBorder="1"/>
    <xf numFmtId="44" fontId="0" fillId="0" borderId="19" xfId="1" applyFont="1" applyBorder="1"/>
    <xf numFmtId="0" fontId="0" fillId="18" borderId="1" xfId="0" applyFill="1" applyBorder="1"/>
    <xf numFmtId="0" fontId="0" fillId="18" borderId="8" xfId="0" applyFill="1" applyBorder="1"/>
    <xf numFmtId="0" fontId="0" fillId="18" borderId="2" xfId="0" applyFill="1" applyBorder="1"/>
    <xf numFmtId="44" fontId="0" fillId="18" borderId="2" xfId="1" applyFont="1" applyFill="1" applyBorder="1"/>
    <xf numFmtId="0" fontId="0" fillId="18" borderId="14" xfId="0" applyFill="1" applyBorder="1"/>
    <xf numFmtId="0" fontId="0" fillId="18" borderId="15" xfId="0" applyFill="1" applyBorder="1"/>
    <xf numFmtId="0" fontId="0" fillId="18" borderId="16" xfId="0" applyFill="1" applyBorder="1"/>
    <xf numFmtId="0" fontId="13" fillId="4" borderId="0" xfId="0" applyFont="1" applyFill="1"/>
    <xf numFmtId="164" fontId="13" fillId="12" borderId="0" xfId="5" applyNumberFormat="1"/>
    <xf numFmtId="44" fontId="13" fillId="12" borderId="0" xfId="5" applyNumberFormat="1"/>
    <xf numFmtId="0" fontId="13" fillId="12" borderId="0" xfId="5"/>
    <xf numFmtId="9" fontId="13" fillId="12" borderId="0" xfId="5" applyNumberFormat="1"/>
    <xf numFmtId="0" fontId="13" fillId="12" borderId="0" xfId="5" applyAlignment="1">
      <alignment horizontal="right"/>
    </xf>
    <xf numFmtId="0" fontId="3" fillId="4" borderId="0" xfId="0" applyFont="1" applyFill="1"/>
    <xf numFmtId="0" fontId="2" fillId="4" borderId="0" xfId="0" applyFont="1" applyFill="1"/>
    <xf numFmtId="0" fontId="0" fillId="10" borderId="24" xfId="0" applyFill="1" applyBorder="1"/>
    <xf numFmtId="0" fontId="0" fillId="18" borderId="1" xfId="0" applyFill="1" applyBorder="1" applyAlignment="1">
      <alignment horizontal="center" wrapText="1"/>
    </xf>
    <xf numFmtId="0" fontId="3" fillId="5" borderId="0" xfId="0" applyFont="1" applyFill="1"/>
    <xf numFmtId="0" fontId="0" fillId="5" borderId="0" xfId="0" applyFont="1" applyFill="1"/>
    <xf numFmtId="0" fontId="17" fillId="2" borderId="0" xfId="0" applyFont="1" applyFill="1"/>
    <xf numFmtId="0" fontId="13" fillId="5" borderId="0" xfId="5" applyFill="1"/>
    <xf numFmtId="9" fontId="13" fillId="12" borderId="0" xfId="4" applyFont="1" applyFill="1"/>
    <xf numFmtId="0" fontId="0" fillId="5" borderId="0" xfId="0" applyFill="1" applyAlignment="1">
      <alignment horizontal="left" indent="2"/>
    </xf>
    <xf numFmtId="0" fontId="0" fillId="0" borderId="1" xfId="0" applyBorder="1" applyAlignment="1">
      <alignment wrapText="1"/>
    </xf>
    <xf numFmtId="164" fontId="0" fillId="7" borderId="1" xfId="1" quotePrefix="1" applyNumberFormat="1" applyFont="1" applyFill="1" applyBorder="1"/>
    <xf numFmtId="0" fontId="0" fillId="0" borderId="13" xfId="0" applyFill="1" applyBorder="1"/>
    <xf numFmtId="165" fontId="0" fillId="0" borderId="1" xfId="1" applyNumberFormat="1" applyFont="1" applyBorder="1"/>
    <xf numFmtId="0" fontId="0" fillId="15" borderId="0" xfId="0" applyFill="1"/>
    <xf numFmtId="9" fontId="0" fillId="0" borderId="0" xfId="4" applyFont="1"/>
    <xf numFmtId="0" fontId="0" fillId="0" borderId="13" xfId="0" applyFill="1" applyBorder="1" applyAlignment="1">
      <alignment wrapText="1"/>
    </xf>
    <xf numFmtId="0" fontId="0" fillId="0" borderId="0" xfId="0" applyBorder="1" applyAlignment="1">
      <alignment horizontal="center"/>
    </xf>
    <xf numFmtId="0" fontId="0" fillId="0" borderId="1" xfId="0" applyFill="1" applyBorder="1" applyAlignment="1">
      <alignment wrapText="1"/>
    </xf>
    <xf numFmtId="166" fontId="0" fillId="0" borderId="0" xfId="0" applyNumberFormat="1"/>
    <xf numFmtId="164" fontId="0" fillId="10" borderId="1" xfId="1" applyNumberFormat="1" applyFont="1" applyFill="1" applyBorder="1"/>
    <xf numFmtId="0" fontId="13" fillId="9" borderId="0" xfId="5" applyFill="1"/>
    <xf numFmtId="9" fontId="13" fillId="9" borderId="0" xfId="5" applyNumberFormat="1" applyFill="1"/>
    <xf numFmtId="0" fontId="13" fillId="9" borderId="0" xfId="5" applyFill="1" applyAlignment="1">
      <alignment horizontal="right"/>
    </xf>
    <xf numFmtId="9" fontId="13" fillId="9" borderId="0" xfId="4" applyFont="1" applyFill="1"/>
    <xf numFmtId="0" fontId="18" fillId="9" borderId="1" xfId="0" applyFont="1" applyFill="1" applyBorder="1"/>
    <xf numFmtId="164" fontId="17" fillId="9" borderId="1" xfId="1" applyNumberFormat="1" applyFont="1" applyFill="1" applyBorder="1"/>
    <xf numFmtId="164" fontId="17" fillId="9" borderId="1" xfId="1" quotePrefix="1" applyNumberFormat="1" applyFont="1" applyFill="1" applyBorder="1"/>
    <xf numFmtId="0" fontId="0" fillId="10" borderId="9" xfId="0" applyFill="1" applyBorder="1"/>
    <xf numFmtId="0" fontId="0" fillId="10" borderId="10" xfId="0" applyFill="1" applyBorder="1"/>
    <xf numFmtId="0" fontId="0" fillId="10" borderId="2" xfId="0" applyFill="1" applyBorder="1"/>
    <xf numFmtId="164" fontId="0" fillId="10" borderId="4" xfId="1" applyNumberFormat="1" applyFont="1" applyFill="1" applyBorder="1"/>
    <xf numFmtId="0" fontId="3" fillId="10" borderId="26" xfId="0" applyFont="1" applyFill="1" applyBorder="1" applyAlignment="1">
      <alignment wrapText="1"/>
    </xf>
    <xf numFmtId="164" fontId="3" fillId="10" borderId="6" xfId="1" applyNumberFormat="1" applyFont="1" applyFill="1" applyBorder="1"/>
    <xf numFmtId="164" fontId="0" fillId="10" borderId="7" xfId="1" applyNumberFormat="1" applyFont="1" applyFill="1" applyBorder="1"/>
    <xf numFmtId="0" fontId="3" fillId="10" borderId="8" xfId="0" applyFont="1" applyFill="1" applyBorder="1"/>
    <xf numFmtId="164" fontId="0" fillId="0" borderId="1" xfId="0" applyNumberFormat="1" applyBorder="1"/>
    <xf numFmtId="164" fontId="0" fillId="0" borderId="9" xfId="0" applyNumberFormat="1" applyBorder="1"/>
    <xf numFmtId="9" fontId="0" fillId="0" borderId="9" xfId="0" applyNumberFormat="1" applyBorder="1"/>
    <xf numFmtId="9" fontId="0" fillId="0" borderId="10" xfId="0" applyNumberFormat="1" applyBorder="1"/>
    <xf numFmtId="9" fontId="0" fillId="0" borderId="4" xfId="0" applyNumberFormat="1" applyBorder="1"/>
    <xf numFmtId="164" fontId="0" fillId="0" borderId="6" xfId="0" applyNumberFormat="1" applyBorder="1"/>
    <xf numFmtId="9" fontId="0" fillId="0" borderId="7" xfId="0" applyNumberFormat="1" applyBorder="1"/>
    <xf numFmtId="44" fontId="0" fillId="2" borderId="0" xfId="0" applyNumberFormat="1" applyFill="1" applyBorder="1"/>
    <xf numFmtId="44" fontId="0" fillId="2" borderId="0" xfId="1" applyFont="1" applyFill="1" applyBorder="1"/>
    <xf numFmtId="0" fontId="0" fillId="0" borderId="0" xfId="0" applyAlignment="1">
      <alignment horizontal="center"/>
    </xf>
    <xf numFmtId="0" fontId="0" fillId="6" borderId="27" xfId="0" applyFill="1" applyBorder="1"/>
    <xf numFmtId="44" fontId="0" fillId="5" borderId="0" xfId="0" applyNumberFormat="1" applyFill="1"/>
    <xf numFmtId="44" fontId="3" fillId="10" borderId="0" xfId="0" applyNumberFormat="1" applyFont="1" applyFill="1" applyBorder="1" applyAlignment="1">
      <alignment horizontal="center"/>
    </xf>
    <xf numFmtId="9" fontId="0" fillId="5" borderId="0" xfId="0" applyNumberFormat="1" applyFill="1"/>
    <xf numFmtId="9" fontId="0" fillId="10" borderId="0" xfId="4" applyFont="1" applyFill="1"/>
    <xf numFmtId="0" fontId="0" fillId="19" borderId="0" xfId="0" applyFill="1"/>
    <xf numFmtId="0" fontId="0" fillId="19" borderId="0" xfId="0" applyNumberFormat="1" applyFill="1"/>
    <xf numFmtId="166" fontId="0" fillId="0" borderId="2" xfId="1" applyNumberFormat="1" applyFont="1" applyBorder="1"/>
    <xf numFmtId="0" fontId="0" fillId="0" borderId="0" xfId="0" applyAlignment="1">
      <alignment horizontal="right"/>
    </xf>
    <xf numFmtId="44" fontId="0" fillId="2" borderId="0" xfId="1" applyFont="1" applyFill="1"/>
    <xf numFmtId="44" fontId="0" fillId="10" borderId="0" xfId="1" applyFont="1" applyFill="1"/>
    <xf numFmtId="44" fontId="3" fillId="2" borderId="0" xfId="1" applyFont="1" applyFill="1"/>
    <xf numFmtId="164" fontId="0" fillId="2" borderId="0" xfId="0" applyNumberFormat="1" applyFill="1"/>
    <xf numFmtId="164" fontId="0" fillId="10" borderId="0" xfId="0" applyNumberFormat="1" applyFill="1"/>
    <xf numFmtId="164" fontId="3" fillId="2" borderId="0" xfId="0" applyNumberFormat="1" applyFont="1" applyFill="1"/>
    <xf numFmtId="6" fontId="0" fillId="0" borderId="0" xfId="0" applyNumberFormat="1"/>
    <xf numFmtId="164" fontId="0" fillId="0" borderId="0" xfId="1" applyNumberFormat="1" applyFont="1"/>
    <xf numFmtId="164" fontId="0" fillId="0" borderId="0" xfId="0" applyNumberFormat="1"/>
    <xf numFmtId="3" fontId="0" fillId="0" borderId="0" xfId="0" applyNumberFormat="1"/>
    <xf numFmtId="44" fontId="0" fillId="10" borderId="0" xfId="1" applyFont="1" applyFill="1" applyBorder="1"/>
    <xf numFmtId="44" fontId="3" fillId="10" borderId="0" xfId="1" applyFont="1" applyFill="1" applyBorder="1"/>
    <xf numFmtId="0" fontId="0" fillId="5" borderId="0" xfId="0" applyFill="1" applyAlignment="1">
      <alignment horizontal="left" wrapText="1" indent="2"/>
    </xf>
    <xf numFmtId="0" fontId="0" fillId="0" borderId="0" xfId="0" applyAlignment="1">
      <alignment horizontal="center"/>
    </xf>
    <xf numFmtId="0" fontId="7" fillId="20" borderId="28" xfId="0" applyFont="1" applyFill="1" applyBorder="1" applyAlignment="1">
      <alignment vertical="center"/>
    </xf>
    <xf numFmtId="0" fontId="7" fillId="20" borderId="29" xfId="0" applyFont="1" applyFill="1" applyBorder="1" applyAlignment="1">
      <alignment vertical="center" wrapText="1"/>
    </xf>
    <xf numFmtId="0" fontId="7" fillId="20" borderId="29" xfId="0" applyFont="1" applyFill="1" applyBorder="1" applyAlignment="1">
      <alignment horizontal="center" vertical="center" wrapText="1"/>
    </xf>
    <xf numFmtId="0" fontId="6" fillId="21" borderId="30" xfId="0" applyFont="1" applyFill="1" applyBorder="1" applyAlignment="1">
      <alignment vertical="center"/>
    </xf>
    <xf numFmtId="8" fontId="6" fillId="21" borderId="31" xfId="0" applyNumberFormat="1" applyFont="1" applyFill="1" applyBorder="1" applyAlignment="1">
      <alignment horizontal="right" vertical="center"/>
    </xf>
    <xf numFmtId="9" fontId="6" fillId="0" borderId="31" xfId="0" applyNumberFormat="1" applyFont="1" applyBorder="1" applyAlignment="1">
      <alignment horizontal="right" vertical="center"/>
    </xf>
    <xf numFmtId="9" fontId="6" fillId="0" borderId="31" xfId="0" applyNumberFormat="1" applyFont="1" applyBorder="1" applyAlignment="1">
      <alignment vertical="center"/>
    </xf>
    <xf numFmtId="0" fontId="0" fillId="3" borderId="1" xfId="0" applyFill="1" applyBorder="1"/>
    <xf numFmtId="0" fontId="0" fillId="0" borderId="32" xfId="0" applyFill="1" applyBorder="1"/>
    <xf numFmtId="0" fontId="3" fillId="5" borderId="0" xfId="0" applyFont="1" applyFill="1" applyAlignment="1">
      <alignment horizontal="left" indent="2"/>
    </xf>
    <xf numFmtId="0" fontId="0" fillId="5" borderId="33" xfId="0" applyFill="1" applyBorder="1"/>
    <xf numFmtId="0" fontId="0" fillId="5" borderId="34" xfId="0" applyFill="1" applyBorder="1"/>
    <xf numFmtId="0" fontId="0" fillId="5" borderId="35" xfId="0" applyFill="1" applyBorder="1"/>
    <xf numFmtId="0" fontId="0" fillId="5" borderId="36" xfId="0" applyFill="1" applyBorder="1"/>
    <xf numFmtId="0" fontId="0" fillId="5" borderId="0" xfId="0" applyFill="1" applyBorder="1"/>
    <xf numFmtId="0" fontId="0" fillId="5" borderId="37" xfId="0" applyFill="1" applyBorder="1"/>
    <xf numFmtId="0" fontId="0" fillId="19" borderId="0" xfId="0" applyFill="1" applyBorder="1"/>
    <xf numFmtId="0" fontId="17" fillId="2" borderId="36" xfId="0" applyFont="1" applyFill="1" applyBorder="1"/>
    <xf numFmtId="0" fontId="17" fillId="2" borderId="37" xfId="0" applyFont="1" applyFill="1" applyBorder="1"/>
    <xf numFmtId="0" fontId="0" fillId="5" borderId="26" xfId="0" applyFill="1" applyBorder="1"/>
    <xf numFmtId="0" fontId="0" fillId="5" borderId="38" xfId="0" applyFill="1" applyBorder="1"/>
    <xf numFmtId="0" fontId="0" fillId="5" borderId="31" xfId="0" applyFill="1" applyBorder="1"/>
    <xf numFmtId="44" fontId="3" fillId="10" borderId="0" xfId="1" applyFont="1" applyFill="1"/>
    <xf numFmtId="0" fontId="0" fillId="2" borderId="36" xfId="0" applyFill="1" applyBorder="1"/>
    <xf numFmtId="0" fontId="0" fillId="2" borderId="36" xfId="0" applyFill="1" applyBorder="1" applyAlignment="1">
      <alignment horizontal="left"/>
    </xf>
    <xf numFmtId="0" fontId="0" fillId="2" borderId="0" xfId="0" applyFill="1" applyBorder="1" applyAlignment="1">
      <alignment horizontal="left"/>
    </xf>
    <xf numFmtId="0" fontId="0" fillId="5" borderId="36" xfId="0" applyFill="1" applyBorder="1" applyAlignment="1">
      <alignment horizontal="left"/>
    </xf>
    <xf numFmtId="0" fontId="0" fillId="5" borderId="0" xfId="0" applyFill="1" applyBorder="1" applyAlignment="1">
      <alignment horizontal="left"/>
    </xf>
    <xf numFmtId="0" fontId="0" fillId="5" borderId="26" xfId="0" applyFill="1" applyBorder="1" applyAlignment="1">
      <alignment horizontal="left"/>
    </xf>
    <xf numFmtId="0" fontId="0" fillId="5" borderId="38" xfId="0" applyFill="1" applyBorder="1" applyAlignment="1">
      <alignment horizontal="left"/>
    </xf>
    <xf numFmtId="44" fontId="0" fillId="0" borderId="0" xfId="0" applyNumberFormat="1" applyBorder="1"/>
    <xf numFmtId="0" fontId="3" fillId="0" borderId="0" xfId="0" applyFont="1" applyFill="1" applyBorder="1"/>
    <xf numFmtId="9" fontId="0" fillId="0" borderId="0" xfId="0" applyNumberFormat="1"/>
    <xf numFmtId="44" fontId="3" fillId="0" borderId="0" xfId="1" applyFont="1"/>
    <xf numFmtId="0" fontId="0" fillId="0" borderId="0" xfId="1" applyNumberFormat="1" applyFont="1" applyAlignment="1"/>
    <xf numFmtId="44" fontId="9" fillId="2" borderId="0" xfId="0" applyNumberFormat="1" applyFont="1" applyFill="1"/>
    <xf numFmtId="0" fontId="0" fillId="4" borderId="0" xfId="0" applyFill="1"/>
    <xf numFmtId="0" fontId="0" fillId="0" borderId="0" xfId="0" applyFont="1"/>
    <xf numFmtId="165" fontId="0" fillId="0" borderId="2" xfId="1" applyNumberFormat="1" applyFont="1" applyBorder="1"/>
    <xf numFmtId="0" fontId="4" fillId="2" borderId="0" xfId="0" applyFont="1" applyFill="1" applyBorder="1" applyAlignment="1">
      <alignment horizontal="center" vertical="top" wrapText="1"/>
    </xf>
    <xf numFmtId="0" fontId="12" fillId="0" borderId="0" xfId="0" applyFont="1" applyAlignment="1">
      <alignment horizontal="left" wrapText="1"/>
    </xf>
    <xf numFmtId="0" fontId="13" fillId="4" borderId="0" xfId="0" applyFont="1" applyFill="1" applyAlignment="1">
      <alignment horizontal="center"/>
    </xf>
    <xf numFmtId="0" fontId="0" fillId="5" borderId="0" xfId="0" applyFill="1" applyAlignment="1">
      <alignment horizontal="left" wrapText="1" indent="2"/>
    </xf>
    <xf numFmtId="0" fontId="3" fillId="5" borderId="0" xfId="0" applyFont="1" applyFill="1" applyAlignment="1">
      <alignment horizontal="left" wrapText="1" indent="2"/>
    </xf>
    <xf numFmtId="0" fontId="0" fillId="2" borderId="0" xfId="0" applyFill="1" applyAlignment="1">
      <alignment horizontal="left"/>
    </xf>
    <xf numFmtId="0" fontId="0" fillId="2" borderId="0" xfId="0" applyFill="1" applyAlignment="1">
      <alignment horizontal="center"/>
    </xf>
    <xf numFmtId="0" fontId="2" fillId="4" borderId="0" xfId="0" applyFont="1" applyFill="1" applyAlignment="1">
      <alignment horizontal="center"/>
    </xf>
    <xf numFmtId="0" fontId="2" fillId="4" borderId="0" xfId="0" applyFont="1" applyFill="1" applyAlignment="1">
      <alignment horizontal="left"/>
    </xf>
    <xf numFmtId="0" fontId="0" fillId="6" borderId="1" xfId="0" applyFill="1" applyBorder="1" applyAlignment="1">
      <alignment horizontal="center"/>
    </xf>
    <xf numFmtId="0" fontId="0" fillId="0" borderId="0" xfId="0" applyAlignment="1">
      <alignment horizontal="center"/>
    </xf>
    <xf numFmtId="0" fontId="0" fillId="0" borderId="25" xfId="0" applyBorder="1" applyAlignment="1">
      <alignment horizontal="center"/>
    </xf>
    <xf numFmtId="0" fontId="2" fillId="4" borderId="21" xfId="0" applyFont="1" applyFill="1" applyBorder="1" applyAlignment="1">
      <alignment horizontal="center"/>
    </xf>
    <xf numFmtId="0" fontId="2" fillId="4" borderId="22" xfId="0" applyFont="1" applyFill="1" applyBorder="1" applyAlignment="1">
      <alignment horizontal="center"/>
    </xf>
    <xf numFmtId="0" fontId="2" fillId="4" borderId="23" xfId="0" applyFont="1" applyFill="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0" fontId="0" fillId="0" borderId="18" xfId="0" applyBorder="1" applyAlignment="1">
      <alignment horizontal="center"/>
    </xf>
    <xf numFmtId="0" fontId="14" fillId="16" borderId="0" xfId="0" applyFont="1" applyFill="1" applyAlignment="1">
      <alignment horizontal="center"/>
    </xf>
    <xf numFmtId="165" fontId="0" fillId="0" borderId="0" xfId="0" applyNumberFormat="1" applyAlignment="1">
      <alignment horizontal="center"/>
    </xf>
    <xf numFmtId="0" fontId="14" fillId="17" borderId="0" xfId="0" applyFont="1" applyFill="1" applyAlignment="1">
      <alignment horizontal="center"/>
    </xf>
  </cellXfs>
  <cellStyles count="6">
    <cellStyle name="Accent5" xfId="5" builtinId="45"/>
    <cellStyle name="Currency" xfId="1" builtinId="4"/>
    <cellStyle name="Hyperlink" xfId="2" builtinId="8"/>
    <cellStyle name="Normal" xfId="0" builtinId="0"/>
    <cellStyle name="Normal 3" xfId="3" xr:uid="{00000000-0005-0000-0000-00000400000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Cloud Consumption Cost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4.8901921636085852E-2"/>
          <c:y val="9.2358506723309558E-2"/>
          <c:w val="0.93401254118819077"/>
          <c:h val="0.82245222851920574"/>
        </c:manualLayout>
      </c:layout>
      <c:barChart>
        <c:barDir val="col"/>
        <c:grouping val="clustered"/>
        <c:varyColors val="0"/>
        <c:ser>
          <c:idx val="0"/>
          <c:order val="0"/>
          <c:tx>
            <c:strRef>
              <c:f>'Prospective Project Calculation'!$B$48</c:f>
              <c:strCache>
                <c:ptCount val="1"/>
                <c:pt idx="0">
                  <c:v>Cloud Consumption Growth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'Prospective Project Calculation'!$A$49:$A$83</c:f>
              <c:strCache>
                <c:ptCount val="7"/>
                <c:pt idx="0">
                  <c:v>1</c:v>
                </c:pt>
                <c:pt idx="1">
                  <c:v>2</c:v>
                </c:pt>
                <c:pt idx="2">
                  <c:v>3</c:v>
                </c:pt>
                <c:pt idx="3">
                  <c:v>4</c:v>
                </c:pt>
                <c:pt idx="4">
                  <c:v>5</c:v>
                </c:pt>
                <c:pt idx="5">
                  <c:v>6</c:v>
                </c:pt>
                <c:pt idx="6">
                  <c:v>7</c:v>
                </c:pt>
              </c:strCache>
            </c:strRef>
          </c:cat>
          <c:val>
            <c:numRef>
              <c:f>'Prospective Project Calculation'!$B$49:$B$83</c:f>
              <c:numCache>
                <c:formatCode>_("$"* #,##0.0_);_("$"* \(#,##0.0\);_("$"* "-"??_);_(@_)</c:formatCode>
                <c:ptCount val="35"/>
                <c:pt idx="0">
                  <c:v>560.29666666666662</c:v>
                </c:pt>
                <c:pt idx="1">
                  <c:v>568.23296666666658</c:v>
                </c:pt>
                <c:pt idx="2">
                  <c:v>576.29529633333334</c:v>
                </c:pt>
                <c:pt idx="3">
                  <c:v>584.48584929666663</c:v>
                </c:pt>
                <c:pt idx="4">
                  <c:v>592.80685978963334</c:v>
                </c:pt>
                <c:pt idx="5">
                  <c:v>601.26060342752965</c:v>
                </c:pt>
                <c:pt idx="6">
                  <c:v>609.84939800260497</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extLst>
            <c:ext xmlns:c16="http://schemas.microsoft.com/office/drawing/2014/chart" uri="{C3380CC4-5D6E-409C-BE32-E72D297353CC}">
              <c16:uniqueId val="{00000000-9D0E-45E8-B7D7-7D34D050274D}"/>
            </c:ext>
          </c:extLst>
        </c:ser>
        <c:dLbls>
          <c:showLegendKey val="0"/>
          <c:showVal val="0"/>
          <c:showCatName val="0"/>
          <c:showSerName val="0"/>
          <c:showPercent val="0"/>
          <c:showBubbleSize val="0"/>
        </c:dLbls>
        <c:gapWidth val="150"/>
        <c:axId val="596797296"/>
        <c:axId val="596793360"/>
      </c:barChart>
      <c:catAx>
        <c:axId val="59679729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3360"/>
        <c:crosses val="autoZero"/>
        <c:auto val="1"/>
        <c:lblAlgn val="ctr"/>
        <c:lblOffset val="100"/>
        <c:noMultiLvlLbl val="0"/>
      </c:catAx>
      <c:valAx>
        <c:axId val="596793360"/>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0_);_(&quot;$&quot;* \(#,##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7296"/>
        <c:crosses val="autoZero"/>
        <c:crossBetween val="between"/>
      </c:valAx>
      <c:spPr>
        <a:noFill/>
        <a:ln>
          <a:noFill/>
        </a:ln>
        <a:effectLst/>
      </c:spPr>
    </c:plotArea>
    <c:legend>
      <c:legendPos val="b"/>
      <c:layout>
        <c:manualLayout>
          <c:xMode val="edge"/>
          <c:yMode val="edge"/>
          <c:x val="0.74076849756309859"/>
          <c:y val="0.2515182386243564"/>
          <c:w val="0.14291562116760462"/>
          <c:h val="3.39442046313786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Change in Project Costs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'Active Project'!$N$6</c:f>
              <c:strCache>
                <c:ptCount val="1"/>
                <c:pt idx="0">
                  <c:v>Current Forecast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'Active Project'!$M$7:$M$11</c:f>
              <c:strCache>
                <c:ptCount val="5"/>
                <c:pt idx="0">
                  <c:v>Enablement Cost</c:v>
                </c:pt>
                <c:pt idx="1">
                  <c:v>Data Costs</c:v>
                </c:pt>
                <c:pt idx="2">
                  <c:v>Analyst Cost</c:v>
                </c:pt>
                <c:pt idx="3">
                  <c:v>Overhead Allocation</c:v>
                </c:pt>
                <c:pt idx="4">
                  <c:v>TOTAL Cost</c:v>
                </c:pt>
              </c:strCache>
            </c:strRef>
          </c:cat>
          <c:val>
            <c:numRef>
              <c:f>'Active Project'!$N$7:$N$11</c:f>
              <c:numCache>
                <c:formatCode>_("$"* #,##0_);_("$"* \(#,##0\);_("$"* "-"??_);_(@_)</c:formatCode>
                <c:ptCount val="5"/>
                <c:pt idx="0">
                  <c:v>0</c:v>
                </c:pt>
                <c:pt idx="1">
                  <c:v>314.94088252946477</c:v>
                </c:pt>
                <c:pt idx="2">
                  <c:v>0</c:v>
                </c:pt>
                <c:pt idx="3">
                  <c:v>73523.192266666665</c:v>
                </c:pt>
                <c:pt idx="4">
                  <c:v>73838.133149196132</c:v>
                </c:pt>
              </c:numCache>
            </c:numRef>
          </c:val>
          <c:extLst>
            <c:ext xmlns:c16="http://schemas.microsoft.com/office/drawing/2014/chart" uri="{C3380CC4-5D6E-409C-BE32-E72D297353CC}">
              <c16:uniqueId val="{00000000-3FFE-40C7-89D2-3817078A2D2A}"/>
            </c:ext>
          </c:extLst>
        </c:ser>
        <c:ser>
          <c:idx val="1"/>
          <c:order val="1"/>
          <c:tx>
            <c:strRef>
              <c:f>'Active Project'!$O$6</c:f>
              <c:strCache>
                <c:ptCount val="1"/>
                <c:pt idx="0">
                  <c:v>Anticipated</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'Active Project'!$M$7:$M$11</c:f>
              <c:strCache>
                <c:ptCount val="5"/>
                <c:pt idx="0">
                  <c:v>Enablement Cost</c:v>
                </c:pt>
                <c:pt idx="1">
                  <c:v>Data Costs</c:v>
                </c:pt>
                <c:pt idx="2">
                  <c:v>Analyst Cost</c:v>
                </c:pt>
                <c:pt idx="3">
                  <c:v>Overhead Allocation</c:v>
                </c:pt>
                <c:pt idx="4">
                  <c:v>TOTAL Cost</c:v>
                </c:pt>
              </c:strCache>
            </c:strRef>
          </c:cat>
          <c:val>
            <c:numRef>
              <c:f>'Active Project'!$O$7:$O$11</c:f>
              <c:numCache>
                <c:formatCode>_("$"* #,##0_);_("$"* \(#,##0\);_("$"* "-"??_);_(@_)</c:formatCode>
                <c:ptCount val="5"/>
                <c:pt idx="0">
                  <c:v>37500</c:v>
                </c:pt>
                <c:pt idx="1">
                  <c:v>314.94088252946477</c:v>
                </c:pt>
                <c:pt idx="2">
                  <c:v>1277.1934644563221</c:v>
                </c:pt>
                <c:pt idx="3">
                  <c:v>73523.192266666665</c:v>
                </c:pt>
                <c:pt idx="4">
                  <c:v>112615.32661365246</c:v>
                </c:pt>
              </c:numCache>
            </c:numRef>
          </c:val>
          <c:extLst>
            <c:ext xmlns:c16="http://schemas.microsoft.com/office/drawing/2014/chart" uri="{C3380CC4-5D6E-409C-BE32-E72D297353CC}">
              <c16:uniqueId val="{00000001-3FFE-40C7-89D2-3817078A2D2A}"/>
            </c:ext>
          </c:extLst>
        </c:ser>
        <c:dLbls>
          <c:dLblPos val="inEnd"/>
          <c:showLegendKey val="0"/>
          <c:showVal val="1"/>
          <c:showCatName val="0"/>
          <c:showSerName val="0"/>
          <c:showPercent val="0"/>
          <c:showBubbleSize val="0"/>
        </c:dLbls>
        <c:gapWidth val="65"/>
        <c:axId val="600144920"/>
        <c:axId val="600145248"/>
      </c:barChart>
      <c:catAx>
        <c:axId val="6001449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0145248"/>
        <c:crosses val="autoZero"/>
        <c:auto val="1"/>
        <c:lblAlgn val="ctr"/>
        <c:lblOffset val="100"/>
        <c:noMultiLvlLbl val="0"/>
      </c:catAx>
      <c:valAx>
        <c:axId val="60014524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_(&quot;$&quot;* \(#,##0\);_(&quot;$&quot;* &quot;-&quot;??_);_(@_)" sourceLinked="1"/>
        <c:majorTickMark val="none"/>
        <c:minorTickMark val="none"/>
        <c:tickLblPos val="nextTo"/>
        <c:crossAx val="60014492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Active Project'!A1"/><Relationship Id="rId7" Type="http://schemas.openxmlformats.org/officeDocument/2006/relationships/hyperlink" Target="#'Platform Cloud Costs'!A1"/><Relationship Id="rId2" Type="http://schemas.openxmlformats.org/officeDocument/2006/relationships/hyperlink" Target="#'Prospective Project'!A1"/><Relationship Id="rId1" Type="http://schemas.openxmlformats.org/officeDocument/2006/relationships/hyperlink" Target="#'Sys Admin'!A1"/><Relationship Id="rId6" Type="http://schemas.openxmlformats.org/officeDocument/2006/relationships/hyperlink" Target="#'Cloud Consumption'!A1"/><Relationship Id="rId5" Type="http://schemas.openxmlformats.org/officeDocument/2006/relationships/hyperlink" Target="#'Other Overhead C '!A1"/><Relationship Id="rId4" Type="http://schemas.openxmlformats.org/officeDocument/2006/relationships/hyperlink" Target="#'Enablement Services'!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390525</xdr:colOff>
      <xdr:row>8</xdr:row>
      <xdr:rowOff>104775</xdr:rowOff>
    </xdr:from>
    <xdr:to>
      <xdr:col>5</xdr:col>
      <xdr:colOff>114300</xdr:colOff>
      <xdr:row>14</xdr:row>
      <xdr:rowOff>114300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390525" y="2562225"/>
          <a:ext cx="2771775" cy="1152525"/>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am</a:t>
          </a:r>
          <a:r>
            <a:rPr lang="en-US" sz="1100" baseline="0"/>
            <a:t> an administrator for the SDC. </a:t>
          </a:r>
          <a:endParaRPr lang="en-US" sz="1100"/>
        </a:p>
      </xdr:txBody>
    </xdr:sp>
    <xdr:clientData/>
  </xdr:twoCellAnchor>
  <xdr:twoCellAnchor>
    <xdr:from>
      <xdr:col>5</xdr:col>
      <xdr:colOff>485775</xdr:colOff>
      <xdr:row>8</xdr:row>
      <xdr:rowOff>114300</xdr:rowOff>
    </xdr:from>
    <xdr:to>
      <xdr:col>10</xdr:col>
      <xdr:colOff>209550</xdr:colOff>
      <xdr:row>14</xdr:row>
      <xdr:rowOff>123825</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000-000006000000}"/>
            </a:ext>
          </a:extLst>
        </xdr:cNvPr>
        <xdr:cNvSpPr/>
      </xdr:nvSpPr>
      <xdr:spPr>
        <a:xfrm>
          <a:off x="3533775" y="2571750"/>
          <a:ext cx="2771775" cy="11525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I</a:t>
          </a:r>
          <a:r>
            <a:rPr lang="en-US" sz="1100" baseline="0"/>
            <a:t> have a project or analyses that might need to use the SDC</a:t>
          </a:r>
          <a:endParaRPr lang="en-US" sz="1100"/>
        </a:p>
      </xdr:txBody>
    </xdr:sp>
    <xdr:clientData/>
  </xdr:twoCellAnchor>
  <xdr:twoCellAnchor>
    <xdr:from>
      <xdr:col>10</xdr:col>
      <xdr:colOff>495300</xdr:colOff>
      <xdr:row>8</xdr:row>
      <xdr:rowOff>95250</xdr:rowOff>
    </xdr:from>
    <xdr:to>
      <xdr:col>15</xdr:col>
      <xdr:colOff>219075</xdr:colOff>
      <xdr:row>14</xdr:row>
      <xdr:rowOff>104775</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0000-000007000000}"/>
            </a:ext>
          </a:extLst>
        </xdr:cNvPr>
        <xdr:cNvSpPr/>
      </xdr:nvSpPr>
      <xdr:spPr>
        <a:xfrm>
          <a:off x="6591300" y="2552700"/>
          <a:ext cx="2771775" cy="11525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I have</a:t>
          </a:r>
          <a:r>
            <a:rPr lang="en-US" sz="1100" baseline="0"/>
            <a:t> an active project in the SDC</a:t>
          </a:r>
          <a:endParaRPr lang="en-US" sz="1100"/>
        </a:p>
      </xdr:txBody>
    </xdr:sp>
    <xdr:clientData/>
  </xdr:twoCellAnchor>
  <xdr:twoCellAnchor>
    <xdr:from>
      <xdr:col>0</xdr:col>
      <xdr:colOff>419100</xdr:colOff>
      <xdr:row>19</xdr:row>
      <xdr:rowOff>95250</xdr:rowOff>
    </xdr:from>
    <xdr:to>
      <xdr:col>5</xdr:col>
      <xdr:colOff>57150</xdr:colOff>
      <xdr:row>24</xdr:row>
      <xdr:rowOff>180975</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0000-000008000000}"/>
            </a:ext>
          </a:extLst>
        </xdr:cNvPr>
        <xdr:cNvSpPr/>
      </xdr:nvSpPr>
      <xdr:spPr>
        <a:xfrm>
          <a:off x="419100" y="4648200"/>
          <a:ext cx="2686050" cy="1038225"/>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Enablement</a:t>
          </a:r>
          <a:r>
            <a:rPr lang="en-US" sz="1100" baseline="0"/>
            <a:t> Services</a:t>
          </a:r>
          <a:endParaRPr lang="en-US" sz="1100"/>
        </a:p>
      </xdr:txBody>
    </xdr:sp>
    <xdr:clientData/>
  </xdr:twoCellAnchor>
  <xdr:twoCellAnchor>
    <xdr:from>
      <xdr:col>11</xdr:col>
      <xdr:colOff>47625</xdr:colOff>
      <xdr:row>19</xdr:row>
      <xdr:rowOff>123825</xdr:rowOff>
    </xdr:from>
    <xdr:to>
      <xdr:col>15</xdr:col>
      <xdr:colOff>295275</xdr:colOff>
      <xdr:row>25</xdr:row>
      <xdr:rowOff>19050</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00000000-0008-0000-0000-00000B000000}"/>
            </a:ext>
          </a:extLst>
        </xdr:cNvPr>
        <xdr:cNvSpPr/>
      </xdr:nvSpPr>
      <xdr:spPr>
        <a:xfrm>
          <a:off x="6753225" y="4676775"/>
          <a:ext cx="2686050" cy="1038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Other</a:t>
          </a:r>
          <a:r>
            <a:rPr lang="en-US" sz="1100" baseline="0"/>
            <a:t> Support Costs (Overhead)</a:t>
          </a:r>
          <a:endParaRPr lang="en-US" sz="1100"/>
        </a:p>
      </xdr:txBody>
    </xdr:sp>
    <xdr:clientData/>
  </xdr:twoCellAnchor>
  <xdr:twoCellAnchor>
    <xdr:from>
      <xdr:col>5</xdr:col>
      <xdr:colOff>514350</xdr:colOff>
      <xdr:row>19</xdr:row>
      <xdr:rowOff>133350</xdr:rowOff>
    </xdr:from>
    <xdr:to>
      <xdr:col>10</xdr:col>
      <xdr:colOff>152400</xdr:colOff>
      <xdr:row>25</xdr:row>
      <xdr:rowOff>28575</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00000000-0008-0000-0000-00000C000000}"/>
            </a:ext>
          </a:extLst>
        </xdr:cNvPr>
        <xdr:cNvSpPr/>
      </xdr:nvSpPr>
      <xdr:spPr>
        <a:xfrm>
          <a:off x="3562350" y="4686300"/>
          <a:ext cx="2686050" cy="103822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Project </a:t>
          </a:r>
        </a:p>
        <a:p>
          <a:pPr algn="ctr"/>
          <a:r>
            <a:rPr lang="en-US" sz="1100"/>
            <a:t>Cloud</a:t>
          </a:r>
          <a:r>
            <a:rPr lang="en-US" sz="1100" baseline="0"/>
            <a:t> Consumption Cost</a:t>
          </a:r>
          <a:endParaRPr lang="en-US" sz="1100"/>
        </a:p>
      </xdr:txBody>
    </xdr:sp>
    <xdr:clientData/>
  </xdr:twoCellAnchor>
  <xdr:twoCellAnchor>
    <xdr:from>
      <xdr:col>11</xdr:col>
      <xdr:colOff>52551</xdr:colOff>
      <xdr:row>26</xdr:row>
      <xdr:rowOff>52551</xdr:rowOff>
    </xdr:from>
    <xdr:to>
      <xdr:col>15</xdr:col>
      <xdr:colOff>300201</xdr:colOff>
      <xdr:row>31</xdr:row>
      <xdr:rowOff>138276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00000000-0008-0000-0000-000009000000}"/>
            </a:ext>
          </a:extLst>
        </xdr:cNvPr>
        <xdr:cNvSpPr/>
      </xdr:nvSpPr>
      <xdr:spPr>
        <a:xfrm>
          <a:off x="6772603" y="5944913"/>
          <a:ext cx="2691305" cy="1038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Platform Cloud Costs</a:t>
          </a:r>
          <a:r>
            <a:rPr lang="en-US" sz="1100" baseline="0"/>
            <a:t> (Overhead)</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xdr:colOff>
      <xdr:row>17</xdr:row>
      <xdr:rowOff>12700</xdr:rowOff>
    </xdr:from>
    <xdr:to>
      <xdr:col>20</xdr:col>
      <xdr:colOff>584200</xdr:colOff>
      <xdr:row>51</xdr:row>
      <xdr:rowOff>39914</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95250</xdr:colOff>
          <xdr:row>0</xdr:row>
          <xdr:rowOff>28575</xdr:rowOff>
        </xdr:from>
        <xdr:to>
          <xdr:col>13</xdr:col>
          <xdr:colOff>152400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396875</xdr:colOff>
      <xdr:row>14</xdr:row>
      <xdr:rowOff>111125</xdr:rowOff>
    </xdr:from>
    <xdr:to>
      <xdr:col>18</xdr:col>
      <xdr:colOff>111125</xdr:colOff>
      <xdr:row>39</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619125</xdr:colOff>
          <xdr:row>0</xdr:row>
          <xdr:rowOff>0</xdr:rowOff>
        </xdr:from>
        <xdr:to>
          <xdr:col>10</xdr:col>
          <xdr:colOff>57150</xdr:colOff>
          <xdr:row>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43</xdr:row>
          <xdr:rowOff>142875</xdr:rowOff>
        </xdr:from>
        <xdr:to>
          <xdr:col>1</xdr:col>
          <xdr:colOff>581025</xdr:colOff>
          <xdr:row>47</xdr:row>
          <xdr:rowOff>123825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9"/>
  <sheetViews>
    <sheetView tabSelected="1" topLeftCell="A6" zoomScale="130" zoomScaleNormal="130" workbookViewId="0">
      <selection activeCell="G18" sqref="G18"/>
    </sheetView>
  </sheetViews>
  <sheetFormatPr defaultRowHeight="15"/>
  <sheetData>
    <row r="1" spans="1:16" ht="36" customHeight="1">
      <c r="A1" s="243" t="s">
        <v>326</v>
      </c>
      <c r="B1" s="243"/>
      <c r="C1" s="243"/>
      <c r="D1" s="243"/>
      <c r="E1" s="243"/>
      <c r="F1" s="243"/>
      <c r="G1" s="243"/>
      <c r="H1" s="243"/>
      <c r="I1" s="243"/>
      <c r="J1" s="243"/>
      <c r="K1" s="243"/>
      <c r="L1" s="243"/>
      <c r="M1" s="243"/>
      <c r="N1" s="243"/>
      <c r="O1" s="243"/>
      <c r="P1" s="243"/>
    </row>
    <row r="2" spans="1:16" ht="67.5" customHeight="1">
      <c r="A2" s="243"/>
      <c r="B2" s="243"/>
      <c r="C2" s="243"/>
      <c r="D2" s="243"/>
      <c r="E2" s="243"/>
      <c r="F2" s="243"/>
      <c r="G2" s="243"/>
      <c r="H2" s="243"/>
      <c r="I2" s="243"/>
      <c r="J2" s="243"/>
      <c r="K2" s="243"/>
      <c r="L2" s="243"/>
      <c r="M2" s="243"/>
      <c r="N2" s="243"/>
      <c r="O2" s="243"/>
      <c r="P2" s="243"/>
    </row>
    <row r="3" spans="1:16">
      <c r="A3" s="244" t="s">
        <v>82</v>
      </c>
      <c r="B3" s="244"/>
      <c r="C3" s="244"/>
      <c r="D3" s="244"/>
      <c r="E3" s="244"/>
      <c r="F3" s="244"/>
      <c r="G3" s="244"/>
      <c r="H3" s="244"/>
      <c r="I3" s="244"/>
      <c r="J3" s="244"/>
      <c r="K3" s="244"/>
      <c r="L3" s="244"/>
      <c r="M3" s="244"/>
      <c r="N3" s="244"/>
      <c r="O3" s="244"/>
      <c r="P3" s="244"/>
    </row>
    <row r="4" spans="1:16">
      <c r="A4" s="244"/>
      <c r="B4" s="244"/>
      <c r="C4" s="244"/>
      <c r="D4" s="244"/>
      <c r="E4" s="244"/>
      <c r="F4" s="244"/>
      <c r="G4" s="244"/>
      <c r="H4" s="244"/>
      <c r="I4" s="244"/>
      <c r="J4" s="244"/>
      <c r="K4" s="244"/>
      <c r="L4" s="244"/>
      <c r="M4" s="244"/>
      <c r="N4" s="244"/>
      <c r="O4" s="244"/>
      <c r="P4" s="244"/>
    </row>
    <row r="5" spans="1:16">
      <c r="A5" s="244"/>
      <c r="B5" s="244"/>
      <c r="C5" s="244"/>
      <c r="D5" s="244"/>
      <c r="E5" s="244"/>
      <c r="F5" s="244"/>
      <c r="G5" s="244"/>
      <c r="H5" s="244"/>
      <c r="I5" s="244"/>
      <c r="J5" s="244"/>
      <c r="K5" s="244"/>
      <c r="L5" s="244"/>
      <c r="M5" s="244"/>
      <c r="N5" s="244"/>
      <c r="O5" s="244"/>
      <c r="P5" s="244"/>
    </row>
    <row r="6" spans="1:16">
      <c r="A6" s="244"/>
      <c r="B6" s="244"/>
      <c r="C6" s="244"/>
      <c r="D6" s="244"/>
      <c r="E6" s="244"/>
      <c r="F6" s="244"/>
      <c r="G6" s="244"/>
      <c r="H6" s="244"/>
      <c r="I6" s="244"/>
      <c r="J6" s="244"/>
      <c r="K6" s="244"/>
      <c r="L6" s="244"/>
      <c r="M6" s="244"/>
      <c r="N6" s="244"/>
      <c r="O6" s="244"/>
      <c r="P6" s="244"/>
    </row>
    <row r="8" spans="1:16">
      <c r="A8" t="s">
        <v>0</v>
      </c>
    </row>
    <row r="19" spans="1:1">
      <c r="A19" t="s">
        <v>76</v>
      </c>
    </row>
  </sheetData>
  <mergeCells count="2">
    <mergeCell ref="A1:P2"/>
    <mergeCell ref="A3:P6"/>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fitToPage="1"/>
  </sheetPr>
  <dimension ref="A1:U70"/>
  <sheetViews>
    <sheetView zoomScale="70" zoomScaleNormal="70" workbookViewId="0">
      <selection activeCell="N3" sqref="N3"/>
    </sheetView>
  </sheetViews>
  <sheetFormatPr defaultRowHeight="15"/>
  <cols>
    <col min="1" max="1" width="31.5703125" customWidth="1"/>
    <col min="3" max="3" width="13.28515625" customWidth="1"/>
    <col min="14" max="14" width="44" customWidth="1"/>
    <col min="15" max="15" width="26.42578125" customWidth="1"/>
    <col min="16" max="16" width="14.28515625" customWidth="1"/>
    <col min="17" max="17" width="17.5703125" customWidth="1"/>
    <col min="18" max="18" width="18.42578125" customWidth="1"/>
    <col min="19" max="19" width="30.7109375" customWidth="1"/>
  </cols>
  <sheetData>
    <row r="1" spans="1:21">
      <c r="A1" s="3" t="s">
        <v>1</v>
      </c>
      <c r="T1" s="5"/>
      <c r="U1" s="5"/>
    </row>
    <row r="2" spans="1:21">
      <c r="A2" s="3"/>
      <c r="T2" s="5"/>
      <c r="U2" s="5"/>
    </row>
    <row r="3" spans="1:21">
      <c r="A3" s="3"/>
      <c r="T3" s="5"/>
      <c r="U3" s="5"/>
    </row>
    <row r="6" spans="1:21">
      <c r="A6" s="245" t="s">
        <v>251</v>
      </c>
      <c r="B6" s="245"/>
      <c r="C6" s="245"/>
      <c r="D6" s="245"/>
      <c r="E6" s="245"/>
      <c r="F6" s="245"/>
      <c r="G6" s="245"/>
      <c r="H6" s="245"/>
      <c r="I6" s="245"/>
      <c r="J6" s="245"/>
      <c r="K6" s="245"/>
      <c r="M6" s="245" t="s">
        <v>22</v>
      </c>
      <c r="N6" s="245"/>
      <c r="O6" s="245"/>
      <c r="P6" s="245"/>
      <c r="Q6" s="245"/>
      <c r="R6" s="245"/>
      <c r="S6" s="245"/>
      <c r="T6" s="245"/>
      <c r="U6" s="245"/>
    </row>
    <row r="7" spans="1:21">
      <c r="A7" s="2"/>
      <c r="B7" s="2"/>
      <c r="C7" s="2"/>
      <c r="D7" s="2"/>
      <c r="E7" s="2"/>
      <c r="F7" s="2"/>
      <c r="G7" s="2"/>
      <c r="H7" s="2"/>
      <c r="I7" s="2"/>
      <c r="J7" s="2"/>
      <c r="K7" s="2"/>
      <c r="M7" s="4"/>
      <c r="N7" s="4"/>
      <c r="O7" s="4"/>
      <c r="P7" s="4"/>
      <c r="Q7" s="4"/>
      <c r="R7" s="4"/>
      <c r="S7" s="4"/>
      <c r="T7" s="4"/>
      <c r="U7" s="4"/>
    </row>
    <row r="8" spans="1:21">
      <c r="A8" s="139" t="s">
        <v>2</v>
      </c>
      <c r="B8" s="2"/>
      <c r="C8" s="248"/>
      <c r="D8" s="248"/>
      <c r="E8" s="248"/>
      <c r="F8" s="248"/>
      <c r="G8" s="248"/>
      <c r="H8" s="248"/>
      <c r="I8" s="248"/>
      <c r="J8" s="248"/>
      <c r="K8" s="2"/>
      <c r="M8" s="4"/>
      <c r="N8" s="4"/>
      <c r="O8" s="4"/>
      <c r="P8" s="4"/>
      <c r="Q8" s="4"/>
      <c r="R8" s="4"/>
      <c r="S8" s="4"/>
      <c r="T8" s="4"/>
      <c r="U8" s="4"/>
    </row>
    <row r="9" spans="1:21">
      <c r="A9" s="2"/>
      <c r="B9" s="2"/>
      <c r="C9" s="2"/>
      <c r="D9" s="2"/>
      <c r="E9" s="2"/>
      <c r="F9" s="2"/>
      <c r="G9" s="2"/>
      <c r="H9" s="2"/>
      <c r="I9" s="2"/>
      <c r="J9" s="2"/>
      <c r="K9" s="2"/>
      <c r="M9" s="4"/>
      <c r="N9" s="6" t="s">
        <v>6</v>
      </c>
      <c r="O9" s="65" t="s">
        <v>95</v>
      </c>
      <c r="P9" s="65" t="s">
        <v>7</v>
      </c>
      <c r="Q9" s="65" t="s">
        <v>8</v>
      </c>
      <c r="R9" s="65" t="s">
        <v>96</v>
      </c>
      <c r="S9" s="6" t="s">
        <v>15</v>
      </c>
      <c r="T9" s="4"/>
      <c r="U9" s="4"/>
    </row>
    <row r="10" spans="1:21">
      <c r="A10" s="139" t="s">
        <v>3</v>
      </c>
      <c r="B10" s="2"/>
      <c r="C10" s="248"/>
      <c r="D10" s="248"/>
      <c r="E10" s="248"/>
      <c r="F10" s="248"/>
      <c r="G10" s="248"/>
      <c r="H10" s="248"/>
      <c r="I10" s="248"/>
      <c r="J10" s="248"/>
      <c r="K10" s="2"/>
      <c r="M10" s="4"/>
      <c r="N10" s="6" t="s">
        <v>416</v>
      </c>
      <c r="O10" s="6">
        <f>C15</f>
        <v>2</v>
      </c>
      <c r="P10" s="6">
        <f>C16</f>
        <v>2</v>
      </c>
      <c r="Q10" s="6">
        <f>C17</f>
        <v>7</v>
      </c>
      <c r="R10" s="6">
        <f>C18</f>
        <v>1</v>
      </c>
      <c r="S10" s="6">
        <f>C14</f>
        <v>12</v>
      </c>
      <c r="T10" s="4"/>
      <c r="U10" s="4"/>
    </row>
    <row r="11" spans="1:21">
      <c r="A11" s="2"/>
      <c r="B11" s="2"/>
      <c r="C11" s="2"/>
      <c r="D11" s="2"/>
      <c r="E11" s="2"/>
      <c r="F11" s="2"/>
      <c r="G11" s="2"/>
      <c r="H11" s="2"/>
      <c r="I11" s="2"/>
      <c r="J11" s="2"/>
      <c r="K11" s="2"/>
      <c r="M11" s="4"/>
      <c r="N11" s="6" t="s">
        <v>88</v>
      </c>
      <c r="O11" s="104">
        <f>'Prospective Project Calculation'!F42</f>
        <v>0</v>
      </c>
      <c r="P11" s="104">
        <f>'Prospective Project Calculation'!F43</f>
        <v>0</v>
      </c>
      <c r="Q11" s="104">
        <f>'Prospective Project Calculation'!F44</f>
        <v>0</v>
      </c>
      <c r="R11" s="146">
        <f>'Prospective Project Calculation'!F45</f>
        <v>0</v>
      </c>
      <c r="S11" s="104">
        <f>SUM(O11:R11)</f>
        <v>0</v>
      </c>
      <c r="T11" s="4"/>
      <c r="U11" s="4"/>
    </row>
    <row r="12" spans="1:21">
      <c r="A12" s="139" t="s">
        <v>4</v>
      </c>
      <c r="B12" s="2"/>
      <c r="C12" s="249"/>
      <c r="D12" s="249"/>
      <c r="E12" s="249"/>
      <c r="F12" s="249"/>
      <c r="G12" s="249"/>
      <c r="H12" s="249"/>
      <c r="I12" s="249"/>
      <c r="J12" s="249"/>
      <c r="K12" s="2"/>
      <c r="M12" s="4"/>
      <c r="N12" s="6" t="s">
        <v>87</v>
      </c>
      <c r="O12" s="104">
        <f>'Prospective Project Calculation'!D42</f>
        <v>0</v>
      </c>
      <c r="P12" s="104">
        <f>'Prospective Project Calculation'!D43</f>
        <v>0</v>
      </c>
      <c r="Q12" s="104">
        <f>'Prospective Project Calculation'!D44</f>
        <v>3189.7083099254323</v>
      </c>
      <c r="R12" s="104">
        <f>'Prospective Project Calculation'!D45</f>
        <v>0</v>
      </c>
      <c r="S12" s="104">
        <f>SUM(O12:R12)</f>
        <v>3189.7083099254323</v>
      </c>
      <c r="T12" s="4"/>
      <c r="U12" s="4"/>
    </row>
    <row r="13" spans="1:21">
      <c r="A13" s="2"/>
      <c r="B13" s="2"/>
      <c r="C13" s="2"/>
      <c r="D13" s="2"/>
      <c r="E13" s="2"/>
      <c r="F13" s="2"/>
      <c r="G13" s="2"/>
      <c r="H13" s="2"/>
      <c r="I13" s="2"/>
      <c r="J13" s="2"/>
      <c r="K13" s="2"/>
      <c r="M13" s="4"/>
      <c r="N13" s="6" t="s">
        <v>253</v>
      </c>
      <c r="O13" s="104">
        <f>'Prospective Project Calculation'!E42</f>
        <v>0</v>
      </c>
      <c r="P13" s="104">
        <f>'Prospective Project Calculation'!E43</f>
        <v>0</v>
      </c>
      <c r="Q13" s="104">
        <f>'Prospective Project Calculation'!E44</f>
        <v>903.51933025766914</v>
      </c>
      <c r="R13" s="146">
        <f>'Prospective Project Calculation'!E45</f>
        <v>0</v>
      </c>
      <c r="S13" s="104">
        <f>SUM(O13:R13)</f>
        <v>903.51933025766914</v>
      </c>
      <c r="T13" s="4"/>
      <c r="U13" s="4"/>
    </row>
    <row r="14" spans="1:21">
      <c r="A14" s="139" t="s">
        <v>192</v>
      </c>
      <c r="B14" s="2"/>
      <c r="C14" s="1">
        <v>12</v>
      </c>
      <c r="D14" s="2" t="s">
        <v>252</v>
      </c>
      <c r="E14" s="2"/>
      <c r="F14" s="2"/>
      <c r="G14" s="2"/>
      <c r="H14" s="2"/>
      <c r="I14" s="2"/>
      <c r="J14" s="2"/>
      <c r="K14" s="2"/>
      <c r="M14" s="4"/>
      <c r="N14" s="160" t="s">
        <v>185</v>
      </c>
      <c r="O14" s="161">
        <f>'Prospective Project Calculation'!G42</f>
        <v>1092.4534249999999</v>
      </c>
      <c r="P14" s="161">
        <f>'Prospective Project Calculation'!G43</f>
        <v>1015.2361749999999</v>
      </c>
      <c r="Q14" s="161">
        <f>'Prospective Project Calculation'!G44</f>
        <v>42888.528822222223</v>
      </c>
      <c r="R14" s="162">
        <f>'Prospective Project Calculation'!G45</f>
        <v>677.15745000000004</v>
      </c>
      <c r="S14" s="161">
        <f>SUM(O14:R14)</f>
        <v>45673.375872222219</v>
      </c>
      <c r="T14" s="4"/>
      <c r="U14" s="4"/>
    </row>
    <row r="15" spans="1:21">
      <c r="A15" s="2" t="s">
        <v>95</v>
      </c>
      <c r="B15" s="2"/>
      <c r="C15" s="156">
        <v>2</v>
      </c>
      <c r="D15" s="2" t="s">
        <v>256</v>
      </c>
      <c r="E15" s="2"/>
      <c r="F15" s="2"/>
      <c r="G15" s="2"/>
      <c r="H15" s="2"/>
      <c r="I15" s="2"/>
      <c r="J15" s="2"/>
      <c r="K15" s="2"/>
      <c r="M15" s="4"/>
      <c r="N15" s="109"/>
      <c r="O15" s="110"/>
      <c r="P15" s="110"/>
      <c r="Q15" s="110"/>
      <c r="R15" s="110"/>
      <c r="S15" s="110"/>
      <c r="T15" s="4"/>
      <c r="U15" s="4"/>
    </row>
    <row r="16" spans="1:21">
      <c r="A16" s="2" t="s">
        <v>36</v>
      </c>
      <c r="B16" s="2"/>
      <c r="C16" s="156">
        <v>2</v>
      </c>
      <c r="D16" s="2" t="s">
        <v>257</v>
      </c>
      <c r="E16" s="2"/>
      <c r="F16" s="2"/>
      <c r="G16" s="2"/>
      <c r="H16" s="2"/>
      <c r="I16" s="2"/>
      <c r="J16" s="2"/>
      <c r="K16" s="2"/>
      <c r="M16" s="4"/>
      <c r="N16" s="6" t="s">
        <v>14</v>
      </c>
      <c r="O16" s="104">
        <f>SUM(O11:O15)</f>
        <v>1092.4534249999999</v>
      </c>
      <c r="P16" s="104">
        <f>SUM(P11:P15)</f>
        <v>1015.2361749999999</v>
      </c>
      <c r="Q16" s="104">
        <f>SUM(Q11:Q15)</f>
        <v>46981.756462405327</v>
      </c>
      <c r="R16" s="104">
        <f>SUM(R11:R15)</f>
        <v>677.15745000000004</v>
      </c>
      <c r="S16" s="108">
        <f>SUM(S11:S15)</f>
        <v>49766.603512405323</v>
      </c>
      <c r="T16" s="4"/>
      <c r="U16" s="4"/>
    </row>
    <row r="17" spans="1:21">
      <c r="A17" s="2" t="s">
        <v>8</v>
      </c>
      <c r="B17" s="2"/>
      <c r="C17" s="156">
        <f>C14-(SUM(C15:C16,C18))</f>
        <v>7</v>
      </c>
      <c r="D17" s="2" t="s">
        <v>258</v>
      </c>
      <c r="E17" s="2"/>
      <c r="F17" s="2"/>
      <c r="G17" s="2"/>
      <c r="H17" s="2"/>
      <c r="I17" s="2"/>
      <c r="J17" s="2"/>
      <c r="K17" s="2"/>
      <c r="M17" s="4"/>
      <c r="N17" s="4"/>
      <c r="O17" s="4"/>
      <c r="P17" s="4"/>
      <c r="Q17" s="4"/>
      <c r="R17" s="4"/>
      <c r="S17" s="4"/>
      <c r="T17" s="4" t="s">
        <v>16</v>
      </c>
      <c r="U17" s="4"/>
    </row>
    <row r="18" spans="1:21">
      <c r="A18" s="2" t="s">
        <v>9</v>
      </c>
      <c r="B18" s="2"/>
      <c r="C18" s="156">
        <v>1</v>
      </c>
      <c r="D18" s="2" t="s">
        <v>259</v>
      </c>
      <c r="E18" s="2"/>
      <c r="F18" s="2"/>
      <c r="G18" s="2"/>
      <c r="H18" s="2"/>
      <c r="I18" s="139"/>
      <c r="J18" s="2"/>
      <c r="K18" s="2"/>
      <c r="M18" s="4"/>
      <c r="N18" s="4"/>
      <c r="O18" s="4"/>
      <c r="P18" s="4"/>
      <c r="Q18" s="4"/>
      <c r="R18" s="4"/>
      <c r="S18" s="4"/>
      <c r="T18" s="4"/>
      <c r="U18" s="4"/>
    </row>
    <row r="19" spans="1:21">
      <c r="A19" s="2"/>
      <c r="B19" s="2"/>
      <c r="C19" s="2"/>
      <c r="D19" s="2"/>
      <c r="E19" s="2"/>
      <c r="F19" s="2"/>
      <c r="G19" s="2"/>
      <c r="H19" s="2"/>
      <c r="I19" s="2"/>
      <c r="J19" s="2"/>
      <c r="K19" s="2"/>
      <c r="M19" s="4"/>
      <c r="N19" s="4"/>
      <c r="O19" s="4"/>
      <c r="P19" s="4"/>
      <c r="Q19" s="4"/>
      <c r="R19" s="4"/>
      <c r="S19" s="4"/>
      <c r="T19" s="4"/>
      <c r="U19" s="4"/>
    </row>
    <row r="20" spans="1:21">
      <c r="A20" s="139" t="s">
        <v>183</v>
      </c>
      <c r="B20" s="2"/>
      <c r="C20" s="1" t="s">
        <v>39</v>
      </c>
      <c r="D20" s="2" t="s">
        <v>330</v>
      </c>
      <c r="E20" s="2"/>
      <c r="F20" s="2"/>
      <c r="G20" s="2"/>
      <c r="H20" s="2"/>
      <c r="I20" s="2"/>
      <c r="J20" s="2"/>
      <c r="K20" s="2"/>
      <c r="M20" s="4"/>
      <c r="N20" s="4"/>
      <c r="O20" s="4"/>
      <c r="P20" s="4"/>
      <c r="Q20" s="4"/>
      <c r="R20" s="4"/>
      <c r="S20" s="4"/>
      <c r="T20" s="4"/>
      <c r="U20" s="4"/>
    </row>
    <row r="21" spans="1:21">
      <c r="A21" s="2" t="s">
        <v>228</v>
      </c>
      <c r="B21" s="2"/>
      <c r="C21" s="2"/>
      <c r="D21" s="2"/>
      <c r="E21" s="2"/>
      <c r="F21" s="2"/>
      <c r="G21" s="2"/>
      <c r="H21" s="2"/>
      <c r="I21" s="2"/>
      <c r="J21" s="2"/>
      <c r="K21" s="2"/>
      <c r="M21" s="4"/>
      <c r="N21" s="4"/>
      <c r="O21" s="4"/>
      <c r="P21" s="4"/>
      <c r="Q21" s="4"/>
      <c r="R21" s="4"/>
      <c r="S21" s="4"/>
      <c r="T21" s="4"/>
      <c r="U21" s="4"/>
    </row>
    <row r="22" spans="1:21">
      <c r="A22" s="2" t="s">
        <v>219</v>
      </c>
      <c r="B22" s="2"/>
      <c r="C22" s="157">
        <f>IF(C20="High",'Cloud Consumption'!$G$7,IF(C20="Medium",'Cloud Consumption'!$F$7,'Cloud Consumption'!$E$7))</f>
        <v>0.02</v>
      </c>
      <c r="D22" s="2" t="s">
        <v>47</v>
      </c>
      <c r="E22" s="2"/>
      <c r="F22" s="2"/>
      <c r="G22" s="2"/>
      <c r="H22" s="2"/>
      <c r="I22" s="2"/>
      <c r="J22" s="2"/>
      <c r="K22" s="2"/>
      <c r="M22" s="4"/>
      <c r="N22" s="4"/>
      <c r="O22" s="4"/>
      <c r="P22" s="4"/>
      <c r="Q22" s="4"/>
      <c r="R22" s="4"/>
      <c r="S22" s="4"/>
      <c r="T22" s="4"/>
      <c r="U22" s="4"/>
    </row>
    <row r="23" spans="1:21">
      <c r="A23" s="2" t="s">
        <v>217</v>
      </c>
      <c r="B23" s="2"/>
      <c r="C23" s="158" t="str">
        <f>IF(C20="High", "Redshift",IF(C20="Medium","Hadoop","Hadoop"))</f>
        <v>Hadoop</v>
      </c>
      <c r="D23" s="2" t="s">
        <v>260</v>
      </c>
      <c r="E23" s="2"/>
      <c r="F23" s="2"/>
      <c r="G23" s="2"/>
      <c r="H23" s="2"/>
      <c r="I23" s="2"/>
      <c r="J23" s="2"/>
      <c r="K23" s="2"/>
      <c r="M23" s="4"/>
      <c r="N23" s="4"/>
      <c r="O23" s="4"/>
      <c r="P23" s="4"/>
      <c r="Q23" s="4"/>
      <c r="R23" s="4"/>
      <c r="S23" s="4"/>
      <c r="T23" s="4"/>
      <c r="U23" s="4"/>
    </row>
    <row r="24" spans="1:21">
      <c r="A24" s="2" t="s">
        <v>218</v>
      </c>
      <c r="B24" s="2"/>
      <c r="C24" s="157">
        <f>IF(C23="Redshift",'Cloud Consumption'!$G$11, IF(C20="Medium",'Cloud Consumption'!$F$9,'Cloud Consumption'!$E$9))</f>
        <v>0.01</v>
      </c>
      <c r="D24" s="2" t="s">
        <v>47</v>
      </c>
      <c r="E24" s="2"/>
      <c r="F24" s="2"/>
      <c r="G24" s="2"/>
      <c r="H24" s="2"/>
      <c r="I24" s="2"/>
      <c r="J24" s="2"/>
      <c r="K24" s="2"/>
      <c r="M24" s="4"/>
      <c r="N24" s="4"/>
      <c r="O24" s="4"/>
      <c r="P24" s="4"/>
      <c r="Q24" s="4"/>
      <c r="R24" s="4"/>
      <c r="S24" s="4"/>
      <c r="T24" s="4"/>
      <c r="U24" s="4"/>
    </row>
    <row r="25" spans="1:21">
      <c r="A25" s="2" t="s">
        <v>250</v>
      </c>
      <c r="B25" s="2"/>
      <c r="C25" s="159">
        <f>IF(C$20="High",'Cloud Consumption'!$G$8,IF(C$20="Medium",'Cloud Consumption'!$F$8,'Cloud Consumption'!$E$8))</f>
        <v>0.01</v>
      </c>
      <c r="D25" s="2" t="s">
        <v>47</v>
      </c>
      <c r="E25" s="2"/>
      <c r="F25" s="2"/>
      <c r="G25" s="2"/>
      <c r="H25" s="2"/>
      <c r="I25" s="2"/>
      <c r="J25" s="2"/>
      <c r="K25" s="2"/>
      <c r="M25" s="4"/>
      <c r="N25" s="4"/>
      <c r="O25" s="4"/>
      <c r="P25" s="4"/>
      <c r="Q25" s="4"/>
      <c r="R25" s="4"/>
      <c r="S25" s="4"/>
      <c r="T25" s="4"/>
      <c r="U25" s="4"/>
    </row>
    <row r="26" spans="1:21">
      <c r="A26" s="2"/>
      <c r="B26" s="2"/>
      <c r="C26" s="2"/>
      <c r="D26" s="2"/>
      <c r="E26" s="2"/>
      <c r="F26" s="2"/>
      <c r="G26" s="2"/>
      <c r="H26" s="2"/>
      <c r="I26" s="2"/>
      <c r="J26" s="2"/>
      <c r="K26" s="2"/>
      <c r="M26" s="4"/>
      <c r="N26" s="4"/>
      <c r="O26" s="4"/>
      <c r="P26" s="4"/>
      <c r="Q26" s="4"/>
      <c r="R26" s="4"/>
      <c r="S26" s="4"/>
      <c r="T26" s="4"/>
      <c r="U26" s="4"/>
    </row>
    <row r="27" spans="1:21">
      <c r="A27" s="139" t="s">
        <v>178</v>
      </c>
      <c r="B27" s="2"/>
      <c r="C27" s="1" t="s">
        <v>39</v>
      </c>
      <c r="D27" s="2" t="s">
        <v>330</v>
      </c>
      <c r="E27" s="2"/>
      <c r="F27" s="2"/>
      <c r="G27" s="2"/>
      <c r="H27" s="2"/>
      <c r="I27" s="2"/>
      <c r="J27" s="2"/>
      <c r="K27" s="2"/>
      <c r="M27" s="4"/>
      <c r="N27" s="4"/>
      <c r="O27" s="4"/>
      <c r="P27" s="4"/>
      <c r="Q27" s="4"/>
      <c r="R27" s="4"/>
      <c r="S27" s="4"/>
      <c r="T27" s="4"/>
      <c r="U27" s="4"/>
    </row>
    <row r="28" spans="1:21">
      <c r="A28" s="2"/>
      <c r="B28" s="2"/>
      <c r="C28" s="2"/>
      <c r="D28" s="2"/>
      <c r="E28" s="2"/>
      <c r="F28" s="2"/>
      <c r="G28" s="2"/>
      <c r="H28" s="2"/>
      <c r="I28" s="2"/>
      <c r="J28" s="2"/>
      <c r="K28" s="2"/>
      <c r="M28" s="4"/>
      <c r="N28" s="4"/>
      <c r="O28" s="4"/>
      <c r="P28" s="4"/>
      <c r="Q28" s="4"/>
      <c r="R28" s="4"/>
      <c r="S28" s="4"/>
      <c r="T28" s="4"/>
      <c r="U28" s="4"/>
    </row>
    <row r="29" spans="1:21">
      <c r="A29" s="139" t="s">
        <v>184</v>
      </c>
      <c r="B29" s="2"/>
      <c r="C29" s="1" t="s">
        <v>216</v>
      </c>
      <c r="D29" s="2" t="s">
        <v>330</v>
      </c>
      <c r="E29" s="2"/>
      <c r="F29" s="2"/>
      <c r="G29" s="2"/>
      <c r="H29" s="2"/>
      <c r="I29" s="2"/>
      <c r="J29" s="2"/>
      <c r="K29" s="2"/>
      <c r="M29" s="4"/>
      <c r="N29" s="4"/>
      <c r="O29" s="4"/>
      <c r="P29" s="4"/>
      <c r="Q29" s="4"/>
      <c r="R29" s="4"/>
      <c r="S29" s="4"/>
      <c r="T29" s="4"/>
      <c r="U29" s="4"/>
    </row>
    <row r="30" spans="1:21">
      <c r="A30" s="140" t="s">
        <v>228</v>
      </c>
      <c r="B30" s="2"/>
      <c r="C30" s="2"/>
      <c r="D30" s="2"/>
      <c r="E30" s="2"/>
      <c r="F30" s="2"/>
      <c r="G30" s="2"/>
      <c r="H30" s="2"/>
      <c r="I30" s="2"/>
      <c r="J30" s="2"/>
      <c r="K30" s="2"/>
      <c r="M30" s="4"/>
      <c r="N30" s="4"/>
      <c r="O30" s="4"/>
      <c r="P30" s="4"/>
      <c r="Q30" s="4"/>
      <c r="R30" s="4"/>
      <c r="S30" s="4"/>
      <c r="T30" s="4"/>
      <c r="U30" s="4"/>
    </row>
    <row r="31" spans="1:21">
      <c r="A31" s="2" t="s">
        <v>220</v>
      </c>
      <c r="B31" s="2"/>
      <c r="C31" s="158" t="str">
        <f>C29</f>
        <v>None</v>
      </c>
      <c r="D31" s="2" t="s">
        <v>226</v>
      </c>
      <c r="E31" s="2"/>
      <c r="F31" s="2"/>
      <c r="G31" s="2"/>
      <c r="H31" s="2"/>
      <c r="I31" s="2"/>
      <c r="J31" s="2"/>
      <c r="K31" s="2"/>
      <c r="M31" s="4"/>
      <c r="N31" s="4"/>
      <c r="O31" s="4"/>
      <c r="P31" s="4"/>
      <c r="Q31" s="4"/>
      <c r="R31" s="4"/>
      <c r="S31" s="4"/>
      <c r="T31" s="4"/>
      <c r="U31" s="4"/>
    </row>
    <row r="32" spans="1:21" s="1" customFormat="1">
      <c r="A32" s="2"/>
      <c r="B32" s="2"/>
      <c r="C32" s="142"/>
      <c r="D32" s="2" t="s">
        <v>227</v>
      </c>
      <c r="E32" s="2"/>
      <c r="F32" s="2"/>
      <c r="G32" s="2"/>
      <c r="H32" s="2"/>
      <c r="I32" s="2"/>
      <c r="J32" s="2"/>
      <c r="K32" s="2"/>
    </row>
    <row r="33" spans="1:21">
      <c r="A33" s="2" t="s">
        <v>229</v>
      </c>
      <c r="B33" s="2"/>
      <c r="C33" s="156">
        <f>ROUND((C17+C15+C16)/3,0)</f>
        <v>4</v>
      </c>
      <c r="D33" s="2" t="s">
        <v>336</v>
      </c>
      <c r="E33" s="2"/>
      <c r="F33" s="2"/>
      <c r="G33" s="2"/>
      <c r="H33" s="2"/>
      <c r="I33" s="2"/>
      <c r="J33" s="2"/>
      <c r="K33" s="2"/>
      <c r="M33" s="1"/>
      <c r="N33" s="1"/>
      <c r="O33" s="1"/>
      <c r="P33" s="1"/>
      <c r="Q33" s="1"/>
      <c r="R33" s="1"/>
      <c r="S33" s="1"/>
      <c r="T33" s="1"/>
      <c r="U33" s="1"/>
    </row>
    <row r="34" spans="1:21">
      <c r="A34" s="2"/>
      <c r="B34" s="2"/>
      <c r="C34" s="2"/>
      <c r="D34" s="2"/>
      <c r="E34" s="2"/>
      <c r="F34" s="2"/>
      <c r="G34" s="2"/>
      <c r="H34" s="2"/>
      <c r="I34" s="2"/>
      <c r="J34" s="2"/>
      <c r="K34" s="2"/>
      <c r="M34" s="1"/>
      <c r="N34" s="1"/>
      <c r="O34" s="1"/>
      <c r="P34" s="1"/>
      <c r="Q34" s="1"/>
      <c r="R34" s="1"/>
      <c r="S34" s="1"/>
      <c r="T34" s="1"/>
      <c r="U34" s="1"/>
    </row>
    <row r="35" spans="1:21">
      <c r="A35" s="2"/>
      <c r="B35" s="2"/>
      <c r="C35" s="2"/>
      <c r="D35" s="2"/>
      <c r="E35" s="2"/>
      <c r="F35" s="2"/>
      <c r="G35" s="2"/>
      <c r="H35" s="2"/>
      <c r="I35" s="2"/>
      <c r="J35" s="2"/>
      <c r="K35" s="2"/>
      <c r="M35" s="1"/>
      <c r="N35" s="1"/>
      <c r="O35" s="1"/>
      <c r="P35" s="1"/>
      <c r="Q35" s="1"/>
      <c r="R35" s="1"/>
      <c r="S35" s="1"/>
      <c r="T35" s="1"/>
      <c r="U35" s="1"/>
    </row>
    <row r="36" spans="1:21">
      <c r="A36" s="2"/>
      <c r="B36" s="2"/>
      <c r="C36" s="2"/>
      <c r="D36" s="2"/>
      <c r="E36" s="2"/>
      <c r="F36" s="2"/>
      <c r="G36" s="2"/>
      <c r="H36" s="2"/>
      <c r="I36" s="2"/>
      <c r="J36" s="2"/>
      <c r="K36" s="2"/>
      <c r="M36" s="1"/>
      <c r="N36" s="1"/>
      <c r="O36" s="1"/>
      <c r="P36" s="1"/>
      <c r="Q36" s="1"/>
      <c r="R36" s="1"/>
      <c r="S36" s="1"/>
      <c r="T36" s="1"/>
      <c r="U36" s="1"/>
    </row>
    <row r="37" spans="1:21">
      <c r="A37" s="2" t="s">
        <v>179</v>
      </c>
      <c r="B37" s="2"/>
      <c r="C37" s="2"/>
      <c r="D37" s="2"/>
      <c r="E37" s="2"/>
      <c r="F37" s="2"/>
      <c r="G37" s="2"/>
      <c r="H37" s="2"/>
      <c r="I37" s="2"/>
      <c r="J37" s="2"/>
      <c r="K37" s="2"/>
      <c r="M37" s="1"/>
      <c r="N37" s="1"/>
      <c r="O37" s="1"/>
      <c r="P37" s="1"/>
      <c r="Q37" s="1"/>
      <c r="R37" s="1"/>
      <c r="S37" s="1"/>
      <c r="T37" s="1"/>
      <c r="U37" s="1"/>
    </row>
    <row r="38" spans="1:21">
      <c r="A38" s="2"/>
      <c r="B38" s="2"/>
      <c r="C38" s="2"/>
      <c r="D38" s="2"/>
      <c r="E38" s="2"/>
      <c r="F38" s="2"/>
      <c r="G38" s="2"/>
      <c r="H38" s="2"/>
      <c r="I38" s="2"/>
      <c r="J38" s="2"/>
      <c r="K38" s="2"/>
      <c r="M38" s="1"/>
      <c r="N38" s="1"/>
      <c r="O38" s="1"/>
      <c r="P38" s="1"/>
      <c r="Q38" s="1"/>
      <c r="R38" s="1"/>
      <c r="S38" s="1"/>
      <c r="T38" s="1"/>
      <c r="U38" s="1"/>
    </row>
    <row r="39" spans="1:21">
      <c r="A39" s="9" t="s">
        <v>205</v>
      </c>
      <c r="B39" s="2"/>
      <c r="C39" s="2"/>
      <c r="D39" s="2"/>
      <c r="E39" s="2"/>
      <c r="F39" s="2"/>
      <c r="G39" s="2"/>
      <c r="H39" s="2"/>
      <c r="I39" s="2"/>
      <c r="J39" s="2"/>
      <c r="K39" s="2"/>
      <c r="M39" s="1"/>
      <c r="N39" s="1"/>
      <c r="O39" s="1"/>
      <c r="P39" s="1"/>
      <c r="Q39" s="1"/>
      <c r="R39" s="1"/>
      <c r="S39" s="1"/>
      <c r="T39" s="1"/>
      <c r="U39" s="1"/>
    </row>
    <row r="40" spans="1:21">
      <c r="A40" s="144" t="s">
        <v>206</v>
      </c>
      <c r="B40" s="2"/>
      <c r="C40" s="2"/>
      <c r="D40" s="2"/>
      <c r="E40" s="2"/>
      <c r="F40" s="2"/>
      <c r="G40" s="2"/>
      <c r="H40" s="2"/>
      <c r="I40" s="2"/>
      <c r="J40" s="2"/>
      <c r="K40" s="2"/>
      <c r="M40" s="1"/>
      <c r="N40" s="1"/>
      <c r="O40" s="1"/>
      <c r="P40" s="1"/>
      <c r="Q40" s="1"/>
      <c r="R40" s="1"/>
      <c r="S40" s="1"/>
      <c r="T40" s="1"/>
      <c r="U40" s="1"/>
    </row>
    <row r="41" spans="1:21">
      <c r="A41" s="144" t="s">
        <v>207</v>
      </c>
      <c r="B41" s="2"/>
      <c r="C41" s="2"/>
      <c r="D41" s="2"/>
      <c r="E41" s="2"/>
      <c r="F41" s="2"/>
      <c r="G41" s="2"/>
      <c r="H41" s="2"/>
      <c r="I41" s="2"/>
      <c r="J41" s="2"/>
      <c r="K41" s="2"/>
      <c r="M41" s="1"/>
      <c r="N41" s="1"/>
      <c r="O41" s="1"/>
      <c r="P41" s="1"/>
      <c r="Q41" s="1"/>
      <c r="R41" s="1"/>
      <c r="S41" s="1"/>
      <c r="T41" s="1"/>
      <c r="U41" s="1"/>
    </row>
    <row r="42" spans="1:21" ht="35.25" customHeight="1">
      <c r="A42" s="247" t="s">
        <v>407</v>
      </c>
      <c r="B42" s="247"/>
      <c r="C42" s="247"/>
      <c r="D42" s="247"/>
      <c r="E42" s="247"/>
      <c r="F42" s="247"/>
      <c r="G42" s="247"/>
      <c r="H42" s="247"/>
      <c r="I42" s="247"/>
      <c r="J42" s="247"/>
      <c r="K42" s="247"/>
      <c r="L42" s="64"/>
      <c r="M42" s="1"/>
      <c r="N42" s="1"/>
      <c r="O42" s="1"/>
      <c r="P42" s="1"/>
      <c r="Q42" s="1"/>
      <c r="R42" s="1"/>
      <c r="S42" s="1"/>
      <c r="T42" s="1"/>
      <c r="U42" s="1"/>
    </row>
    <row r="43" spans="1:21">
      <c r="A43" s="213"/>
      <c r="B43" s="2"/>
      <c r="C43" s="2"/>
      <c r="D43" s="2"/>
      <c r="E43" s="2"/>
      <c r="F43" s="2"/>
      <c r="G43" s="2"/>
      <c r="H43" s="2"/>
      <c r="I43" s="2"/>
      <c r="J43" s="2"/>
      <c r="K43" s="2"/>
      <c r="M43" s="1"/>
      <c r="N43" s="1"/>
      <c r="O43" s="1"/>
      <c r="P43" s="1"/>
      <c r="Q43" s="1"/>
      <c r="R43" s="1"/>
      <c r="S43" s="1"/>
      <c r="T43" s="1"/>
      <c r="U43" s="1"/>
    </row>
    <row r="44" spans="1:21">
      <c r="A44" s="2"/>
      <c r="B44" s="2"/>
      <c r="C44" s="2"/>
      <c r="D44" s="2"/>
      <c r="E44" s="2"/>
      <c r="F44" s="2"/>
      <c r="G44" s="2"/>
      <c r="H44" s="2"/>
      <c r="I44" s="2"/>
      <c r="J44" s="2"/>
      <c r="K44" s="2"/>
      <c r="M44" s="1"/>
      <c r="N44" s="1"/>
      <c r="O44" s="1"/>
      <c r="P44" s="1"/>
      <c r="Q44" s="1"/>
      <c r="R44" s="1"/>
      <c r="S44" s="1"/>
      <c r="T44" s="1"/>
      <c r="U44" s="1"/>
    </row>
    <row r="45" spans="1:21">
      <c r="A45" s="2" t="s">
        <v>178</v>
      </c>
      <c r="B45" s="2"/>
      <c r="C45" s="2"/>
      <c r="D45" s="2"/>
      <c r="E45" s="2"/>
      <c r="F45" s="2"/>
      <c r="G45" s="2"/>
      <c r="H45" s="2"/>
      <c r="I45" s="2"/>
      <c r="J45" s="2"/>
      <c r="K45" s="2"/>
      <c r="M45" s="1"/>
      <c r="N45" s="1"/>
      <c r="O45" s="1"/>
      <c r="P45" s="1"/>
      <c r="Q45" s="1"/>
      <c r="R45" s="1"/>
      <c r="S45" s="1"/>
      <c r="T45" s="1"/>
      <c r="U45" s="1"/>
    </row>
    <row r="46" spans="1:21">
      <c r="A46" s="246" t="s">
        <v>209</v>
      </c>
      <c r="B46" s="246"/>
      <c r="C46" s="246"/>
      <c r="D46" s="246"/>
      <c r="E46" s="246"/>
      <c r="F46" s="246"/>
      <c r="G46" s="246"/>
      <c r="H46" s="246"/>
      <c r="I46" s="246"/>
      <c r="J46" s="2"/>
      <c r="K46" s="2"/>
      <c r="M46" s="1"/>
      <c r="N46" s="1"/>
      <c r="O46" s="1"/>
      <c r="P46" s="1"/>
      <c r="Q46" s="1"/>
      <c r="R46" s="1"/>
      <c r="S46" s="1"/>
      <c r="T46" s="1"/>
      <c r="U46" s="1"/>
    </row>
    <row r="47" spans="1:21">
      <c r="A47" s="246" t="s">
        <v>208</v>
      </c>
      <c r="B47" s="246"/>
      <c r="C47" s="246"/>
      <c r="D47" s="246"/>
      <c r="E47" s="246"/>
      <c r="F47" s="246"/>
      <c r="G47" s="246"/>
      <c r="H47" s="246"/>
      <c r="I47" s="246"/>
      <c r="J47" s="2"/>
      <c r="K47" s="2"/>
      <c r="M47" s="1"/>
      <c r="N47" s="1"/>
      <c r="O47" s="1"/>
      <c r="P47" s="1"/>
      <c r="Q47" s="1"/>
      <c r="R47" s="1"/>
      <c r="S47" s="1"/>
      <c r="T47" s="1"/>
      <c r="U47" s="1"/>
    </row>
    <row r="48" spans="1:21">
      <c r="A48" s="247" t="s">
        <v>408</v>
      </c>
      <c r="B48" s="247"/>
      <c r="C48" s="247"/>
      <c r="D48" s="247"/>
      <c r="E48" s="247"/>
      <c r="F48" s="247"/>
      <c r="G48" s="247"/>
      <c r="H48" s="247"/>
      <c r="I48" s="247"/>
      <c r="J48" s="247"/>
      <c r="K48" s="2"/>
      <c r="M48" s="1"/>
      <c r="N48" s="1"/>
      <c r="O48" s="1"/>
      <c r="P48" s="1"/>
      <c r="Q48" s="1"/>
      <c r="R48" s="1"/>
      <c r="S48" s="1"/>
      <c r="T48" s="1"/>
      <c r="U48" s="1"/>
    </row>
    <row r="49" spans="1:21">
      <c r="A49" s="247"/>
      <c r="B49" s="247"/>
      <c r="C49" s="247"/>
      <c r="D49" s="247"/>
      <c r="E49" s="247"/>
      <c r="F49" s="247"/>
      <c r="G49" s="247"/>
      <c r="H49" s="247"/>
      <c r="I49" s="247"/>
      <c r="J49" s="247"/>
      <c r="K49" s="2"/>
      <c r="M49" s="1"/>
      <c r="N49" s="1"/>
      <c r="O49" s="1"/>
      <c r="P49" s="1"/>
      <c r="Q49" s="1"/>
      <c r="R49" s="1"/>
      <c r="S49" s="1"/>
      <c r="T49" s="1"/>
      <c r="U49" s="1"/>
    </row>
    <row r="50" spans="1:21">
      <c r="A50" s="202"/>
      <c r="B50" s="202"/>
      <c r="C50" s="202"/>
      <c r="D50" s="202"/>
      <c r="E50" s="202"/>
      <c r="F50" s="202"/>
      <c r="G50" s="202"/>
      <c r="H50" s="202"/>
      <c r="I50" s="202"/>
      <c r="J50" s="202"/>
      <c r="K50" s="2"/>
      <c r="M50" s="1"/>
      <c r="N50" s="1"/>
      <c r="O50" s="1"/>
      <c r="P50" s="1"/>
      <c r="Q50" s="1"/>
      <c r="R50" s="1"/>
      <c r="S50" s="1"/>
      <c r="T50" s="1"/>
      <c r="U50" s="1"/>
    </row>
    <row r="51" spans="1:21">
      <c r="A51" s="2" t="s">
        <v>184</v>
      </c>
      <c r="B51" s="2"/>
      <c r="C51" s="2"/>
      <c r="D51" s="2"/>
      <c r="E51" s="2"/>
      <c r="F51" s="2"/>
      <c r="G51" s="2"/>
      <c r="H51" s="2"/>
      <c r="I51" s="2"/>
      <c r="J51" s="2"/>
      <c r="K51" s="2"/>
      <c r="M51" s="1"/>
      <c r="N51" s="1"/>
      <c r="O51" s="1"/>
      <c r="P51" s="1"/>
      <c r="Q51" s="1"/>
      <c r="R51" s="1"/>
      <c r="S51" s="1"/>
      <c r="T51" s="1"/>
      <c r="U51" s="1"/>
    </row>
    <row r="52" spans="1:21">
      <c r="A52" s="144" t="s">
        <v>327</v>
      </c>
      <c r="B52" s="2"/>
      <c r="C52" s="2"/>
      <c r="D52" s="2"/>
      <c r="E52" s="2"/>
      <c r="F52" s="2"/>
      <c r="G52" s="2"/>
      <c r="H52" s="2"/>
      <c r="I52" s="2"/>
      <c r="J52" s="2"/>
      <c r="K52" s="2"/>
      <c r="M52" s="1"/>
      <c r="N52" s="1"/>
      <c r="O52" s="1"/>
      <c r="P52" s="1"/>
      <c r="Q52" s="1"/>
      <c r="R52" s="1"/>
      <c r="S52" s="1"/>
      <c r="T52" s="1"/>
      <c r="U52" s="1"/>
    </row>
    <row r="53" spans="1:21">
      <c r="A53" s="144" t="s">
        <v>328</v>
      </c>
      <c r="B53" s="2"/>
      <c r="C53" s="2"/>
      <c r="D53" s="2"/>
      <c r="E53" s="2"/>
      <c r="F53" s="2"/>
      <c r="G53" s="2"/>
      <c r="H53" s="2"/>
      <c r="I53" s="2"/>
      <c r="J53" s="2"/>
      <c r="K53" s="2"/>
      <c r="M53" s="1"/>
      <c r="N53" s="1"/>
      <c r="O53" s="1"/>
      <c r="P53" s="1"/>
      <c r="Q53" s="1"/>
      <c r="R53" s="1"/>
      <c r="S53" s="1"/>
      <c r="T53" s="1"/>
      <c r="U53" s="1"/>
    </row>
    <row r="54" spans="1:21" ht="15" customHeight="1">
      <c r="A54" s="246" t="s">
        <v>329</v>
      </c>
      <c r="B54" s="246"/>
      <c r="C54" s="246"/>
      <c r="D54" s="246"/>
      <c r="E54" s="246"/>
      <c r="F54" s="246"/>
      <c r="G54" s="246"/>
      <c r="H54" s="246"/>
      <c r="I54" s="246"/>
      <c r="J54" s="246"/>
      <c r="K54" s="246"/>
      <c r="M54" s="1"/>
      <c r="N54" s="1"/>
      <c r="O54" s="1"/>
      <c r="P54" s="1"/>
      <c r="Q54" s="1"/>
      <c r="R54" s="1"/>
      <c r="S54" s="1"/>
      <c r="T54" s="1"/>
      <c r="U54" s="1"/>
    </row>
    <row r="55" spans="1:21">
      <c r="A55" s="246"/>
      <c r="B55" s="246"/>
      <c r="C55" s="246"/>
      <c r="D55" s="246"/>
      <c r="E55" s="246"/>
      <c r="F55" s="246"/>
      <c r="G55" s="246"/>
      <c r="H55" s="246"/>
      <c r="I55" s="246"/>
      <c r="J55" s="246"/>
      <c r="K55" s="246"/>
      <c r="M55" s="1"/>
      <c r="N55" s="1"/>
      <c r="O55" s="1"/>
      <c r="P55" s="1"/>
      <c r="Q55" s="1"/>
      <c r="R55" s="1"/>
      <c r="S55" s="1"/>
      <c r="T55" s="1"/>
      <c r="U55" s="1"/>
    </row>
    <row r="56" spans="1:21">
      <c r="A56" s="247" t="s">
        <v>409</v>
      </c>
      <c r="B56" s="247"/>
      <c r="C56" s="247"/>
      <c r="D56" s="247"/>
      <c r="E56" s="247"/>
      <c r="F56" s="247"/>
      <c r="G56" s="247"/>
      <c r="H56" s="247"/>
      <c r="I56" s="247"/>
      <c r="J56" s="247"/>
      <c r="K56" s="247"/>
      <c r="M56" s="1"/>
      <c r="N56" s="1"/>
      <c r="O56" s="1"/>
      <c r="P56" s="1"/>
      <c r="Q56" s="1"/>
      <c r="R56" s="1"/>
      <c r="S56" s="1"/>
      <c r="T56" s="1"/>
      <c r="U56" s="1"/>
    </row>
    <row r="57" spans="1:21">
      <c r="A57" s="247"/>
      <c r="B57" s="247"/>
      <c r="C57" s="247"/>
      <c r="D57" s="247"/>
      <c r="E57" s="247"/>
      <c r="F57" s="247"/>
      <c r="G57" s="247"/>
      <c r="H57" s="247"/>
      <c r="I57" s="247"/>
      <c r="J57" s="247"/>
      <c r="K57" s="247"/>
      <c r="M57" s="1"/>
      <c r="N57" s="1"/>
      <c r="O57" s="1"/>
      <c r="P57" s="1"/>
      <c r="Q57" s="1"/>
      <c r="R57" s="1"/>
      <c r="S57" s="1"/>
      <c r="T57" s="1"/>
      <c r="U57" s="1"/>
    </row>
    <row r="58" spans="1:21">
      <c r="A58" s="2"/>
      <c r="B58" s="2"/>
      <c r="C58" s="2"/>
      <c r="D58" s="2"/>
      <c r="E58" s="2"/>
      <c r="F58" s="2"/>
      <c r="G58" s="2"/>
      <c r="H58" s="2"/>
      <c r="I58" s="2"/>
      <c r="J58" s="2"/>
      <c r="K58" s="2"/>
      <c r="M58" s="1"/>
      <c r="N58" s="1"/>
      <c r="O58" s="1"/>
      <c r="P58" s="1"/>
      <c r="Q58" s="1"/>
      <c r="R58" s="1"/>
      <c r="S58" s="1"/>
      <c r="T58" s="1"/>
      <c r="U58" s="1"/>
    </row>
    <row r="59" spans="1:21">
      <c r="A59" s="2"/>
      <c r="B59" s="2"/>
      <c r="C59" s="2"/>
      <c r="D59" s="2"/>
      <c r="E59" s="2"/>
      <c r="F59" s="2"/>
      <c r="G59" s="2"/>
      <c r="H59" s="2"/>
      <c r="I59" s="2"/>
      <c r="J59" s="2"/>
      <c r="K59" s="2"/>
      <c r="M59" s="1"/>
      <c r="N59" s="1"/>
      <c r="O59" s="1"/>
      <c r="P59" s="1"/>
      <c r="Q59" s="1"/>
      <c r="R59" s="1"/>
      <c r="S59" s="1"/>
      <c r="T59" s="1"/>
      <c r="U59" s="1"/>
    </row>
    <row r="60" spans="1:21">
      <c r="A60" s="2"/>
      <c r="B60" s="2"/>
      <c r="C60" s="2"/>
      <c r="D60" s="2"/>
      <c r="E60" s="2"/>
      <c r="F60" s="2"/>
      <c r="G60" s="2"/>
      <c r="H60" s="2"/>
      <c r="I60" s="2"/>
      <c r="J60" s="2"/>
      <c r="K60" s="2"/>
      <c r="M60" s="1"/>
      <c r="N60" s="1"/>
      <c r="O60" s="1"/>
      <c r="P60" s="1"/>
      <c r="Q60" s="1"/>
      <c r="R60" s="1"/>
      <c r="S60" s="1"/>
      <c r="T60" s="1"/>
      <c r="U60" s="1"/>
    </row>
    <row r="61" spans="1:21">
      <c r="A61" s="2"/>
      <c r="B61" s="2"/>
      <c r="C61" s="2"/>
      <c r="D61" s="2"/>
      <c r="E61" s="2"/>
      <c r="F61" s="2"/>
      <c r="G61" s="2"/>
      <c r="H61" s="2"/>
      <c r="I61" s="2"/>
      <c r="J61" s="2"/>
      <c r="K61" s="2"/>
      <c r="M61" s="1"/>
      <c r="N61" s="1"/>
      <c r="O61" s="1"/>
      <c r="P61" s="1"/>
      <c r="Q61" s="1"/>
      <c r="R61" s="1"/>
      <c r="S61" s="1"/>
      <c r="T61" s="1"/>
      <c r="U61" s="1"/>
    </row>
    <row r="62" spans="1:21">
      <c r="A62" s="2"/>
      <c r="B62" s="2"/>
      <c r="C62" s="2"/>
      <c r="D62" s="2"/>
      <c r="E62" s="2"/>
      <c r="F62" s="2"/>
      <c r="G62" s="2"/>
      <c r="H62" s="2"/>
      <c r="I62" s="2"/>
      <c r="J62" s="2"/>
      <c r="K62" s="2"/>
      <c r="M62" s="1"/>
      <c r="N62" s="1"/>
      <c r="O62" s="1"/>
      <c r="P62" s="1"/>
      <c r="Q62" s="1"/>
      <c r="R62" s="1"/>
      <c r="S62" s="1"/>
      <c r="T62" s="1"/>
      <c r="U62" s="1"/>
    </row>
    <row r="63" spans="1:21">
      <c r="A63" s="2"/>
      <c r="B63" s="2"/>
      <c r="C63" s="2"/>
      <c r="D63" s="2"/>
      <c r="E63" s="2"/>
      <c r="F63" s="2"/>
      <c r="G63" s="2"/>
      <c r="H63" s="2"/>
      <c r="I63" s="2"/>
      <c r="J63" s="2"/>
      <c r="K63" s="2"/>
      <c r="M63" s="1"/>
      <c r="N63" s="1"/>
      <c r="O63" s="1"/>
      <c r="P63" s="1"/>
      <c r="Q63" s="1"/>
      <c r="R63" s="1"/>
      <c r="S63" s="1"/>
      <c r="T63" s="1"/>
      <c r="U63" s="1"/>
    </row>
    <row r="64" spans="1:21">
      <c r="A64" s="2"/>
      <c r="B64" s="2"/>
      <c r="C64" s="2"/>
      <c r="D64" s="2"/>
      <c r="E64" s="2"/>
      <c r="F64" s="2"/>
      <c r="G64" s="2"/>
      <c r="H64" s="2"/>
      <c r="I64" s="2"/>
      <c r="J64" s="2"/>
      <c r="K64" s="2"/>
      <c r="M64" s="1"/>
      <c r="N64" s="1"/>
      <c r="O64" s="1"/>
      <c r="P64" s="1"/>
      <c r="Q64" s="1"/>
      <c r="R64" s="1"/>
      <c r="S64" s="1"/>
      <c r="T64" s="1"/>
      <c r="U64" s="1"/>
    </row>
    <row r="65" spans="1:21">
      <c r="A65" s="2"/>
      <c r="B65" s="2"/>
      <c r="C65" s="2"/>
      <c r="D65" s="2"/>
      <c r="E65" s="2"/>
      <c r="F65" s="2"/>
      <c r="G65" s="2"/>
      <c r="H65" s="2"/>
      <c r="I65" s="2"/>
      <c r="J65" s="2"/>
      <c r="K65" s="2"/>
      <c r="M65" s="1"/>
      <c r="N65" s="1"/>
      <c r="O65" s="1"/>
      <c r="P65" s="1"/>
      <c r="Q65" s="1"/>
      <c r="R65" s="1"/>
      <c r="S65" s="1"/>
      <c r="T65" s="1"/>
      <c r="U65" s="1"/>
    </row>
    <row r="66" spans="1:21">
      <c r="A66" s="2"/>
      <c r="B66" s="2"/>
      <c r="C66" s="2"/>
      <c r="D66" s="2"/>
      <c r="E66" s="2"/>
      <c r="F66" s="2"/>
      <c r="G66" s="2"/>
      <c r="H66" s="2"/>
      <c r="I66" s="2"/>
      <c r="J66" s="2"/>
      <c r="K66" s="2"/>
      <c r="M66" s="1"/>
      <c r="N66" s="1"/>
      <c r="O66" s="1"/>
      <c r="P66" s="1"/>
      <c r="Q66" s="1"/>
      <c r="R66" s="1"/>
      <c r="S66" s="1"/>
      <c r="T66" s="1"/>
      <c r="U66" s="1"/>
    </row>
    <row r="67" spans="1:21">
      <c r="M67" s="1"/>
      <c r="N67" s="1"/>
      <c r="O67" s="1"/>
      <c r="P67" s="1"/>
      <c r="Q67" s="1"/>
      <c r="R67" s="1"/>
      <c r="S67" s="1"/>
      <c r="T67" s="1"/>
      <c r="U67" s="1"/>
    </row>
    <row r="68" spans="1:21">
      <c r="A68" t="s">
        <v>20</v>
      </c>
      <c r="M68" s="1"/>
      <c r="N68" s="1"/>
      <c r="O68" s="1"/>
      <c r="P68" s="1"/>
      <c r="Q68" s="1"/>
      <c r="R68" s="1"/>
      <c r="S68" s="1"/>
      <c r="T68" s="1"/>
      <c r="U68" s="1"/>
    </row>
    <row r="69" spans="1:21">
      <c r="A69" t="s">
        <v>49</v>
      </c>
    </row>
    <row r="70" spans="1:21">
      <c r="A70" t="s">
        <v>50</v>
      </c>
    </row>
  </sheetData>
  <mergeCells count="11">
    <mergeCell ref="M6:U6"/>
    <mergeCell ref="A54:K55"/>
    <mergeCell ref="A56:K57"/>
    <mergeCell ref="C8:J8"/>
    <mergeCell ref="C10:J10"/>
    <mergeCell ref="C12:J12"/>
    <mergeCell ref="A46:I46"/>
    <mergeCell ref="A47:I47"/>
    <mergeCell ref="A6:K6"/>
    <mergeCell ref="A48:J49"/>
    <mergeCell ref="A42:K42"/>
  </mergeCells>
  <dataValidations count="2">
    <dataValidation type="list" allowBlank="1" showInputMessage="1" showErrorMessage="1" sqref="D44" xr:uid="{00000000-0002-0000-0100-000000000000}">
      <formula1>$C$5:$C$7</formula1>
    </dataValidation>
    <dataValidation type="list" allowBlank="1" showInputMessage="1" showErrorMessage="1" sqref="D61 H61" xr:uid="{00000000-0002-0000-0100-000001000000}">
      <formula1>$C$9:$C$10</formula1>
    </dataValidation>
  </dataValidations>
  <hyperlinks>
    <hyperlink ref="A1" location="Intro!A1" display="Back to Intro" xr:uid="{00000000-0004-0000-0100-000000000000}"/>
  </hyperlinks>
  <pageMargins left="0.7" right="0.7" top="0.75" bottom="0.75" header="0.3" footer="0.3"/>
  <pageSetup scale="39"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sults">
                <anchor moveWithCells="1" sizeWithCells="1">
                  <from>
                    <xdr:col>10</xdr:col>
                    <xdr:colOff>95250</xdr:colOff>
                    <xdr:row>0</xdr:row>
                    <xdr:rowOff>28575</xdr:rowOff>
                  </from>
                  <to>
                    <xdr:col>13</xdr:col>
                    <xdr:colOff>152400</xdr:colOff>
                    <xdr:row>4</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2000000}">
          <x14:formula1>
            <xm:f>Inputs!$D$3:$D$5</xm:f>
          </x14:formula1>
          <xm:sqref>D41 C27 C20</xm:sqref>
        </x14:dataValidation>
        <x14:dataValidation type="list" allowBlank="1" showInputMessage="1" showErrorMessage="1" xr:uid="{00000000-0002-0000-0100-000003000000}">
          <x14:formula1>
            <xm:f>Inputs!$C$3:$C$6</xm:f>
          </x14:formula1>
          <xm:sqref>C34:C35 C30</xm:sqref>
        </x14:dataValidation>
        <x14:dataValidation type="list" allowBlank="1" showInputMessage="1" showErrorMessage="1" xr:uid="{00000000-0002-0000-0100-000004000000}">
          <x14:formula1>
            <xm:f>Inputs!$E$3:$E$6</xm:f>
          </x14:formula1>
          <xm:sqref>C29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499984740745262"/>
    <pageSetUpPr fitToPage="1"/>
  </sheetPr>
  <dimension ref="A1:T41"/>
  <sheetViews>
    <sheetView zoomScale="70" zoomScaleNormal="70" workbookViewId="0">
      <selection activeCell="P7" sqref="P7"/>
    </sheetView>
  </sheetViews>
  <sheetFormatPr defaultRowHeight="15"/>
  <cols>
    <col min="1" max="1" width="29.42578125" customWidth="1"/>
    <col min="2" max="2" width="21.5703125" customWidth="1"/>
    <col min="3" max="3" width="22.7109375" customWidth="1"/>
    <col min="4" max="4" width="16.140625" bestFit="1" customWidth="1"/>
    <col min="5" max="5" width="19.7109375" bestFit="1" customWidth="1"/>
    <col min="6" max="6" width="12.85546875" bestFit="1" customWidth="1"/>
    <col min="7" max="7" width="23.7109375" customWidth="1"/>
    <col min="8" max="8" width="25.85546875" bestFit="1" customWidth="1"/>
    <col min="9" max="9" width="16.140625" bestFit="1" customWidth="1"/>
    <col min="10" max="10" width="16.7109375" bestFit="1" customWidth="1"/>
    <col min="11" max="11" width="12.85546875" bestFit="1" customWidth="1"/>
    <col min="12" max="12" width="12.85546875" customWidth="1"/>
    <col min="13" max="13" width="26.5703125" customWidth="1"/>
    <col min="14" max="14" width="19.85546875" customWidth="1"/>
    <col min="15" max="15" width="21.28515625" customWidth="1"/>
    <col min="16" max="16" width="23.5703125" customWidth="1"/>
    <col min="17" max="17" width="17" customWidth="1"/>
    <col min="18" max="18" width="19.42578125" customWidth="1"/>
    <col min="20" max="20" width="15.140625" customWidth="1"/>
    <col min="21" max="21" width="12.85546875" customWidth="1"/>
    <col min="22" max="22" width="14.85546875" customWidth="1"/>
  </cols>
  <sheetData>
    <row r="1" spans="1:20">
      <c r="A1" s="3" t="s">
        <v>1</v>
      </c>
    </row>
    <row r="3" spans="1:20">
      <c r="A3" t="s">
        <v>410</v>
      </c>
    </row>
    <row r="4" spans="1:20">
      <c r="A4" s="135"/>
      <c r="B4" s="135"/>
      <c r="C4" s="136" t="s">
        <v>246</v>
      </c>
      <c r="D4" s="136"/>
      <c r="E4" s="136"/>
      <c r="F4" s="136"/>
      <c r="G4" s="135"/>
      <c r="H4" s="135"/>
      <c r="I4" s="135"/>
      <c r="J4" s="1"/>
      <c r="K4" s="250" t="s">
        <v>22</v>
      </c>
      <c r="L4" s="250"/>
      <c r="M4" s="250"/>
      <c r="N4" s="250"/>
      <c r="O4" s="250"/>
      <c r="P4" s="250"/>
      <c r="Q4" s="250"/>
      <c r="R4" s="250"/>
      <c r="S4" s="7"/>
      <c r="T4" s="7"/>
    </row>
    <row r="5" spans="1:20" ht="15.75" thickBot="1">
      <c r="A5" s="2"/>
      <c r="B5" s="2"/>
      <c r="C5" s="2"/>
      <c r="D5" s="2"/>
      <c r="E5" s="2"/>
      <c r="F5" s="2"/>
      <c r="G5" s="2"/>
      <c r="H5" s="2"/>
      <c r="I5" s="2"/>
      <c r="J5" s="1"/>
      <c r="K5" s="7"/>
      <c r="L5" s="7"/>
      <c r="M5" s="7"/>
      <c r="N5" s="7"/>
      <c r="O5" s="7"/>
      <c r="P5" s="7"/>
      <c r="Q5" s="7"/>
      <c r="R5" s="7"/>
      <c r="S5" s="7"/>
      <c r="T5" s="7"/>
    </row>
    <row r="6" spans="1:20">
      <c r="A6" s="2" t="s">
        <v>2</v>
      </c>
      <c r="B6" s="2"/>
      <c r="C6" s="249" t="s">
        <v>232</v>
      </c>
      <c r="D6" s="249"/>
      <c r="E6" s="249"/>
      <c r="F6" s="249"/>
      <c r="G6" s="249"/>
      <c r="H6" s="249"/>
      <c r="I6" s="2"/>
      <c r="J6" s="1"/>
      <c r="K6" s="7"/>
      <c r="L6" s="7"/>
      <c r="M6" s="170" t="s">
        <v>332</v>
      </c>
      <c r="N6" s="163" t="s">
        <v>333</v>
      </c>
      <c r="O6" s="163" t="s">
        <v>24</v>
      </c>
      <c r="P6" s="164" t="s">
        <v>427</v>
      </c>
      <c r="Q6" s="137"/>
      <c r="R6" s="7"/>
      <c r="S6" s="7"/>
      <c r="T6" s="7"/>
    </row>
    <row r="7" spans="1:20">
      <c r="A7" s="2"/>
      <c r="B7" s="2"/>
      <c r="C7" s="2"/>
      <c r="D7" s="2"/>
      <c r="E7" s="2"/>
      <c r="F7" s="2"/>
      <c r="G7" s="2"/>
      <c r="H7" s="2"/>
      <c r="I7" s="2"/>
      <c r="J7" s="1"/>
      <c r="K7" s="7"/>
      <c r="L7" s="7"/>
      <c r="M7" s="165" t="s">
        <v>10</v>
      </c>
      <c r="N7" s="155">
        <f>'Active Project Calculation'!D43</f>
        <v>0</v>
      </c>
      <c r="O7" s="155">
        <f>'Active Project Calculation'!M43</f>
        <v>37500</v>
      </c>
      <c r="P7" s="166">
        <f>O7-N7</f>
        <v>37500</v>
      </c>
      <c r="Q7" s="7"/>
      <c r="R7" s="7"/>
      <c r="S7" s="7"/>
      <c r="T7" s="7"/>
    </row>
    <row r="8" spans="1:20">
      <c r="A8" s="2" t="s">
        <v>25</v>
      </c>
      <c r="B8" s="2"/>
      <c r="C8" s="132">
        <v>12</v>
      </c>
      <c r="D8" s="2" t="s">
        <v>5</v>
      </c>
      <c r="E8" s="2"/>
      <c r="F8" s="2"/>
      <c r="G8" s="2"/>
      <c r="H8" s="2"/>
      <c r="I8" s="2"/>
      <c r="J8" s="1"/>
      <c r="K8" s="7"/>
      <c r="L8" s="7"/>
      <c r="M8" s="165" t="s">
        <v>11</v>
      </c>
      <c r="N8" s="155">
        <f>'Active Project Calculation'!B43</f>
        <v>314.94088252946477</v>
      </c>
      <c r="O8" s="155">
        <f>'Active Project Calculation'!AE43</f>
        <v>314.94088252946477</v>
      </c>
      <c r="P8" s="166">
        <f>O8-N8</f>
        <v>0</v>
      </c>
      <c r="Q8" s="7"/>
      <c r="R8" s="7"/>
      <c r="S8" s="7"/>
      <c r="T8" s="7"/>
    </row>
    <row r="9" spans="1:20">
      <c r="A9" s="2"/>
      <c r="B9" s="2"/>
      <c r="C9" s="2"/>
      <c r="D9" s="2"/>
      <c r="E9" s="2"/>
      <c r="F9" s="2"/>
      <c r="G9" s="2"/>
      <c r="H9" s="2"/>
      <c r="I9" s="2"/>
      <c r="J9" s="1"/>
      <c r="K9" s="7"/>
      <c r="L9" s="7"/>
      <c r="M9" s="165" t="s">
        <v>12</v>
      </c>
      <c r="N9" s="155">
        <f>'Active Project Calculation'!C43</f>
        <v>0</v>
      </c>
      <c r="O9" s="155">
        <f>'Active Project Calculation'!I43</f>
        <v>1277.1934644563221</v>
      </c>
      <c r="P9" s="166">
        <f>O9-N9</f>
        <v>1277.1934644563221</v>
      </c>
      <c r="Q9" s="7"/>
      <c r="R9" s="7"/>
      <c r="S9" s="7"/>
      <c r="T9" s="7"/>
    </row>
    <row r="10" spans="1:20">
      <c r="A10" s="2" t="s">
        <v>34</v>
      </c>
      <c r="B10" s="2"/>
      <c r="C10" s="2"/>
      <c r="D10" s="2"/>
      <c r="E10" s="2"/>
      <c r="F10" s="2"/>
      <c r="G10" s="2"/>
      <c r="H10" s="2"/>
      <c r="I10" s="2"/>
      <c r="J10" s="1"/>
      <c r="K10" s="7"/>
      <c r="L10" s="7"/>
      <c r="M10" s="165" t="s">
        <v>21</v>
      </c>
      <c r="N10" s="155">
        <f>'Active Project Calculation'!E43</f>
        <v>73523.192266666665</v>
      </c>
      <c r="O10" s="155">
        <f>'Active Project Calculation'!N43</f>
        <v>73523.192266666665</v>
      </c>
      <c r="P10" s="166">
        <f>O10-N10</f>
        <v>0</v>
      </c>
      <c r="Q10" s="7"/>
      <c r="R10" s="7"/>
      <c r="S10" s="7"/>
      <c r="T10" s="7"/>
    </row>
    <row r="11" spans="1:20" ht="15.75" thickBot="1">
      <c r="A11" s="139" t="s">
        <v>23</v>
      </c>
      <c r="B11" s="2"/>
      <c r="C11" s="2"/>
      <c r="D11" s="2"/>
      <c r="E11" s="2"/>
      <c r="F11" s="2"/>
      <c r="G11" s="2"/>
      <c r="H11" s="2"/>
      <c r="I11" s="2"/>
      <c r="J11" s="1"/>
      <c r="K11" s="7"/>
      <c r="L11" s="7"/>
      <c r="M11" s="167" t="s">
        <v>331</v>
      </c>
      <c r="N11" s="168">
        <f>SUM(N7:N10)</f>
        <v>73838.133149196132</v>
      </c>
      <c r="O11" s="168">
        <f>SUM(O7:O10)</f>
        <v>112615.32661365246</v>
      </c>
      <c r="P11" s="169">
        <f>O11-N11</f>
        <v>38777.19346445633</v>
      </c>
      <c r="Q11" s="7"/>
      <c r="R11" s="7"/>
      <c r="S11" s="7"/>
      <c r="T11" s="7"/>
    </row>
    <row r="12" spans="1:20">
      <c r="A12" s="2" t="s">
        <v>10</v>
      </c>
      <c r="B12" s="2"/>
      <c r="C12" s="130">
        <f>VLOOKUP($C$6,Inputs!$A$13:$H$30,4)</f>
        <v>0</v>
      </c>
      <c r="D12" s="2"/>
      <c r="E12" s="2" t="s">
        <v>27</v>
      </c>
      <c r="F12" s="2"/>
      <c r="G12" s="2"/>
      <c r="H12" s="2"/>
      <c r="I12" s="2"/>
      <c r="J12" s="1"/>
      <c r="K12" s="7"/>
      <c r="L12" s="7"/>
      <c r="M12" s="7"/>
      <c r="N12" s="7"/>
      <c r="O12" s="7"/>
      <c r="P12" s="7"/>
      <c r="Q12" s="7"/>
      <c r="R12" s="7"/>
      <c r="S12" s="7"/>
      <c r="T12" s="7"/>
    </row>
    <row r="13" spans="1:20">
      <c r="A13" s="2"/>
      <c r="B13" s="2"/>
      <c r="C13" s="114"/>
      <c r="D13" s="2"/>
      <c r="E13" s="2"/>
      <c r="F13" s="2"/>
      <c r="G13" s="2"/>
      <c r="H13" s="2"/>
      <c r="I13" s="2"/>
      <c r="J13" s="1"/>
      <c r="K13" s="7"/>
      <c r="L13" s="7"/>
      <c r="M13" s="7"/>
      <c r="N13" s="7"/>
      <c r="O13" s="7"/>
      <c r="P13" s="7"/>
      <c r="Q13" s="7"/>
      <c r="R13" s="7"/>
      <c r="S13" s="7"/>
      <c r="T13" s="7"/>
    </row>
    <row r="14" spans="1:20">
      <c r="A14" s="2" t="s">
        <v>181</v>
      </c>
      <c r="B14" s="2"/>
      <c r="C14" s="130">
        <f>VLOOKUP($C$6,Inputs!$A$13:$H$30,5)</f>
        <v>20.96</v>
      </c>
      <c r="D14" s="2"/>
      <c r="E14" s="131">
        <f>VLOOKUP($C$6,Inputs!$A$13:$N$30,14)</f>
        <v>0</v>
      </c>
      <c r="F14" s="2"/>
      <c r="G14" s="2"/>
      <c r="H14" s="2"/>
      <c r="I14" s="2"/>
      <c r="J14" s="1"/>
      <c r="K14" s="7"/>
      <c r="L14" s="7"/>
      <c r="M14" s="7"/>
      <c r="N14" s="7"/>
      <c r="O14" s="7"/>
      <c r="P14" s="7"/>
      <c r="Q14" s="7"/>
      <c r="R14" s="7"/>
      <c r="S14" s="7"/>
      <c r="T14" s="7"/>
    </row>
    <row r="15" spans="1:20">
      <c r="A15" s="2"/>
      <c r="B15" s="2"/>
      <c r="C15" s="114"/>
      <c r="D15" s="2"/>
      <c r="E15" s="2"/>
      <c r="F15" s="2"/>
      <c r="G15" s="2"/>
      <c r="H15" s="2"/>
      <c r="I15" s="2"/>
      <c r="J15" s="1"/>
      <c r="K15" s="7"/>
      <c r="L15" s="7"/>
      <c r="M15" s="7"/>
      <c r="N15" s="7"/>
      <c r="O15" s="7"/>
      <c r="P15" s="7"/>
      <c r="Q15" s="7"/>
      <c r="R15" s="7"/>
      <c r="S15" s="7"/>
      <c r="T15" s="7"/>
    </row>
    <row r="16" spans="1:20">
      <c r="A16" s="2" t="s">
        <v>26</v>
      </c>
      <c r="B16" s="2"/>
      <c r="C16" s="130">
        <f>VLOOKUP($C$6,Inputs!$A$13:$H$30,6)</f>
        <v>0</v>
      </c>
      <c r="D16" s="2"/>
      <c r="E16" s="2" t="s">
        <v>33</v>
      </c>
      <c r="F16" s="2"/>
      <c r="G16" s="2"/>
      <c r="H16" s="2"/>
      <c r="I16" s="2"/>
      <c r="J16" s="1"/>
      <c r="K16" s="7"/>
      <c r="L16" s="7"/>
      <c r="M16" s="7"/>
      <c r="N16" s="7"/>
      <c r="O16" s="7"/>
      <c r="P16" s="7"/>
      <c r="Q16" s="7"/>
      <c r="R16" s="7"/>
      <c r="S16" s="7"/>
      <c r="T16" s="7"/>
    </row>
    <row r="17" spans="1:20">
      <c r="A17" s="2"/>
      <c r="B17" s="2"/>
      <c r="C17" s="114"/>
      <c r="D17" s="2"/>
      <c r="E17" s="2"/>
      <c r="F17" s="2"/>
      <c r="G17" s="2"/>
      <c r="H17" s="2"/>
      <c r="I17" s="2"/>
      <c r="J17" s="1"/>
      <c r="K17" s="7"/>
      <c r="L17" s="7"/>
      <c r="M17" s="7"/>
      <c r="N17" s="7"/>
      <c r="O17" s="7"/>
      <c r="P17" s="7"/>
      <c r="Q17" s="7"/>
      <c r="R17" s="7"/>
      <c r="S17" s="7"/>
      <c r="T17" s="7"/>
    </row>
    <row r="18" spans="1:20">
      <c r="A18" s="2" t="s">
        <v>21</v>
      </c>
      <c r="B18" s="2"/>
      <c r="C18" s="130">
        <f>VLOOKUP($C$6,Inputs!$A$13:$H$30,7)+VLOOKUP($C$6,Inputs!$A$13:$H$30,8)</f>
        <v>6126.9326888888891</v>
      </c>
      <c r="D18" s="2"/>
      <c r="E18" s="2"/>
      <c r="F18" s="2"/>
      <c r="G18" s="2"/>
      <c r="H18" s="2"/>
      <c r="I18" s="2"/>
      <c r="J18" s="1"/>
      <c r="K18" s="7"/>
      <c r="L18" s="7"/>
      <c r="M18" s="7"/>
      <c r="N18" s="7"/>
      <c r="O18" s="7"/>
      <c r="P18" s="7"/>
      <c r="Q18" s="7"/>
      <c r="R18" s="7"/>
      <c r="S18" s="7"/>
      <c r="T18" s="7"/>
    </row>
    <row r="19" spans="1:20">
      <c r="A19" s="2"/>
      <c r="B19" s="2"/>
      <c r="C19" s="2"/>
      <c r="D19" s="2"/>
      <c r="E19" s="2"/>
      <c r="F19" s="2"/>
      <c r="G19" s="2"/>
      <c r="H19" s="2"/>
      <c r="I19" s="2"/>
      <c r="J19" s="1"/>
      <c r="K19" s="7"/>
      <c r="L19" s="7"/>
      <c r="M19" s="7"/>
      <c r="N19" s="7"/>
      <c r="O19" s="7"/>
      <c r="P19" s="7"/>
      <c r="Q19" s="7"/>
      <c r="R19" s="7"/>
      <c r="S19" s="7"/>
      <c r="T19" s="7"/>
    </row>
    <row r="20" spans="1:20">
      <c r="A20" s="2"/>
      <c r="B20" s="2"/>
      <c r="C20" s="2"/>
      <c r="D20" s="2"/>
      <c r="E20" s="2"/>
      <c r="F20" s="2"/>
      <c r="G20" s="2"/>
      <c r="H20" s="2"/>
      <c r="I20" s="2"/>
      <c r="J20" s="1"/>
      <c r="K20" s="7"/>
      <c r="L20" s="7"/>
      <c r="M20" s="7"/>
      <c r="N20" s="7"/>
      <c r="O20" s="7"/>
      <c r="P20" s="7"/>
      <c r="Q20" s="7"/>
      <c r="R20" s="7"/>
      <c r="S20" s="7"/>
      <c r="T20" s="7"/>
    </row>
    <row r="21" spans="1:20">
      <c r="A21" s="139" t="s">
        <v>324</v>
      </c>
      <c r="B21" s="2"/>
      <c r="C21" s="2"/>
      <c r="D21" s="2"/>
      <c r="E21" s="2"/>
      <c r="F21" s="2"/>
      <c r="G21" s="2"/>
      <c r="H21" s="2"/>
      <c r="I21" s="2"/>
      <c r="J21" s="1"/>
      <c r="K21" s="7"/>
      <c r="L21" s="7"/>
      <c r="M21" s="7"/>
      <c r="N21" s="7"/>
      <c r="O21" s="7"/>
      <c r="P21" s="7"/>
      <c r="Q21" s="7"/>
      <c r="R21" s="7"/>
      <c r="S21" s="7"/>
      <c r="T21" s="7"/>
    </row>
    <row r="22" spans="1:20">
      <c r="A22" s="2"/>
      <c r="B22" s="2"/>
      <c r="C22" s="2"/>
      <c r="D22" s="2"/>
      <c r="E22" s="2"/>
      <c r="F22" s="2"/>
      <c r="G22" s="2"/>
      <c r="H22" s="2"/>
      <c r="I22" s="2"/>
      <c r="J22" s="1"/>
      <c r="K22" s="7"/>
      <c r="L22" s="7"/>
      <c r="M22" s="7"/>
      <c r="N22" s="7"/>
      <c r="O22" s="7"/>
      <c r="P22" s="7"/>
      <c r="Q22" s="7"/>
      <c r="R22" s="7"/>
      <c r="S22" s="7"/>
      <c r="T22" s="7"/>
    </row>
    <row r="23" spans="1:20">
      <c r="A23" s="2" t="s">
        <v>178</v>
      </c>
      <c r="B23" s="2"/>
      <c r="C23" s="2" t="s">
        <v>23</v>
      </c>
      <c r="D23" s="132">
        <f>Inputs!O14</f>
        <v>5</v>
      </c>
      <c r="E23" s="2" t="s">
        <v>28</v>
      </c>
      <c r="F23" s="2"/>
      <c r="G23" s="2" t="s">
        <v>29</v>
      </c>
      <c r="H23" s="1">
        <v>10</v>
      </c>
      <c r="I23" s="2"/>
      <c r="J23" s="1"/>
      <c r="K23" s="7"/>
      <c r="L23" s="7"/>
      <c r="M23" s="7"/>
      <c r="N23" s="7"/>
      <c r="O23" s="7"/>
      <c r="P23" s="7"/>
      <c r="Q23" s="7"/>
      <c r="R23" s="7"/>
      <c r="S23" s="7"/>
      <c r="T23" s="7"/>
    </row>
    <row r="24" spans="1:20">
      <c r="A24" s="2"/>
      <c r="B24" s="2"/>
      <c r="C24" s="2"/>
      <c r="D24" s="2"/>
      <c r="E24" s="2"/>
      <c r="F24" s="2"/>
      <c r="G24" s="2"/>
      <c r="H24" s="2"/>
      <c r="I24" s="2"/>
      <c r="J24" s="1"/>
      <c r="K24" s="7"/>
      <c r="L24" s="7"/>
      <c r="M24" s="7"/>
      <c r="N24" s="7"/>
      <c r="O24" s="7"/>
      <c r="P24" s="7"/>
      <c r="Q24" s="7"/>
      <c r="R24" s="7"/>
      <c r="S24" s="7"/>
      <c r="T24" s="7"/>
    </row>
    <row r="25" spans="1:20">
      <c r="A25" s="2"/>
      <c r="B25" s="2"/>
      <c r="C25" s="2"/>
      <c r="D25" s="2"/>
      <c r="E25" s="2"/>
      <c r="F25" s="2"/>
      <c r="G25" s="2"/>
      <c r="H25" s="2"/>
      <c r="I25" s="2"/>
      <c r="J25" s="1"/>
      <c r="K25" s="7"/>
      <c r="L25" s="7"/>
      <c r="M25" s="7"/>
      <c r="N25" s="7"/>
      <c r="O25" s="7"/>
      <c r="P25" s="7"/>
      <c r="Q25" s="7"/>
      <c r="R25" s="7"/>
      <c r="S25" s="7"/>
      <c r="T25" s="7"/>
    </row>
    <row r="26" spans="1:20">
      <c r="A26" s="2"/>
      <c r="B26" s="2"/>
      <c r="C26" s="2"/>
      <c r="D26" s="2"/>
      <c r="E26" s="2"/>
      <c r="F26" s="2"/>
      <c r="G26" s="2"/>
      <c r="H26" s="2"/>
      <c r="I26" s="2"/>
      <c r="J26" s="1"/>
      <c r="K26" s="7"/>
      <c r="L26" s="7"/>
      <c r="M26" s="7"/>
      <c r="N26" s="7"/>
      <c r="O26" s="7"/>
      <c r="P26" s="7"/>
      <c r="Q26" s="7"/>
      <c r="R26" s="7"/>
      <c r="S26" s="7"/>
      <c r="T26" s="7"/>
    </row>
    <row r="27" spans="1:20">
      <c r="A27" s="2" t="s">
        <v>325</v>
      </c>
      <c r="B27" s="2"/>
      <c r="C27" s="2" t="s">
        <v>23</v>
      </c>
      <c r="D27" s="132" t="str">
        <f>VLOOKUP(C6,Inputs!A13:P30,16)</f>
        <v>None</v>
      </c>
      <c r="E27" s="2" t="s">
        <v>28</v>
      </c>
      <c r="F27" s="2"/>
      <c r="G27" s="2" t="s">
        <v>29</v>
      </c>
      <c r="H27" s="1" t="s">
        <v>225</v>
      </c>
      <c r="I27" s="2"/>
      <c r="J27" s="1"/>
      <c r="K27" s="7"/>
      <c r="L27" s="7"/>
      <c r="M27" s="7"/>
      <c r="N27" s="7"/>
      <c r="O27" s="7"/>
      <c r="P27" s="7"/>
      <c r="Q27" s="7"/>
      <c r="R27" s="7"/>
      <c r="S27" s="7"/>
      <c r="T27" s="7"/>
    </row>
    <row r="28" spans="1:20">
      <c r="A28" s="2"/>
      <c r="B28" s="2"/>
      <c r="C28" s="2"/>
      <c r="D28" s="2"/>
      <c r="E28" s="2"/>
      <c r="F28" s="2"/>
      <c r="G28" s="2" t="s">
        <v>254</v>
      </c>
      <c r="H28" s="141">
        <v>3</v>
      </c>
      <c r="I28" s="2" t="s">
        <v>5</v>
      </c>
      <c r="J28" s="1"/>
      <c r="K28" s="7"/>
      <c r="L28" s="7"/>
      <c r="M28" s="7"/>
      <c r="N28" s="7"/>
      <c r="O28" s="7"/>
      <c r="P28" s="7"/>
      <c r="Q28" s="7"/>
      <c r="R28" s="7"/>
      <c r="S28" s="7"/>
      <c r="T28" s="7"/>
    </row>
    <row r="29" spans="1:20">
      <c r="A29" s="2"/>
      <c r="B29" s="2"/>
      <c r="C29" s="2"/>
      <c r="D29" s="2"/>
      <c r="E29" s="2"/>
      <c r="F29" s="2"/>
      <c r="G29" s="2"/>
      <c r="H29" s="2"/>
      <c r="I29" s="2"/>
      <c r="J29" s="1"/>
      <c r="K29" s="7"/>
      <c r="L29" s="7"/>
      <c r="M29" s="7"/>
      <c r="N29" s="7"/>
      <c r="O29" s="7"/>
      <c r="P29" s="7"/>
      <c r="Q29" s="7"/>
      <c r="R29" s="7"/>
      <c r="S29" s="7"/>
      <c r="T29" s="7"/>
    </row>
    <row r="30" spans="1:20">
      <c r="A30" s="2"/>
      <c r="B30" s="2"/>
      <c r="C30" s="2"/>
      <c r="D30" s="2"/>
      <c r="E30" s="2"/>
      <c r="F30" s="2"/>
      <c r="G30" s="2"/>
      <c r="H30" s="2"/>
      <c r="I30" s="2"/>
      <c r="J30" s="1"/>
      <c r="K30" s="7"/>
      <c r="L30" s="7"/>
      <c r="M30" s="7"/>
      <c r="N30" s="7"/>
      <c r="O30" s="7"/>
      <c r="P30" s="7"/>
      <c r="Q30" s="7"/>
      <c r="R30" s="7"/>
      <c r="S30" s="7"/>
      <c r="T30" s="7"/>
    </row>
    <row r="31" spans="1:20">
      <c r="A31" s="2" t="s">
        <v>210</v>
      </c>
      <c r="B31" s="2"/>
      <c r="C31" s="2" t="s">
        <v>23</v>
      </c>
      <c r="D31" s="132">
        <f>C8</f>
        <v>12</v>
      </c>
      <c r="E31" s="2" t="s">
        <v>5</v>
      </c>
      <c r="F31" s="2"/>
      <c r="G31" s="2" t="s">
        <v>29</v>
      </c>
      <c r="H31" s="1">
        <v>12</v>
      </c>
      <c r="I31" s="2"/>
      <c r="J31" s="1"/>
      <c r="K31" s="7"/>
      <c r="L31" s="7"/>
      <c r="M31" s="7"/>
      <c r="N31" s="7"/>
      <c r="O31" s="7"/>
      <c r="P31" s="7"/>
      <c r="Q31" s="7"/>
      <c r="R31" s="7"/>
      <c r="S31" s="7"/>
      <c r="T31" s="7"/>
    </row>
    <row r="32" spans="1:20">
      <c r="A32" s="2"/>
      <c r="B32" s="2"/>
      <c r="C32" s="2"/>
      <c r="D32" s="2"/>
      <c r="E32" s="2"/>
      <c r="F32" s="2"/>
      <c r="G32" s="2"/>
      <c r="H32" s="2"/>
      <c r="I32" s="2"/>
      <c r="J32" s="1"/>
      <c r="K32" s="7"/>
      <c r="L32" s="7"/>
      <c r="M32" s="7"/>
      <c r="N32" s="7"/>
      <c r="O32" s="7"/>
      <c r="P32" s="7"/>
      <c r="Q32" s="7"/>
      <c r="R32" s="7"/>
      <c r="S32" s="7"/>
      <c r="T32" s="7"/>
    </row>
    <row r="33" spans="1:20">
      <c r="A33" s="2" t="s">
        <v>32</v>
      </c>
      <c r="B33" s="2"/>
      <c r="C33" s="1" t="s">
        <v>84</v>
      </c>
      <c r="D33" s="2" t="s">
        <v>31</v>
      </c>
      <c r="E33" s="2"/>
      <c r="F33" s="2"/>
      <c r="G33" s="2"/>
      <c r="H33" s="2"/>
      <c r="I33" s="2"/>
      <c r="J33" s="1"/>
      <c r="K33" s="7"/>
      <c r="L33" s="7"/>
      <c r="M33" s="7"/>
      <c r="N33" s="7"/>
      <c r="O33" s="7"/>
      <c r="P33" s="7"/>
      <c r="Q33" s="7"/>
      <c r="R33" s="7"/>
      <c r="S33" s="7"/>
      <c r="T33" s="7"/>
    </row>
    <row r="34" spans="1:20">
      <c r="A34" s="2"/>
      <c r="B34" s="2"/>
      <c r="C34" s="2"/>
      <c r="D34" s="2"/>
      <c r="E34" s="2"/>
      <c r="F34" s="2"/>
      <c r="G34" s="2"/>
      <c r="H34" s="2"/>
      <c r="I34" s="2"/>
      <c r="J34" s="1"/>
      <c r="K34" s="7"/>
      <c r="L34" s="7"/>
      <c r="M34" s="7"/>
      <c r="N34" s="7"/>
      <c r="O34" s="7"/>
      <c r="P34" s="7"/>
      <c r="Q34" s="7"/>
      <c r="R34" s="7"/>
      <c r="S34" s="7"/>
      <c r="T34" s="7"/>
    </row>
    <row r="35" spans="1:20">
      <c r="A35" s="2" t="s">
        <v>182</v>
      </c>
      <c r="B35" s="2"/>
      <c r="C35" s="1" t="s">
        <v>37</v>
      </c>
      <c r="D35" s="2"/>
      <c r="E35" s="2" t="s">
        <v>424</v>
      </c>
      <c r="F35" s="2"/>
      <c r="G35" s="2"/>
      <c r="H35" s="2"/>
      <c r="I35" s="2"/>
      <c r="J35" s="1"/>
      <c r="K35" s="7"/>
      <c r="L35" s="7"/>
      <c r="M35" s="7"/>
      <c r="N35" s="7"/>
      <c r="O35" s="7"/>
      <c r="P35" s="7"/>
      <c r="Q35" s="7"/>
      <c r="R35" s="7"/>
      <c r="S35" s="7"/>
      <c r="T35" s="7"/>
    </row>
    <row r="36" spans="1:20">
      <c r="A36" s="2"/>
      <c r="B36" s="2"/>
      <c r="C36" s="2"/>
      <c r="D36" s="2"/>
      <c r="E36" s="2"/>
      <c r="F36" s="2"/>
      <c r="G36" s="2"/>
      <c r="H36" s="2"/>
      <c r="I36" s="2"/>
      <c r="J36" s="1"/>
      <c r="K36" s="7"/>
      <c r="L36" s="7"/>
      <c r="M36" s="7"/>
      <c r="N36" s="7"/>
      <c r="O36" s="7"/>
      <c r="P36" s="7"/>
      <c r="Q36" s="7"/>
      <c r="R36" s="7"/>
      <c r="S36" s="7"/>
      <c r="T36" s="7"/>
    </row>
    <row r="37" spans="1:20">
      <c r="A37" s="2" t="s">
        <v>219</v>
      </c>
      <c r="B37" s="2"/>
      <c r="C37" s="133">
        <f>IF(C35="High",'Cloud Consumption'!$G$7,IF(C35="Medium",'Cloud Consumption'!$F$7,'Cloud Consumption'!$E$7))</f>
        <v>0.1</v>
      </c>
      <c r="D37" s="2"/>
      <c r="E37" s="2"/>
      <c r="F37" s="2"/>
      <c r="G37" s="2"/>
      <c r="H37" s="2"/>
      <c r="I37" s="2"/>
      <c r="J37" s="1"/>
      <c r="K37" s="7"/>
      <c r="L37" s="7"/>
      <c r="M37" s="7"/>
      <c r="N37" s="7"/>
      <c r="O37" s="7"/>
      <c r="P37" s="7"/>
      <c r="Q37" s="7"/>
      <c r="R37" s="7"/>
      <c r="S37" s="7"/>
      <c r="T37" s="7"/>
    </row>
    <row r="38" spans="1:20">
      <c r="A38" s="2" t="s">
        <v>217</v>
      </c>
      <c r="B38" s="2"/>
      <c r="C38" s="134" t="str">
        <f>IF(C35="High", "Redshift",IF(C35="Medium","Hadoop","Hadoop"))</f>
        <v>Redshift</v>
      </c>
      <c r="D38" s="2"/>
      <c r="E38" s="2"/>
      <c r="F38" s="2"/>
      <c r="G38" s="2"/>
      <c r="H38" s="2"/>
      <c r="I38" s="2"/>
      <c r="J38" s="1"/>
      <c r="K38" s="7"/>
      <c r="L38" s="7"/>
      <c r="M38" s="7"/>
      <c r="N38" s="7"/>
      <c r="O38" s="7"/>
      <c r="P38" s="7"/>
      <c r="Q38" s="7"/>
      <c r="R38" s="7"/>
      <c r="S38" s="7"/>
      <c r="T38" s="7"/>
    </row>
    <row r="39" spans="1:20">
      <c r="A39" s="2" t="s">
        <v>218</v>
      </c>
      <c r="B39" s="2"/>
      <c r="C39" s="133">
        <f>IF(C38="Redshift",'Cloud Consumption'!$G$11, IF(C35="Medium",'Cloud Consumption'!$F$9,'Cloud Consumption'!$E$9))</f>
        <v>0.02</v>
      </c>
      <c r="D39" s="2"/>
      <c r="E39" s="2"/>
      <c r="F39" s="2"/>
      <c r="G39" s="2"/>
      <c r="H39" s="2"/>
      <c r="I39" s="2"/>
      <c r="J39" s="1"/>
      <c r="K39" s="7"/>
      <c r="L39" s="7"/>
      <c r="M39" s="7"/>
      <c r="N39" s="7"/>
      <c r="O39" s="7"/>
      <c r="P39" s="7"/>
      <c r="Q39" s="7"/>
      <c r="R39" s="7"/>
      <c r="S39" s="7"/>
      <c r="T39" s="7"/>
    </row>
    <row r="40" spans="1:20">
      <c r="A40" s="2" t="s">
        <v>250</v>
      </c>
      <c r="B40" s="2"/>
      <c r="C40" s="143">
        <f>IF(C$35="High",'Cloud Consumption'!$G$8,IF(C$35="Medium",'Cloud Consumption'!$F$8,'Cloud Consumption'!$E$8))</f>
        <v>0.05</v>
      </c>
      <c r="D40" s="2"/>
      <c r="E40" s="2"/>
      <c r="F40" s="2"/>
      <c r="G40" s="2"/>
      <c r="H40" s="2"/>
      <c r="I40" s="2"/>
      <c r="J40" s="1"/>
      <c r="K40" s="7"/>
      <c r="L40" s="7"/>
      <c r="M40" s="7"/>
      <c r="N40" s="7"/>
      <c r="O40" s="7"/>
      <c r="P40" s="7"/>
      <c r="Q40" s="7"/>
      <c r="R40" s="7"/>
      <c r="S40" s="7"/>
      <c r="T40" s="7"/>
    </row>
    <row r="41" spans="1:20">
      <c r="A41" s="2"/>
      <c r="B41" s="2"/>
      <c r="C41" s="2"/>
      <c r="D41" s="2"/>
      <c r="E41" s="2"/>
      <c r="F41" s="2"/>
      <c r="G41" s="2"/>
      <c r="H41" s="2"/>
      <c r="I41" s="2"/>
      <c r="J41" s="1"/>
      <c r="K41" s="7"/>
      <c r="L41" s="7"/>
      <c r="M41" s="7"/>
      <c r="N41" s="7"/>
      <c r="O41" s="7"/>
      <c r="P41" s="7"/>
      <c r="Q41" s="7"/>
      <c r="R41" s="7"/>
      <c r="S41" s="7"/>
      <c r="T41" s="7"/>
    </row>
  </sheetData>
  <mergeCells count="2">
    <mergeCell ref="K4:R4"/>
    <mergeCell ref="C6:H6"/>
  </mergeCells>
  <dataValidations count="2">
    <dataValidation type="list" allowBlank="1" showInputMessage="1" showErrorMessage="1" sqref="E13 H29:H30 D28:D30" xr:uid="{00000000-0002-0000-0200-000000000000}">
      <formula1>$C$3:$C$5</formula1>
    </dataValidation>
    <dataValidation type="whole" allowBlank="1" showInputMessage="1" showErrorMessage="1" sqref="H28" xr:uid="{00000000-0002-0000-0200-000001000000}">
      <formula1>1</formula1>
      <formula2>C8</formula2>
    </dataValidation>
  </dataValidations>
  <hyperlinks>
    <hyperlink ref="A1" location="Intro!A1" display="Back to Intro" xr:uid="{00000000-0004-0000-0200-000000000000}"/>
  </hyperlinks>
  <pageMargins left="0.7" right="0.7" top="0.75" bottom="0.75" header="0.3" footer="0.3"/>
  <pageSetup scale="32"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esults">
                <anchor moveWithCells="1" sizeWithCells="1">
                  <from>
                    <xdr:col>8</xdr:col>
                    <xdr:colOff>619125</xdr:colOff>
                    <xdr:row>0</xdr:row>
                    <xdr:rowOff>0</xdr:rowOff>
                  </from>
                  <to>
                    <xdr:col>10</xdr:col>
                    <xdr:colOff>57150</xdr:colOff>
                    <xdr:row>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2000000}">
          <x14:formula1>
            <xm:f>Inputs!$D$3:$D$5</xm:f>
          </x14:formula1>
          <xm:sqref>C35:C36</xm:sqref>
        </x14:dataValidation>
        <x14:dataValidation type="list" allowBlank="1" showInputMessage="1" showErrorMessage="1" xr:uid="{00000000-0002-0000-0200-000003000000}">
          <x14:formula1>
            <xm:f>Inputs!$E$3:$E$6</xm:f>
          </x14:formula1>
          <xm:sqref>D27 H27</xm:sqref>
        </x14:dataValidation>
        <x14:dataValidation type="list" allowBlank="1" showInputMessage="1" showErrorMessage="1" xr:uid="{00000000-0002-0000-0200-000004000000}">
          <x14:formula1>
            <xm:f>Inputs!$F$3:$F$4</xm:f>
          </x14:formula1>
          <xm:sqref>C33</xm:sqref>
        </x14:dataValidation>
        <x14:dataValidation type="list" allowBlank="1" showInputMessage="1" showErrorMessage="1" xr:uid="{00000000-0002-0000-0200-000005000000}">
          <x14:formula1>
            <xm:f>Inputs!$S$1:$S$9</xm:f>
          </x14:formula1>
          <xm:sqref>C6:H6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9" tint="-0.499984740745262"/>
    <pageSetUpPr fitToPage="1"/>
  </sheetPr>
  <dimension ref="A1:V105"/>
  <sheetViews>
    <sheetView topLeftCell="A64" zoomScaleNormal="100" workbookViewId="0">
      <selection activeCell="N14" sqref="N14"/>
    </sheetView>
  </sheetViews>
  <sheetFormatPr defaultRowHeight="15"/>
  <cols>
    <col min="1" max="1" width="17.7109375" customWidth="1"/>
    <col min="2" max="2" width="26.140625" customWidth="1"/>
    <col min="3" max="3" width="19" customWidth="1"/>
    <col min="4" max="4" width="19.85546875" customWidth="1"/>
    <col min="6" max="6" width="18.7109375" customWidth="1"/>
    <col min="8" max="8" width="27.140625" customWidth="1"/>
    <col min="9" max="9" width="8.7109375" customWidth="1"/>
    <col min="11" max="11" width="18.140625" bestFit="1" customWidth="1"/>
    <col min="13" max="13" width="18.28515625" bestFit="1" customWidth="1"/>
    <col min="14" max="14" width="26.28515625" customWidth="1"/>
    <col min="15" max="15" width="18.28515625" bestFit="1" customWidth="1"/>
    <col min="17" max="17" width="18.28515625" bestFit="1" customWidth="1"/>
    <col min="20" max="20" width="24.28515625" customWidth="1"/>
    <col min="29" max="29" width="21" bestFit="1" customWidth="1"/>
    <col min="31" max="31" width="21.28515625" bestFit="1" customWidth="1"/>
    <col min="33" max="33" width="21" bestFit="1" customWidth="1"/>
    <col min="35" max="35" width="21" bestFit="1" customWidth="1"/>
    <col min="36" max="36" width="15.85546875" customWidth="1"/>
  </cols>
  <sheetData>
    <row r="1" spans="1:22">
      <c r="A1" s="3" t="s">
        <v>1</v>
      </c>
      <c r="B1" s="3"/>
    </row>
    <row r="3" spans="1:22" ht="15.75" thickBot="1">
      <c r="A3" s="250" t="s">
        <v>350</v>
      </c>
      <c r="B3" s="250"/>
      <c r="C3" s="250"/>
      <c r="D3" s="250"/>
      <c r="E3" s="250"/>
      <c r="F3" s="250"/>
      <c r="G3" s="250"/>
      <c r="H3" s="250"/>
      <c r="I3" s="250"/>
      <c r="J3" s="250"/>
      <c r="K3" s="250"/>
      <c r="L3" s="250"/>
      <c r="M3" s="250"/>
      <c r="N3" s="250"/>
      <c r="O3" s="250"/>
      <c r="P3" s="250"/>
      <c r="Q3" s="250"/>
      <c r="R3" s="250"/>
      <c r="S3" s="250"/>
      <c r="T3" s="250"/>
      <c r="U3" s="250"/>
      <c r="V3" s="250"/>
    </row>
    <row r="4" spans="1:22">
      <c r="A4" s="2" t="s">
        <v>75</v>
      </c>
      <c r="B4" s="2"/>
      <c r="C4" s="2"/>
      <c r="D4" s="2" t="s">
        <v>74</v>
      </c>
      <c r="E4" s="2"/>
      <c r="F4" s="214"/>
      <c r="G4" s="215"/>
      <c r="H4" s="215" t="s">
        <v>411</v>
      </c>
      <c r="I4" s="215"/>
      <c r="J4" s="216"/>
      <c r="K4" s="2"/>
      <c r="L4" s="214"/>
      <c r="M4" s="215"/>
      <c r="N4" s="215" t="s">
        <v>412</v>
      </c>
      <c r="O4" s="215"/>
      <c r="P4" s="216"/>
      <c r="Q4" s="2"/>
      <c r="R4" s="214"/>
      <c r="S4" s="215"/>
      <c r="T4" s="215" t="s">
        <v>413</v>
      </c>
      <c r="U4" s="215"/>
      <c r="V4" s="216"/>
    </row>
    <row r="5" spans="1:22">
      <c r="A5" s="2"/>
      <c r="B5" s="2"/>
      <c r="C5" s="2"/>
      <c r="D5" s="2"/>
      <c r="E5" s="2"/>
      <c r="F5" s="217"/>
      <c r="G5" s="218"/>
      <c r="H5" s="218"/>
      <c r="I5" s="218"/>
      <c r="J5" s="219"/>
      <c r="K5" s="2"/>
      <c r="L5" s="217"/>
      <c r="M5" s="218"/>
      <c r="N5" s="218"/>
      <c r="O5" s="218"/>
      <c r="P5" s="219"/>
      <c r="Q5" s="2"/>
      <c r="R5" s="217"/>
      <c r="S5" s="218"/>
      <c r="T5" s="218"/>
      <c r="U5" s="218"/>
      <c r="V5" s="219"/>
    </row>
    <row r="6" spans="1:22">
      <c r="A6" s="2" t="s">
        <v>190</v>
      </c>
      <c r="B6" s="2"/>
      <c r="C6" s="2"/>
      <c r="D6" s="186">
        <f>Inputs!J3</f>
        <v>4</v>
      </c>
      <c r="E6" s="2"/>
      <c r="F6" s="217"/>
      <c r="G6" s="218"/>
      <c r="H6" s="220">
        <f>COUNTIF($H$19:$H$35,"Planning/Discovery")</f>
        <v>4</v>
      </c>
      <c r="I6" s="218"/>
      <c r="J6" s="219"/>
      <c r="K6" s="2"/>
      <c r="L6" s="217"/>
      <c r="M6" s="218"/>
      <c r="N6" s="220">
        <f>COUNTIF($H$19:$H$35,"Planning/Discovery")</f>
        <v>4</v>
      </c>
      <c r="O6" s="218"/>
      <c r="P6" s="219"/>
      <c r="Q6" s="2"/>
      <c r="R6" s="217"/>
      <c r="S6" s="218"/>
      <c r="T6" s="220">
        <f>COUNTIF($H$19:$H$35,"Planning/Discovery")</f>
        <v>4</v>
      </c>
      <c r="U6" s="218"/>
      <c r="V6" s="219"/>
    </row>
    <row r="7" spans="1:22">
      <c r="A7" s="2"/>
      <c r="B7" s="2"/>
      <c r="C7" s="2"/>
      <c r="D7" s="2"/>
      <c r="E7" s="2"/>
      <c r="F7" s="217"/>
      <c r="G7" s="218"/>
      <c r="H7" s="218"/>
      <c r="I7" s="218"/>
      <c r="J7" s="219"/>
      <c r="K7" s="2"/>
      <c r="L7" s="217"/>
      <c r="M7" s="218"/>
      <c r="N7" s="218"/>
      <c r="O7" s="218"/>
      <c r="P7" s="219"/>
      <c r="Q7" s="2"/>
      <c r="R7" s="217"/>
      <c r="S7" s="218"/>
      <c r="T7" s="218"/>
      <c r="U7" s="218"/>
      <c r="V7" s="219"/>
    </row>
    <row r="8" spans="1:22">
      <c r="A8" s="2" t="s">
        <v>73</v>
      </c>
      <c r="B8" s="2"/>
      <c r="C8" s="2"/>
      <c r="D8" s="186">
        <f>Inputs!J4</f>
        <v>0</v>
      </c>
      <c r="E8" s="2"/>
      <c r="F8" s="217"/>
      <c r="G8" s="218"/>
      <c r="H8" s="220">
        <f>COUNTIF($H$19:$H$35,"Onboarding")</f>
        <v>0</v>
      </c>
      <c r="I8" s="218"/>
      <c r="J8" s="219"/>
      <c r="K8" s="2"/>
      <c r="L8" s="217"/>
      <c r="M8" s="218"/>
      <c r="N8" s="220">
        <f>COUNTIF($H$19:$H$35,"Onboarding")</f>
        <v>0</v>
      </c>
      <c r="O8" s="218"/>
      <c r="P8" s="219"/>
      <c r="Q8" s="2"/>
      <c r="R8" s="217"/>
      <c r="S8" s="218"/>
      <c r="T8" s="220">
        <f>COUNTIF($H$19:$H$35,"Onboarding")</f>
        <v>0</v>
      </c>
      <c r="U8" s="218"/>
      <c r="V8" s="219"/>
    </row>
    <row r="9" spans="1:22">
      <c r="A9" s="2"/>
      <c r="B9" s="2"/>
      <c r="C9" s="2"/>
      <c r="D9" s="2"/>
      <c r="E9" s="2"/>
      <c r="F9" s="217"/>
      <c r="G9" s="218"/>
      <c r="H9" s="218"/>
      <c r="I9" s="218"/>
      <c r="J9" s="219"/>
      <c r="K9" s="2"/>
      <c r="L9" s="217"/>
      <c r="M9" s="218"/>
      <c r="N9" s="218"/>
      <c r="O9" s="218"/>
      <c r="P9" s="219"/>
      <c r="Q9" s="2"/>
      <c r="R9" s="217"/>
      <c r="S9" s="218"/>
      <c r="T9" s="218"/>
      <c r="U9" s="218"/>
      <c r="V9" s="219"/>
    </row>
    <row r="10" spans="1:22">
      <c r="A10" s="2" t="s">
        <v>72</v>
      </c>
      <c r="B10" s="2"/>
      <c r="C10" s="2"/>
      <c r="D10" s="186">
        <f>Inputs!J5</f>
        <v>9</v>
      </c>
      <c r="E10" s="2"/>
      <c r="F10" s="217"/>
      <c r="G10" s="218"/>
      <c r="H10" s="220">
        <f>COUNTIF($H$19:$H$35,"Active")</f>
        <v>9</v>
      </c>
      <c r="I10" s="218"/>
      <c r="J10" s="219"/>
      <c r="K10" s="2"/>
      <c r="L10" s="217"/>
      <c r="M10" s="218"/>
      <c r="N10" s="220">
        <f>COUNTIF($H$19:$H$35,"Active")</f>
        <v>9</v>
      </c>
      <c r="O10" s="218"/>
      <c r="P10" s="219"/>
      <c r="Q10" s="2"/>
      <c r="R10" s="217"/>
      <c r="S10" s="218"/>
      <c r="T10" s="220">
        <f>COUNTIF($H$19:$H$35,"Active")</f>
        <v>9</v>
      </c>
      <c r="U10" s="218"/>
      <c r="V10" s="219"/>
    </row>
    <row r="11" spans="1:22">
      <c r="A11" s="2"/>
      <c r="B11" s="2"/>
      <c r="C11" s="2"/>
      <c r="D11" s="2"/>
      <c r="E11" s="2"/>
      <c r="F11" s="217"/>
      <c r="G11" s="218"/>
      <c r="H11" s="218"/>
      <c r="I11" s="218"/>
      <c r="J11" s="219"/>
      <c r="K11" s="2"/>
      <c r="L11" s="217"/>
      <c r="M11" s="218"/>
      <c r="N11" s="218"/>
      <c r="O11" s="218"/>
      <c r="P11" s="219"/>
      <c r="Q11" s="2"/>
      <c r="R11" s="217"/>
      <c r="S11" s="218"/>
      <c r="T11" s="218"/>
      <c r="U11" s="218"/>
      <c r="V11" s="219"/>
    </row>
    <row r="12" spans="1:22">
      <c r="A12" s="2" t="s">
        <v>191</v>
      </c>
      <c r="B12" s="2"/>
      <c r="C12" s="2"/>
      <c r="D12" s="186">
        <f>Inputs!J6</f>
        <v>0</v>
      </c>
      <c r="E12" s="2"/>
      <c r="F12" s="217"/>
      <c r="G12" s="218"/>
      <c r="H12" s="220">
        <f>COUNTIF($H$19:$H$35,"Export/Retirement")</f>
        <v>0</v>
      </c>
      <c r="I12" s="218"/>
      <c r="J12" s="219"/>
      <c r="K12" s="2"/>
      <c r="L12" s="217"/>
      <c r="M12" s="218"/>
      <c r="N12" s="220">
        <f>COUNTIF($H$19:$H$35,"Export/Retirement")</f>
        <v>0</v>
      </c>
      <c r="O12" s="218"/>
      <c r="P12" s="219"/>
      <c r="Q12" s="2"/>
      <c r="R12" s="217"/>
      <c r="S12" s="218"/>
      <c r="T12" s="220">
        <f>COUNTIF($H$19:$H$35,"Export/Retirement")</f>
        <v>0</v>
      </c>
      <c r="U12" s="218"/>
      <c r="V12" s="219"/>
    </row>
    <row r="13" spans="1:22">
      <c r="A13" s="2"/>
      <c r="B13" s="2"/>
      <c r="C13" s="2"/>
      <c r="D13" s="2"/>
      <c r="E13" s="2"/>
      <c r="F13" s="217"/>
      <c r="G13" s="218"/>
      <c r="H13" s="218"/>
      <c r="I13" s="218"/>
      <c r="J13" s="219"/>
      <c r="K13" s="2"/>
      <c r="L13" s="217"/>
      <c r="M13" s="218"/>
      <c r="N13" s="218"/>
      <c r="O13" s="218"/>
      <c r="P13" s="219"/>
      <c r="Q13" s="2"/>
      <c r="R13" s="217"/>
      <c r="S13" s="218"/>
      <c r="T13" s="218"/>
      <c r="U13" s="218"/>
      <c r="V13" s="219"/>
    </row>
    <row r="14" spans="1:22">
      <c r="A14" s="2" t="s">
        <v>203</v>
      </c>
      <c r="B14" s="2"/>
      <c r="C14" s="2"/>
      <c r="D14" s="2" t="s">
        <v>23</v>
      </c>
      <c r="E14" s="2"/>
      <c r="F14" s="217"/>
      <c r="G14" s="218"/>
      <c r="H14" s="218" t="s">
        <v>358</v>
      </c>
      <c r="I14" s="218"/>
      <c r="J14" s="219"/>
      <c r="K14" s="2"/>
      <c r="L14" s="217"/>
      <c r="M14" s="218"/>
      <c r="N14" s="218" t="s">
        <v>358</v>
      </c>
      <c r="O14" s="218"/>
      <c r="P14" s="219"/>
      <c r="Q14" s="2"/>
      <c r="R14" s="217"/>
      <c r="S14" s="218"/>
      <c r="T14" s="218" t="s">
        <v>358</v>
      </c>
      <c r="U14" s="218"/>
      <c r="V14" s="219"/>
    </row>
    <row r="15" spans="1:22">
      <c r="A15" s="2" t="s">
        <v>339</v>
      </c>
      <c r="B15" s="2"/>
      <c r="C15" s="2"/>
      <c r="D15" s="187">
        <f>'Other Overhead C '!C17</f>
        <v>0.75</v>
      </c>
      <c r="E15" s="2" t="s">
        <v>341</v>
      </c>
      <c r="F15" s="217"/>
      <c r="G15" s="218"/>
      <c r="H15" s="58">
        <v>0.75</v>
      </c>
      <c r="I15" s="218" t="s">
        <v>341</v>
      </c>
      <c r="J15" s="219"/>
      <c r="K15" s="2"/>
      <c r="L15" s="217"/>
      <c r="M15" s="218"/>
      <c r="N15" s="58">
        <v>0.75</v>
      </c>
      <c r="O15" s="218" t="s">
        <v>341</v>
      </c>
      <c r="P15" s="219"/>
      <c r="Q15" s="2"/>
      <c r="R15" s="217"/>
      <c r="S15" s="218"/>
      <c r="T15" s="58">
        <v>0.75</v>
      </c>
      <c r="U15" s="218" t="s">
        <v>341</v>
      </c>
      <c r="V15" s="219"/>
    </row>
    <row r="16" spans="1:22">
      <c r="A16" s="2" t="s">
        <v>340</v>
      </c>
      <c r="B16" s="2"/>
      <c r="C16" s="2"/>
      <c r="D16" s="187">
        <f>'Other Overhead C '!C18</f>
        <v>0.75</v>
      </c>
      <c r="E16" s="2" t="s">
        <v>341</v>
      </c>
      <c r="F16" s="217"/>
      <c r="G16" s="218"/>
      <c r="H16" s="58">
        <v>0.75</v>
      </c>
      <c r="I16" s="218" t="s">
        <v>341</v>
      </c>
      <c r="J16" s="219"/>
      <c r="K16" s="2"/>
      <c r="L16" s="217"/>
      <c r="M16" s="218"/>
      <c r="N16" s="58">
        <v>0.75</v>
      </c>
      <c r="O16" s="218" t="s">
        <v>341</v>
      </c>
      <c r="P16" s="219"/>
      <c r="Q16" s="2"/>
      <c r="R16" s="217"/>
      <c r="S16" s="218"/>
      <c r="T16" s="58">
        <v>0.75</v>
      </c>
      <c r="U16" s="218" t="s">
        <v>341</v>
      </c>
      <c r="V16" s="219"/>
    </row>
    <row r="17" spans="1:22">
      <c r="A17" s="2"/>
      <c r="B17" s="2"/>
      <c r="C17" s="2"/>
      <c r="D17" s="2"/>
      <c r="E17" s="2"/>
      <c r="F17" s="217"/>
      <c r="G17" s="218"/>
      <c r="H17" s="218"/>
      <c r="I17" s="218"/>
      <c r="J17" s="219"/>
      <c r="K17" s="2"/>
      <c r="L17" s="217"/>
      <c r="M17" s="218"/>
      <c r="N17" s="218"/>
      <c r="O17" s="218"/>
      <c r="P17" s="219"/>
      <c r="Q17" s="2"/>
      <c r="R17" s="217"/>
      <c r="S17" s="218"/>
      <c r="T17" s="218"/>
      <c r="U17" s="218"/>
      <c r="V17" s="219"/>
    </row>
    <row r="18" spans="1:22">
      <c r="A18" s="2" t="s">
        <v>348</v>
      </c>
      <c r="B18" s="2"/>
      <c r="C18" s="2"/>
      <c r="D18" s="2" t="s">
        <v>23</v>
      </c>
      <c r="E18" s="2"/>
      <c r="F18" s="217" t="s">
        <v>356</v>
      </c>
      <c r="G18" s="218"/>
      <c r="H18" s="218" t="s">
        <v>357</v>
      </c>
      <c r="I18" s="218"/>
      <c r="J18" s="219" t="s">
        <v>364</v>
      </c>
      <c r="K18" s="2"/>
      <c r="L18" s="217" t="s">
        <v>356</v>
      </c>
      <c r="M18" s="218"/>
      <c r="N18" s="218" t="s">
        <v>357</v>
      </c>
      <c r="O18" s="218"/>
      <c r="P18" s="219" t="s">
        <v>364</v>
      </c>
      <c r="Q18" s="2"/>
      <c r="R18" s="217" t="s">
        <v>356</v>
      </c>
      <c r="S18" s="218"/>
      <c r="T18" s="218" t="s">
        <v>357</v>
      </c>
      <c r="U18" s="218"/>
      <c r="V18" s="219" t="s">
        <v>364</v>
      </c>
    </row>
    <row r="19" spans="1:22">
      <c r="A19" s="2" t="str">
        <f t="shared" ref="A19:A35" si="0">A72</f>
        <v>CVP-NYC</v>
      </c>
      <c r="B19" s="2"/>
      <c r="C19" s="2"/>
      <c r="D19" s="186" t="str">
        <f>Inputs!C14</f>
        <v>Planning/Discovery</v>
      </c>
      <c r="E19" s="2"/>
      <c r="F19" s="221" t="s">
        <v>216</v>
      </c>
      <c r="G19" s="218"/>
      <c r="H19" s="58" t="s">
        <v>95</v>
      </c>
      <c r="I19" s="218"/>
      <c r="J19" s="222"/>
      <c r="K19" s="2" t="s">
        <v>361</v>
      </c>
      <c r="L19" s="221" t="str">
        <f>F19</f>
        <v>None</v>
      </c>
      <c r="M19" s="218"/>
      <c r="N19" s="58" t="s">
        <v>95</v>
      </c>
      <c r="O19" s="218"/>
      <c r="P19" s="222">
        <v>1</v>
      </c>
      <c r="Q19" s="2"/>
      <c r="R19" s="221" t="str">
        <f>L19</f>
        <v>None</v>
      </c>
      <c r="S19" s="218"/>
      <c r="T19" s="58" t="str">
        <f>N19</f>
        <v>Planning/Discovery</v>
      </c>
      <c r="U19" s="218"/>
      <c r="V19" s="222"/>
    </row>
    <row r="20" spans="1:22">
      <c r="A20" s="2" t="str">
        <f t="shared" si="0"/>
        <v>CVP-THEA</v>
      </c>
      <c r="B20" s="2"/>
      <c r="C20" s="2"/>
      <c r="D20" s="186" t="str">
        <f>Inputs!C15</f>
        <v>Active</v>
      </c>
      <c r="E20" s="2"/>
      <c r="F20" s="221" t="s">
        <v>216</v>
      </c>
      <c r="G20" s="218"/>
      <c r="H20" s="58" t="s">
        <v>8</v>
      </c>
      <c r="I20" s="218"/>
      <c r="J20" s="222"/>
      <c r="K20" s="2"/>
      <c r="L20" s="221" t="str">
        <f t="shared" ref="L20:L35" si="1">F20</f>
        <v>None</v>
      </c>
      <c r="M20" s="218"/>
      <c r="N20" s="58" t="str">
        <f t="shared" ref="N20:N35" si="2">H20</f>
        <v>Active</v>
      </c>
      <c r="O20" s="218"/>
      <c r="P20" s="222"/>
      <c r="Q20" s="2"/>
      <c r="R20" s="221" t="str">
        <f t="shared" ref="R20:R35" si="3">L20</f>
        <v>None</v>
      </c>
      <c r="S20" s="218"/>
      <c r="T20" s="58" t="str">
        <f t="shared" ref="T20:T35" si="4">N20</f>
        <v>Active</v>
      </c>
      <c r="U20" s="218"/>
      <c r="V20" s="222"/>
    </row>
    <row r="21" spans="1:22">
      <c r="A21" s="2" t="str">
        <f t="shared" si="0"/>
        <v>CVP-WYDOT</v>
      </c>
      <c r="B21" s="2"/>
      <c r="C21" s="2"/>
      <c r="D21" s="186" t="str">
        <f>Inputs!C16</f>
        <v>Active</v>
      </c>
      <c r="E21" s="2"/>
      <c r="F21" s="221" t="s">
        <v>216</v>
      </c>
      <c r="G21" s="218"/>
      <c r="H21" s="58" t="s">
        <v>8</v>
      </c>
      <c r="I21" s="218"/>
      <c r="J21" s="222"/>
      <c r="K21" s="2"/>
      <c r="L21" s="221" t="str">
        <f t="shared" si="1"/>
        <v>None</v>
      </c>
      <c r="M21" s="218"/>
      <c r="N21" s="58" t="str">
        <f t="shared" si="2"/>
        <v>Active</v>
      </c>
      <c r="O21" s="218"/>
      <c r="P21" s="222"/>
      <c r="Q21" s="2"/>
      <c r="R21" s="221" t="str">
        <f t="shared" si="3"/>
        <v>None</v>
      </c>
      <c r="S21" s="218"/>
      <c r="T21" s="58" t="str">
        <f t="shared" si="4"/>
        <v>Active</v>
      </c>
      <c r="U21" s="218"/>
      <c r="V21" s="222"/>
    </row>
    <row r="22" spans="1:22">
      <c r="A22" s="2" t="str">
        <f t="shared" si="0"/>
        <v>CVP-Volpe-IE</v>
      </c>
      <c r="B22" s="2"/>
      <c r="C22" s="2"/>
      <c r="D22" s="186" t="str">
        <f>Inputs!C17</f>
        <v>Active</v>
      </c>
      <c r="E22" s="2"/>
      <c r="F22" s="221" t="str">
        <f>Inputs!P17</f>
        <v>None</v>
      </c>
      <c r="G22" s="218"/>
      <c r="H22" s="58" t="str">
        <f t="shared" ref="H22:H35" si="5">D22</f>
        <v>Active</v>
      </c>
      <c r="I22" s="218"/>
      <c r="J22" s="222"/>
      <c r="K22" s="2"/>
      <c r="L22" s="221" t="str">
        <f t="shared" si="1"/>
        <v>None</v>
      </c>
      <c r="M22" s="218"/>
      <c r="N22" s="58" t="str">
        <f t="shared" si="2"/>
        <v>Active</v>
      </c>
      <c r="O22" s="218"/>
      <c r="P22" s="222"/>
      <c r="Q22" s="2"/>
      <c r="R22" s="221" t="str">
        <f t="shared" si="3"/>
        <v>None</v>
      </c>
      <c r="S22" s="218"/>
      <c r="T22" s="58" t="str">
        <f t="shared" si="4"/>
        <v>Active</v>
      </c>
      <c r="U22" s="218"/>
      <c r="V22" s="222"/>
    </row>
    <row r="23" spans="1:22">
      <c r="A23" s="2" t="str">
        <f t="shared" si="0"/>
        <v>CVP-TTI-IE</v>
      </c>
      <c r="B23" s="2"/>
      <c r="C23" s="2"/>
      <c r="D23" s="186" t="str">
        <f>Inputs!C18</f>
        <v>Active</v>
      </c>
      <c r="E23" s="2"/>
      <c r="F23" s="221" t="str">
        <f>Inputs!P18</f>
        <v>None</v>
      </c>
      <c r="G23" s="218"/>
      <c r="H23" s="58" t="str">
        <f t="shared" si="5"/>
        <v>Active</v>
      </c>
      <c r="I23" s="218"/>
      <c r="J23" s="222"/>
      <c r="K23" s="2"/>
      <c r="L23" s="221" t="str">
        <f t="shared" si="1"/>
        <v>None</v>
      </c>
      <c r="M23" s="218"/>
      <c r="N23" s="58" t="str">
        <f t="shared" si="2"/>
        <v>Active</v>
      </c>
      <c r="O23" s="218"/>
      <c r="P23" s="222"/>
      <c r="Q23" s="2"/>
      <c r="R23" s="221" t="str">
        <f t="shared" si="3"/>
        <v>None</v>
      </c>
      <c r="S23" s="218"/>
      <c r="T23" s="58" t="str">
        <f t="shared" si="4"/>
        <v>Active</v>
      </c>
      <c r="U23" s="218"/>
      <c r="V23" s="222"/>
    </row>
    <row r="24" spans="1:22">
      <c r="A24" s="2" t="str">
        <f t="shared" si="0"/>
        <v>CARMA3-FMCSA</v>
      </c>
      <c r="B24" s="2"/>
      <c r="C24" s="2"/>
      <c r="D24" s="186" t="str">
        <f>Inputs!C19</f>
        <v>Planning/Discovery</v>
      </c>
      <c r="E24" s="2"/>
      <c r="F24" s="221" t="str">
        <f>Inputs!P19</f>
        <v>None</v>
      </c>
      <c r="G24" s="218"/>
      <c r="H24" s="58" t="str">
        <f t="shared" si="5"/>
        <v>Planning/Discovery</v>
      </c>
      <c r="I24" s="218"/>
      <c r="J24" s="222"/>
      <c r="K24" s="2"/>
      <c r="L24" s="221" t="str">
        <f t="shared" si="1"/>
        <v>None</v>
      </c>
      <c r="M24" s="218"/>
      <c r="N24" s="58" t="str">
        <f t="shared" si="2"/>
        <v>Planning/Discovery</v>
      </c>
      <c r="O24" s="218"/>
      <c r="P24" s="222"/>
      <c r="Q24" s="2"/>
      <c r="R24" s="221" t="str">
        <f t="shared" si="3"/>
        <v>None</v>
      </c>
      <c r="S24" s="218"/>
      <c r="T24" s="58" t="str">
        <f t="shared" si="4"/>
        <v>Planning/Discovery</v>
      </c>
      <c r="U24" s="218"/>
      <c r="V24" s="222"/>
    </row>
    <row r="25" spans="1:22">
      <c r="A25" s="2" t="str">
        <f t="shared" si="0"/>
        <v>CARMA-FHWA</v>
      </c>
      <c r="B25" s="2"/>
      <c r="C25" s="2"/>
      <c r="D25" s="186" t="str">
        <f>Inputs!C20</f>
        <v>Planning/Discovery</v>
      </c>
      <c r="E25" s="2"/>
      <c r="F25" s="221" t="str">
        <f>Inputs!P20</f>
        <v>None</v>
      </c>
      <c r="G25" s="218"/>
      <c r="H25" s="58" t="str">
        <f t="shared" si="5"/>
        <v>Planning/Discovery</v>
      </c>
      <c r="I25" s="218"/>
      <c r="J25" s="222"/>
      <c r="K25" s="2"/>
      <c r="L25" s="221" t="str">
        <f t="shared" si="1"/>
        <v>None</v>
      </c>
      <c r="M25" s="218"/>
      <c r="N25" s="58" t="str">
        <f t="shared" si="2"/>
        <v>Planning/Discovery</v>
      </c>
      <c r="O25" s="218"/>
      <c r="P25" s="222"/>
      <c r="Q25" s="2"/>
      <c r="R25" s="221" t="str">
        <f t="shared" si="3"/>
        <v>None</v>
      </c>
      <c r="S25" s="218"/>
      <c r="T25" s="58" t="str">
        <f t="shared" si="4"/>
        <v>Planning/Discovery</v>
      </c>
      <c r="U25" s="218"/>
      <c r="V25" s="222"/>
    </row>
    <row r="26" spans="1:22">
      <c r="A26" s="2" t="str">
        <f t="shared" si="0"/>
        <v>FMI-ATRI</v>
      </c>
      <c r="B26" s="2"/>
      <c r="C26" s="2"/>
      <c r="D26" s="186" t="str">
        <f>Inputs!C21</f>
        <v>Active</v>
      </c>
      <c r="E26" s="2"/>
      <c r="F26" s="221" t="str">
        <f>Inputs!P21</f>
        <v>None</v>
      </c>
      <c r="G26" s="218"/>
      <c r="H26" s="58" t="str">
        <f t="shared" si="5"/>
        <v>Active</v>
      </c>
      <c r="I26" s="218"/>
      <c r="J26" s="222"/>
      <c r="K26" s="2"/>
      <c r="L26" s="221" t="str">
        <f t="shared" si="1"/>
        <v>None</v>
      </c>
      <c r="M26" s="218"/>
      <c r="N26" s="58" t="str">
        <f t="shared" si="2"/>
        <v>Active</v>
      </c>
      <c r="O26" s="218"/>
      <c r="P26" s="222"/>
      <c r="Q26" s="2"/>
      <c r="R26" s="221" t="str">
        <f t="shared" si="3"/>
        <v>None</v>
      </c>
      <c r="S26" s="218"/>
      <c r="T26" s="58" t="str">
        <f t="shared" si="4"/>
        <v>Active</v>
      </c>
      <c r="U26" s="218"/>
      <c r="V26" s="222"/>
    </row>
    <row r="27" spans="1:22">
      <c r="A27" s="2" t="str">
        <f t="shared" si="0"/>
        <v>FMI-BTS</v>
      </c>
      <c r="B27" s="2"/>
      <c r="C27" s="2"/>
      <c r="D27" s="186" t="str">
        <f>Inputs!C22</f>
        <v>Active</v>
      </c>
      <c r="E27" s="2"/>
      <c r="F27" s="221" t="str">
        <f>Inputs!P22</f>
        <v>None</v>
      </c>
      <c r="G27" s="218"/>
      <c r="H27" s="58" t="str">
        <f t="shared" si="5"/>
        <v>Active</v>
      </c>
      <c r="I27" s="218"/>
      <c r="J27" s="222"/>
      <c r="K27" s="2"/>
      <c r="L27" s="221" t="str">
        <f t="shared" si="1"/>
        <v>None</v>
      </c>
      <c r="M27" s="218"/>
      <c r="N27" s="58" t="str">
        <f t="shared" si="2"/>
        <v>Active</v>
      </c>
      <c r="O27" s="218"/>
      <c r="P27" s="222"/>
      <c r="Q27" s="2"/>
      <c r="R27" s="221" t="str">
        <f t="shared" si="3"/>
        <v>None</v>
      </c>
      <c r="S27" s="218"/>
      <c r="T27" s="58" t="str">
        <f t="shared" si="4"/>
        <v>Active</v>
      </c>
      <c r="U27" s="218"/>
      <c r="V27" s="222"/>
    </row>
    <row r="28" spans="1:22">
      <c r="A28" s="2" t="str">
        <f t="shared" si="0"/>
        <v>FTA-DA</v>
      </c>
      <c r="B28" s="2"/>
      <c r="C28" s="2"/>
      <c r="D28" s="186" t="str">
        <f>Inputs!C23</f>
        <v>Active</v>
      </c>
      <c r="E28" s="2"/>
      <c r="F28" s="221" t="str">
        <f>Inputs!P23</f>
        <v>None</v>
      </c>
      <c r="G28" s="218"/>
      <c r="H28" s="58" t="str">
        <f t="shared" si="5"/>
        <v>Active</v>
      </c>
      <c r="I28" s="218"/>
      <c r="J28" s="222"/>
      <c r="K28" s="2"/>
      <c r="L28" s="221" t="str">
        <f t="shared" si="1"/>
        <v>None</v>
      </c>
      <c r="M28" s="218"/>
      <c r="N28" s="58" t="str">
        <f t="shared" si="2"/>
        <v>Active</v>
      </c>
      <c r="O28" s="218"/>
      <c r="P28" s="222"/>
      <c r="Q28" s="2"/>
      <c r="R28" s="221" t="str">
        <f t="shared" si="3"/>
        <v>None</v>
      </c>
      <c r="S28" s="218"/>
      <c r="T28" s="58" t="str">
        <f t="shared" si="4"/>
        <v>Active</v>
      </c>
      <c r="U28" s="218"/>
      <c r="V28" s="222"/>
    </row>
    <row r="29" spans="1:22">
      <c r="A29" s="2" t="str">
        <f t="shared" si="0"/>
        <v>MOD 2.0</v>
      </c>
      <c r="B29" s="2"/>
      <c r="C29" s="2"/>
      <c r="D29" s="186" t="str">
        <f>Inputs!C24</f>
        <v>Prospective</v>
      </c>
      <c r="E29" s="2"/>
      <c r="F29" s="221" t="str">
        <f>Inputs!P24</f>
        <v>None</v>
      </c>
      <c r="G29" s="218"/>
      <c r="H29" s="58" t="str">
        <f t="shared" si="5"/>
        <v>Prospective</v>
      </c>
      <c r="I29" s="218"/>
      <c r="J29" s="222"/>
      <c r="K29" s="2"/>
      <c r="L29" s="221" t="str">
        <f t="shared" si="1"/>
        <v>None</v>
      </c>
      <c r="M29" s="218"/>
      <c r="N29" s="58" t="str">
        <f t="shared" si="2"/>
        <v>Prospective</v>
      </c>
      <c r="O29" s="218"/>
      <c r="P29" s="222"/>
      <c r="Q29" s="2"/>
      <c r="R29" s="221" t="str">
        <f t="shared" si="3"/>
        <v>None</v>
      </c>
      <c r="S29" s="218"/>
      <c r="T29" s="58" t="str">
        <f t="shared" si="4"/>
        <v>Prospective</v>
      </c>
      <c r="U29" s="218"/>
      <c r="V29" s="222"/>
    </row>
    <row r="30" spans="1:22">
      <c r="A30" s="2" t="str">
        <f t="shared" si="0"/>
        <v xml:space="preserve">MPI </v>
      </c>
      <c r="B30" s="2"/>
      <c r="C30" s="2"/>
      <c r="D30" s="186" t="str">
        <f>Inputs!C25</f>
        <v>Prospective</v>
      </c>
      <c r="E30" s="2"/>
      <c r="F30" s="221" t="str">
        <f>Inputs!P25</f>
        <v>None</v>
      </c>
      <c r="G30" s="218"/>
      <c r="H30" s="58" t="str">
        <f t="shared" si="5"/>
        <v>Prospective</v>
      </c>
      <c r="I30" s="218"/>
      <c r="J30" s="222"/>
      <c r="K30" s="2"/>
      <c r="L30" s="221" t="str">
        <f t="shared" si="1"/>
        <v>None</v>
      </c>
      <c r="M30" s="218"/>
      <c r="N30" s="58" t="str">
        <f t="shared" si="2"/>
        <v>Prospective</v>
      </c>
      <c r="O30" s="218"/>
      <c r="P30" s="222"/>
      <c r="Q30" s="2"/>
      <c r="R30" s="221" t="str">
        <f t="shared" si="3"/>
        <v>None</v>
      </c>
      <c r="S30" s="218"/>
      <c r="T30" s="58" t="str">
        <f t="shared" si="4"/>
        <v>Prospective</v>
      </c>
      <c r="U30" s="218"/>
      <c r="V30" s="222"/>
    </row>
    <row r="31" spans="1:22">
      <c r="A31" s="2" t="str">
        <f t="shared" si="0"/>
        <v>WAZE-WAZE</v>
      </c>
      <c r="B31" s="2"/>
      <c r="C31" s="2"/>
      <c r="D31" s="186" t="str">
        <f>Inputs!C26</f>
        <v>Active</v>
      </c>
      <c r="E31" s="2"/>
      <c r="F31" s="221" t="str">
        <f>Inputs!P26</f>
        <v>None</v>
      </c>
      <c r="G31" s="218"/>
      <c r="H31" s="58" t="str">
        <f t="shared" si="5"/>
        <v>Active</v>
      </c>
      <c r="I31" s="218"/>
      <c r="J31" s="222"/>
      <c r="K31" s="2"/>
      <c r="L31" s="221" t="str">
        <f t="shared" si="1"/>
        <v>None</v>
      </c>
      <c r="M31" s="218"/>
      <c r="N31" s="58" t="str">
        <f t="shared" si="2"/>
        <v>Active</v>
      </c>
      <c r="O31" s="218"/>
      <c r="P31" s="222"/>
      <c r="Q31" s="2"/>
      <c r="R31" s="221" t="str">
        <f t="shared" si="3"/>
        <v>None</v>
      </c>
      <c r="S31" s="218"/>
      <c r="T31" s="58" t="str">
        <f t="shared" si="4"/>
        <v>Active</v>
      </c>
      <c r="U31" s="218"/>
      <c r="V31" s="222"/>
    </row>
    <row r="32" spans="1:22">
      <c r="A32" s="2" t="str">
        <f t="shared" si="0"/>
        <v>WAZE-SDI</v>
      </c>
      <c r="B32" s="2"/>
      <c r="C32" s="2"/>
      <c r="D32" s="186" t="str">
        <f>Inputs!C27</f>
        <v>Active</v>
      </c>
      <c r="E32" s="2"/>
      <c r="F32" s="221" t="str">
        <f>Inputs!P27</f>
        <v>None</v>
      </c>
      <c r="G32" s="218"/>
      <c r="H32" s="58" t="str">
        <f t="shared" si="5"/>
        <v>Active</v>
      </c>
      <c r="I32" s="218"/>
      <c r="J32" s="222"/>
      <c r="K32" s="2"/>
      <c r="L32" s="221" t="str">
        <f t="shared" si="1"/>
        <v>None</v>
      </c>
      <c r="M32" s="218"/>
      <c r="N32" s="58" t="str">
        <f t="shared" si="2"/>
        <v>Active</v>
      </c>
      <c r="O32" s="218"/>
      <c r="P32" s="222"/>
      <c r="Q32" s="2"/>
      <c r="R32" s="221" t="str">
        <f t="shared" si="3"/>
        <v>None</v>
      </c>
      <c r="S32" s="218"/>
      <c r="T32" s="58" t="str">
        <f t="shared" si="4"/>
        <v>Active</v>
      </c>
      <c r="U32" s="218"/>
      <c r="V32" s="222"/>
    </row>
    <row r="33" spans="1:22">
      <c r="A33" s="2" t="str">
        <f t="shared" si="0"/>
        <v>Smart Columbus Evaluation</v>
      </c>
      <c r="B33" s="2"/>
      <c r="C33" s="2"/>
      <c r="D33" s="186" t="str">
        <f>Inputs!C28</f>
        <v>Planning/Discovery</v>
      </c>
      <c r="E33" s="2"/>
      <c r="F33" s="221" t="str">
        <f>Inputs!P28</f>
        <v>None</v>
      </c>
      <c r="G33" s="218"/>
      <c r="H33" s="58" t="str">
        <f t="shared" si="5"/>
        <v>Planning/Discovery</v>
      </c>
      <c r="I33" s="218"/>
      <c r="J33" s="222"/>
      <c r="K33" s="2"/>
      <c r="L33" s="221" t="str">
        <f t="shared" si="1"/>
        <v>None</v>
      </c>
      <c r="M33" s="218"/>
      <c r="N33" s="58" t="str">
        <f t="shared" si="2"/>
        <v>Planning/Discovery</v>
      </c>
      <c r="O33" s="218"/>
      <c r="P33" s="222"/>
      <c r="Q33" s="2"/>
      <c r="R33" s="221" t="str">
        <f t="shared" si="3"/>
        <v>None</v>
      </c>
      <c r="S33" s="218"/>
      <c r="T33" s="58" t="str">
        <f t="shared" si="4"/>
        <v>Planning/Discovery</v>
      </c>
      <c r="U33" s="218"/>
      <c r="V33" s="222"/>
    </row>
    <row r="34" spans="1:22">
      <c r="A34" s="2" t="str">
        <f t="shared" si="0"/>
        <v>STAR</v>
      </c>
      <c r="B34" s="2"/>
      <c r="C34" s="2"/>
      <c r="D34" s="186" t="str">
        <f>Inputs!C29</f>
        <v>Prospective</v>
      </c>
      <c r="E34" s="2"/>
      <c r="F34" s="221" t="str">
        <f>Inputs!P29</f>
        <v>None</v>
      </c>
      <c r="G34" s="218"/>
      <c r="H34" s="58" t="s">
        <v>78</v>
      </c>
      <c r="I34" s="218"/>
      <c r="J34" s="222"/>
      <c r="K34" s="2"/>
      <c r="L34" s="221" t="str">
        <f t="shared" si="1"/>
        <v>None</v>
      </c>
      <c r="M34" s="218"/>
      <c r="N34" s="58" t="str">
        <f t="shared" si="2"/>
        <v>Prospective</v>
      </c>
      <c r="O34" s="218"/>
      <c r="P34" s="222"/>
      <c r="Q34" s="2"/>
      <c r="R34" s="221" t="str">
        <f t="shared" si="3"/>
        <v>None</v>
      </c>
      <c r="S34" s="218"/>
      <c r="T34" s="58" t="str">
        <f t="shared" si="4"/>
        <v>Prospective</v>
      </c>
      <c r="U34" s="218"/>
      <c r="V34" s="222"/>
    </row>
    <row r="35" spans="1:22">
      <c r="A35" s="2" t="str">
        <f t="shared" si="0"/>
        <v>T-PLAT</v>
      </c>
      <c r="B35" s="2"/>
      <c r="C35" s="2"/>
      <c r="D35" s="186" t="str">
        <f>Inputs!C30</f>
        <v>Prospective</v>
      </c>
      <c r="E35" s="2"/>
      <c r="F35" s="221" t="str">
        <f>Inputs!P30</f>
        <v>None</v>
      </c>
      <c r="G35" s="218"/>
      <c r="H35" s="58" t="str">
        <f t="shared" si="5"/>
        <v>Prospective</v>
      </c>
      <c r="I35" s="218"/>
      <c r="J35" s="222"/>
      <c r="K35" s="2"/>
      <c r="L35" s="221" t="str">
        <f t="shared" si="1"/>
        <v>None</v>
      </c>
      <c r="M35" s="218"/>
      <c r="N35" s="58" t="str">
        <f t="shared" si="2"/>
        <v>Prospective</v>
      </c>
      <c r="O35" s="218"/>
      <c r="P35" s="222"/>
      <c r="Q35" s="2"/>
      <c r="R35" s="221" t="str">
        <f t="shared" si="3"/>
        <v>None</v>
      </c>
      <c r="S35" s="218"/>
      <c r="T35" s="58" t="str">
        <f t="shared" si="4"/>
        <v>Prospective</v>
      </c>
      <c r="U35" s="218"/>
      <c r="V35" s="222"/>
    </row>
    <row r="36" spans="1:22" ht="15.75" thickBot="1">
      <c r="A36" s="2"/>
      <c r="B36" s="2"/>
      <c r="C36" s="2"/>
      <c r="D36" s="2"/>
      <c r="E36" s="2"/>
      <c r="F36" s="223"/>
      <c r="G36" s="224"/>
      <c r="H36" s="224"/>
      <c r="I36" s="224"/>
      <c r="J36" s="225"/>
      <c r="K36" s="2"/>
      <c r="L36" s="223"/>
      <c r="M36" s="224"/>
      <c r="N36" s="224"/>
      <c r="O36" s="224"/>
      <c r="P36" s="225"/>
      <c r="Q36" s="2"/>
      <c r="R36" s="223"/>
      <c r="S36" s="224"/>
      <c r="T36" s="224"/>
      <c r="U36" s="224"/>
      <c r="V36" s="225"/>
    </row>
    <row r="37" spans="1:22">
      <c r="A37" s="2"/>
      <c r="B37" s="2"/>
      <c r="C37" s="2"/>
      <c r="D37" s="2" t="s">
        <v>349</v>
      </c>
      <c r="E37" s="2"/>
      <c r="F37" s="214" t="s">
        <v>362</v>
      </c>
      <c r="G37" s="215"/>
      <c r="H37" s="215"/>
      <c r="I37" s="215"/>
      <c r="J37" s="216"/>
      <c r="K37" s="2"/>
      <c r="L37" s="214" t="s">
        <v>362</v>
      </c>
      <c r="M37" s="215"/>
      <c r="N37" s="215"/>
      <c r="O37" s="215"/>
      <c r="P37" s="216"/>
      <c r="Q37" s="2"/>
      <c r="R37" s="214" t="s">
        <v>362</v>
      </c>
      <c r="S37" s="215"/>
      <c r="T37" s="215"/>
      <c r="U37" s="215"/>
      <c r="V37" s="216"/>
    </row>
    <row r="38" spans="1:22">
      <c r="A38" s="2"/>
      <c r="B38" s="9"/>
      <c r="C38" s="2"/>
      <c r="D38" s="9" t="s">
        <v>95</v>
      </c>
      <c r="E38" s="2"/>
      <c r="F38" s="227">
        <v>0</v>
      </c>
      <c r="G38" s="218"/>
      <c r="H38" s="218"/>
      <c r="I38" s="218"/>
      <c r="J38" s="219"/>
      <c r="K38" s="2"/>
      <c r="L38" s="227">
        <v>0</v>
      </c>
      <c r="M38" s="218"/>
      <c r="N38" s="218"/>
      <c r="O38" s="218"/>
      <c r="P38" s="219"/>
      <c r="Q38" s="2"/>
      <c r="R38" s="227">
        <v>0</v>
      </c>
      <c r="S38" s="218"/>
      <c r="T38" s="218"/>
      <c r="U38" s="218"/>
      <c r="V38" s="219"/>
    </row>
    <row r="39" spans="1:22">
      <c r="A39" s="2"/>
      <c r="B39" s="2"/>
      <c r="C39" s="2"/>
      <c r="D39" s="2" t="s">
        <v>36</v>
      </c>
      <c r="E39" s="2"/>
      <c r="F39" s="227">
        <v>0</v>
      </c>
      <c r="G39" s="218"/>
      <c r="H39" s="218"/>
      <c r="I39" s="218"/>
      <c r="J39" s="219"/>
      <c r="K39" s="2"/>
      <c r="L39" s="227">
        <v>0</v>
      </c>
      <c r="M39" s="218"/>
      <c r="N39" s="218"/>
      <c r="O39" s="218"/>
      <c r="P39" s="219"/>
      <c r="Q39" s="2"/>
      <c r="R39" s="227">
        <v>0</v>
      </c>
      <c r="S39" s="218"/>
      <c r="T39" s="218"/>
      <c r="U39" s="218"/>
      <c r="V39" s="219"/>
    </row>
    <row r="40" spans="1:22">
      <c r="A40" s="2"/>
      <c r="B40" s="2"/>
      <c r="C40" s="2"/>
      <c r="D40" s="2"/>
      <c r="E40" s="2"/>
      <c r="F40" s="217"/>
      <c r="G40" s="218"/>
      <c r="H40" s="218"/>
      <c r="I40" s="218"/>
      <c r="J40" s="219"/>
      <c r="K40" s="2"/>
      <c r="L40" s="217"/>
      <c r="M40" s="218"/>
      <c r="N40" s="218"/>
      <c r="O40" s="218"/>
      <c r="P40" s="219"/>
      <c r="Q40" s="2"/>
      <c r="R40" s="217"/>
      <c r="S40" s="218"/>
      <c r="T40" s="218"/>
      <c r="U40" s="218"/>
      <c r="V40" s="219"/>
    </row>
    <row r="41" spans="1:22">
      <c r="A41" s="2"/>
      <c r="B41" s="2"/>
      <c r="C41" s="2"/>
      <c r="D41" s="2"/>
      <c r="E41" s="2"/>
      <c r="F41" s="217" t="s">
        <v>363</v>
      </c>
      <c r="G41" s="218"/>
      <c r="H41" s="218"/>
      <c r="I41" s="218"/>
      <c r="J41" s="219"/>
      <c r="K41" s="2"/>
      <c r="L41" s="217" t="s">
        <v>363</v>
      </c>
      <c r="M41" s="218"/>
      <c r="N41" s="218"/>
      <c r="O41" s="218"/>
      <c r="P41" s="219"/>
      <c r="Q41" s="2"/>
      <c r="R41" s="217" t="s">
        <v>363</v>
      </c>
      <c r="S41" s="218"/>
      <c r="T41" s="218"/>
      <c r="U41" s="218"/>
      <c r="V41" s="219"/>
    </row>
    <row r="42" spans="1:22">
      <c r="A42" s="2"/>
      <c r="B42" s="2"/>
      <c r="C42" s="2"/>
      <c r="D42" s="2"/>
      <c r="E42" s="2"/>
      <c r="F42" s="217" t="s">
        <v>37</v>
      </c>
      <c r="G42" s="218" t="s">
        <v>38</v>
      </c>
      <c r="H42" s="218" t="s">
        <v>39</v>
      </c>
      <c r="I42" s="218"/>
      <c r="J42" s="219"/>
      <c r="K42" s="2"/>
      <c r="L42" s="217" t="s">
        <v>37</v>
      </c>
      <c r="M42" s="218" t="s">
        <v>38</v>
      </c>
      <c r="N42" s="218" t="s">
        <v>39</v>
      </c>
      <c r="O42" s="218"/>
      <c r="P42" s="219"/>
      <c r="Q42" s="2"/>
      <c r="R42" s="217" t="s">
        <v>37</v>
      </c>
      <c r="S42" s="218" t="s">
        <v>38</v>
      </c>
      <c r="T42" s="218" t="s">
        <v>39</v>
      </c>
      <c r="U42" s="218"/>
      <c r="V42" s="219"/>
    </row>
    <row r="43" spans="1:22">
      <c r="A43" s="2"/>
      <c r="B43" s="2"/>
      <c r="C43" s="2"/>
      <c r="D43" s="2" t="s">
        <v>8</v>
      </c>
      <c r="E43" s="2"/>
      <c r="F43" s="228"/>
      <c r="G43" s="229"/>
      <c r="H43" s="229"/>
      <c r="I43" s="218"/>
      <c r="J43" s="219"/>
      <c r="K43" s="2"/>
      <c r="L43" s="228"/>
      <c r="M43" s="229"/>
      <c r="N43" s="229"/>
      <c r="O43" s="218"/>
      <c r="P43" s="219"/>
      <c r="Q43" s="2"/>
      <c r="R43" s="228"/>
      <c r="S43" s="229"/>
      <c r="T43" s="229"/>
      <c r="U43" s="218"/>
      <c r="V43" s="219"/>
    </row>
    <row r="44" spans="1:22">
      <c r="A44" s="2"/>
      <c r="B44" s="2"/>
      <c r="C44" s="2"/>
      <c r="D44" s="2" t="s">
        <v>351</v>
      </c>
      <c r="E44" s="2"/>
      <c r="F44" s="217"/>
      <c r="G44" s="218"/>
      <c r="H44" s="218"/>
      <c r="I44" s="218"/>
      <c r="J44" s="219"/>
      <c r="K44" s="2"/>
      <c r="L44" s="217"/>
      <c r="M44" s="218"/>
      <c r="N44" s="218"/>
      <c r="O44" s="218"/>
      <c r="P44" s="219"/>
      <c r="Q44" s="2"/>
      <c r="R44" s="217"/>
      <c r="S44" s="218"/>
      <c r="T44" s="218"/>
      <c r="U44" s="218"/>
      <c r="V44" s="219"/>
    </row>
    <row r="45" spans="1:22">
      <c r="A45" s="2"/>
      <c r="B45" s="2"/>
      <c r="C45" s="2"/>
      <c r="D45" s="2"/>
      <c r="E45" s="139" t="s">
        <v>183</v>
      </c>
      <c r="F45" s="217" t="s">
        <v>37</v>
      </c>
      <c r="G45" s="218" t="s">
        <v>38</v>
      </c>
      <c r="H45" s="218" t="s">
        <v>39</v>
      </c>
      <c r="I45" s="218"/>
      <c r="J45" s="219"/>
      <c r="K45" s="2"/>
      <c r="L45" s="217" t="s">
        <v>37</v>
      </c>
      <c r="M45" s="218" t="s">
        <v>38</v>
      </c>
      <c r="N45" s="218" t="s">
        <v>39</v>
      </c>
      <c r="O45" s="218"/>
      <c r="P45" s="219"/>
      <c r="Q45" s="2"/>
      <c r="R45" s="217" t="s">
        <v>37</v>
      </c>
      <c r="S45" s="218" t="s">
        <v>38</v>
      </c>
      <c r="T45" s="218" t="s">
        <v>39</v>
      </c>
      <c r="U45" s="218"/>
      <c r="V45" s="219"/>
    </row>
    <row r="46" spans="1:22">
      <c r="A46" s="2"/>
      <c r="B46" s="2"/>
      <c r="C46" s="2"/>
      <c r="D46" s="2"/>
      <c r="E46" s="139" t="s">
        <v>178</v>
      </c>
      <c r="F46" s="217" t="s">
        <v>37</v>
      </c>
      <c r="G46" s="218" t="s">
        <v>38</v>
      </c>
      <c r="H46" s="218" t="s">
        <v>39</v>
      </c>
      <c r="I46" s="218"/>
      <c r="J46" s="219"/>
      <c r="K46" s="2"/>
      <c r="L46" s="217" t="s">
        <v>37</v>
      </c>
      <c r="M46" s="218" t="s">
        <v>38</v>
      </c>
      <c r="N46" s="218" t="s">
        <v>39</v>
      </c>
      <c r="O46" s="218"/>
      <c r="P46" s="219"/>
      <c r="Q46" s="2"/>
      <c r="R46" s="217" t="s">
        <v>37</v>
      </c>
      <c r="S46" s="218" t="s">
        <v>38</v>
      </c>
      <c r="T46" s="218" t="s">
        <v>39</v>
      </c>
      <c r="U46" s="218"/>
      <c r="V46" s="219"/>
    </row>
    <row r="47" spans="1:22">
      <c r="A47" s="2"/>
      <c r="B47" s="2"/>
      <c r="C47" s="2"/>
      <c r="D47" s="2"/>
      <c r="E47" s="139" t="s">
        <v>184</v>
      </c>
      <c r="F47" s="217" t="s">
        <v>223</v>
      </c>
      <c r="G47" s="218" t="s">
        <v>224</v>
      </c>
      <c r="H47" s="218" t="s">
        <v>225</v>
      </c>
      <c r="I47" s="218"/>
      <c r="J47" s="219"/>
      <c r="K47" s="2"/>
      <c r="L47" s="217" t="s">
        <v>223</v>
      </c>
      <c r="M47" s="218" t="s">
        <v>224</v>
      </c>
      <c r="N47" s="218" t="s">
        <v>225</v>
      </c>
      <c r="O47" s="218"/>
      <c r="P47" s="219"/>
      <c r="Q47" s="2"/>
      <c r="R47" s="217" t="s">
        <v>223</v>
      </c>
      <c r="S47" s="218" t="s">
        <v>224</v>
      </c>
      <c r="T47" s="218" t="s">
        <v>225</v>
      </c>
      <c r="U47" s="218"/>
      <c r="V47" s="219"/>
    </row>
    <row r="48" spans="1:22">
      <c r="A48" s="2"/>
      <c r="B48" s="2"/>
      <c r="C48" s="2"/>
      <c r="D48" s="2"/>
      <c r="E48" s="139" t="s">
        <v>364</v>
      </c>
      <c r="F48" s="230">
        <v>4</v>
      </c>
      <c r="G48" s="231">
        <v>3</v>
      </c>
      <c r="H48" s="231">
        <v>2</v>
      </c>
      <c r="I48" s="218" t="s">
        <v>5</v>
      </c>
      <c r="J48" s="219"/>
      <c r="K48" s="2"/>
      <c r="L48" s="230">
        <v>4</v>
      </c>
      <c r="M48" s="231">
        <v>3</v>
      </c>
      <c r="N48" s="231">
        <v>2</v>
      </c>
      <c r="O48" s="218" t="s">
        <v>5</v>
      </c>
      <c r="P48" s="219"/>
      <c r="Q48" s="2"/>
      <c r="R48" s="230">
        <v>4</v>
      </c>
      <c r="S48" s="231">
        <v>3</v>
      </c>
      <c r="T48" s="231">
        <v>2</v>
      </c>
      <c r="U48" s="218" t="s">
        <v>5</v>
      </c>
      <c r="V48" s="219"/>
    </row>
    <row r="49" spans="1:22" ht="15.75" thickBot="1">
      <c r="A49" s="2"/>
      <c r="B49" s="2"/>
      <c r="C49" s="2"/>
      <c r="D49" s="2"/>
      <c r="E49" s="139" t="s">
        <v>313</v>
      </c>
      <c r="F49" s="232">
        <v>6</v>
      </c>
      <c r="G49" s="233">
        <v>4</v>
      </c>
      <c r="H49" s="233">
        <v>2</v>
      </c>
      <c r="I49" s="224" t="s">
        <v>5</v>
      </c>
      <c r="J49" s="225"/>
      <c r="K49" s="2"/>
      <c r="L49" s="232">
        <v>6</v>
      </c>
      <c r="M49" s="233">
        <v>4</v>
      </c>
      <c r="N49" s="233">
        <v>2</v>
      </c>
      <c r="O49" s="224" t="s">
        <v>5</v>
      </c>
      <c r="P49" s="225"/>
      <c r="Q49" s="2"/>
      <c r="R49" s="232">
        <v>6</v>
      </c>
      <c r="S49" s="233">
        <v>4</v>
      </c>
      <c r="T49" s="233">
        <v>2</v>
      </c>
      <c r="U49" s="224" t="s">
        <v>5</v>
      </c>
      <c r="V49" s="225"/>
    </row>
    <row r="50" spans="1:22">
      <c r="A50" s="2"/>
      <c r="B50" s="2"/>
      <c r="C50" s="2"/>
      <c r="D50" s="2"/>
      <c r="E50" s="2"/>
      <c r="F50" s="2"/>
      <c r="G50" s="2"/>
      <c r="H50" s="2"/>
      <c r="I50" s="2"/>
      <c r="J50" s="2"/>
      <c r="K50" s="2"/>
      <c r="L50" s="2"/>
      <c r="M50" s="2"/>
      <c r="N50" s="2"/>
      <c r="O50" s="2"/>
      <c r="P50" s="2"/>
      <c r="Q50" s="2"/>
      <c r="R50" s="2"/>
      <c r="S50" s="2"/>
      <c r="T50" s="2"/>
      <c r="U50" s="2"/>
      <c r="V50" s="2"/>
    </row>
    <row r="51" spans="1:22">
      <c r="A51" s="2"/>
      <c r="B51" s="2"/>
      <c r="C51" s="2"/>
      <c r="D51" s="2"/>
      <c r="E51" s="2"/>
      <c r="F51" s="2"/>
      <c r="G51" s="2"/>
      <c r="H51" s="2"/>
      <c r="I51" s="2"/>
      <c r="J51" s="2"/>
      <c r="K51" s="2"/>
      <c r="L51" s="2"/>
      <c r="M51" s="2"/>
      <c r="N51" s="2"/>
      <c r="O51" s="2"/>
      <c r="P51" s="2"/>
      <c r="Q51" s="2"/>
      <c r="R51" s="2"/>
      <c r="S51" s="2"/>
      <c r="T51" s="2"/>
      <c r="U51" s="2"/>
      <c r="V51" s="2"/>
    </row>
    <row r="55" spans="1:22">
      <c r="A55" s="240"/>
      <c r="B55" s="240"/>
      <c r="C55" s="240"/>
      <c r="D55" s="240"/>
      <c r="E55" s="240"/>
      <c r="F55" s="250" t="s">
        <v>22</v>
      </c>
      <c r="G55" s="250"/>
      <c r="H55" s="250"/>
      <c r="I55" s="250"/>
      <c r="J55" s="250"/>
      <c r="K55" s="250"/>
      <c r="L55" s="250"/>
      <c r="M55" s="250"/>
      <c r="N55" s="250"/>
      <c r="O55" s="250"/>
      <c r="P55" s="250"/>
      <c r="Q55" s="250"/>
      <c r="R55" s="250"/>
      <c r="S55" s="240"/>
      <c r="T55" s="240"/>
      <c r="U55" s="240"/>
      <c r="V55" s="240"/>
    </row>
    <row r="56" spans="1:22">
      <c r="A56" s="7"/>
      <c r="B56" s="7"/>
      <c r="C56" s="7"/>
      <c r="D56" s="7"/>
      <c r="E56" s="7"/>
      <c r="F56" s="7"/>
      <c r="G56" s="7"/>
      <c r="H56" s="10"/>
      <c r="I56" s="10"/>
      <c r="J56" s="10"/>
      <c r="K56" s="10"/>
      <c r="L56" s="10"/>
      <c r="M56" s="10"/>
      <c r="N56" s="10"/>
      <c r="O56" s="10"/>
      <c r="P56" s="7"/>
      <c r="Q56" s="7"/>
      <c r="R56" s="7"/>
      <c r="S56" s="7"/>
      <c r="T56" s="7"/>
      <c r="U56" s="7"/>
      <c r="V56" s="7"/>
    </row>
    <row r="57" spans="1:22">
      <c r="A57" s="7"/>
      <c r="B57" s="7"/>
      <c r="C57" s="7"/>
      <c r="D57" s="7"/>
      <c r="E57" s="7"/>
      <c r="F57" s="7"/>
      <c r="G57" s="7"/>
      <c r="H57" s="7"/>
      <c r="I57" s="7"/>
      <c r="J57" s="7"/>
      <c r="K57" s="7"/>
      <c r="L57" s="10"/>
      <c r="M57" s="7"/>
      <c r="N57" s="7"/>
      <c r="O57" s="7"/>
      <c r="P57" s="7"/>
      <c r="Q57" s="7"/>
      <c r="R57" s="7"/>
      <c r="S57" s="7"/>
      <c r="T57" s="7"/>
      <c r="U57" s="7"/>
      <c r="V57" s="7"/>
    </row>
    <row r="58" spans="1:22">
      <c r="A58" s="8" t="s">
        <v>338</v>
      </c>
      <c r="B58" s="7"/>
      <c r="C58" s="7"/>
      <c r="D58" s="10" t="s">
        <v>335</v>
      </c>
      <c r="E58" s="7"/>
      <c r="F58" s="7"/>
      <c r="G58" s="7"/>
      <c r="H58" s="10" t="s">
        <v>411</v>
      </c>
      <c r="I58" s="7"/>
      <c r="J58" s="7"/>
      <c r="K58" s="7"/>
      <c r="L58" s="10"/>
      <c r="M58" s="7"/>
      <c r="N58" s="10" t="s">
        <v>414</v>
      </c>
      <c r="O58" s="7"/>
      <c r="P58" s="185"/>
      <c r="Q58" s="7"/>
      <c r="R58" s="200"/>
      <c r="S58" s="7"/>
      <c r="T58" s="7" t="s">
        <v>413</v>
      </c>
      <c r="U58" s="7"/>
      <c r="V58" s="7"/>
    </row>
    <row r="59" spans="1:22">
      <c r="A59" s="7" t="s">
        <v>291</v>
      </c>
      <c r="B59" s="7"/>
      <c r="C59" s="7"/>
      <c r="D59" s="178">
        <f>SUM(Inputs!D14:D30)*12</f>
        <v>0</v>
      </c>
      <c r="E59" s="7"/>
      <c r="F59" s="7"/>
      <c r="G59" s="7"/>
      <c r="H59" s="179">
        <f>'Sys Admin Calculation'!E49</f>
        <v>0</v>
      </c>
      <c r="I59" s="7"/>
      <c r="J59" s="7"/>
      <c r="K59" s="7"/>
      <c r="L59" s="10"/>
      <c r="M59" s="7"/>
      <c r="N59" s="179">
        <f>'Sys Admin Calculation Y2'!E49</f>
        <v>0</v>
      </c>
      <c r="O59" s="7"/>
      <c r="P59" s="7"/>
      <c r="Q59" s="7"/>
      <c r="R59" s="200"/>
      <c r="S59" s="7"/>
      <c r="T59" s="179">
        <f>'Sys Admin Calculation Y3'!E49</f>
        <v>0</v>
      </c>
      <c r="U59" s="7"/>
      <c r="V59" s="7"/>
    </row>
    <row r="60" spans="1:22">
      <c r="A60" s="7"/>
      <c r="B60" s="7"/>
      <c r="C60" s="7"/>
      <c r="D60" s="10"/>
      <c r="E60" s="7"/>
      <c r="F60" s="7"/>
      <c r="G60" s="7"/>
      <c r="H60" s="200"/>
      <c r="I60" s="7"/>
      <c r="J60" s="7"/>
      <c r="K60" s="7"/>
      <c r="L60" s="10"/>
      <c r="M60" s="7"/>
      <c r="N60" s="200"/>
      <c r="O60" s="7"/>
      <c r="P60" s="185"/>
      <c r="Q60" s="7"/>
      <c r="R60" s="200"/>
      <c r="S60" s="7"/>
      <c r="T60" s="200"/>
      <c r="U60" s="7"/>
      <c r="V60" s="7"/>
    </row>
    <row r="61" spans="1:22">
      <c r="A61" s="7" t="s">
        <v>56</v>
      </c>
      <c r="B61" s="7"/>
      <c r="C61" s="7"/>
      <c r="D61" s="178">
        <f>SUM(Inputs!E14:F30)*12</f>
        <v>21400.800000000003</v>
      </c>
      <c r="E61" s="7"/>
      <c r="F61" s="7"/>
      <c r="G61" s="7"/>
      <c r="H61" s="179">
        <f>'Sys Admin Calculation'!E51</f>
        <v>28512.960000000003</v>
      </c>
      <c r="I61" s="7"/>
      <c r="J61" s="7"/>
      <c r="K61" s="7"/>
      <c r="L61" s="10"/>
      <c r="M61" s="7"/>
      <c r="N61" s="179">
        <f>'Sys Admin Calculation Y2'!E51</f>
        <v>29938.608</v>
      </c>
      <c r="O61" s="7"/>
      <c r="P61" s="7"/>
      <c r="Q61" s="7"/>
      <c r="R61" s="200"/>
      <c r="S61" s="7"/>
      <c r="T61" s="179">
        <f>'Sys Admin Calculation Y3'!E51</f>
        <v>31435.538400000005</v>
      </c>
      <c r="U61" s="7"/>
      <c r="V61" s="7"/>
    </row>
    <row r="62" spans="1:22">
      <c r="A62" s="7"/>
      <c r="B62" s="7"/>
      <c r="C62" s="7"/>
      <c r="D62" s="10"/>
      <c r="E62" s="7"/>
      <c r="F62" s="7"/>
      <c r="G62" s="7"/>
      <c r="H62" s="200"/>
      <c r="I62" s="7"/>
      <c r="J62" s="7"/>
      <c r="K62" s="7"/>
      <c r="L62" s="10"/>
      <c r="M62" s="7"/>
      <c r="N62" s="200"/>
      <c r="O62" s="7"/>
      <c r="P62" s="185"/>
      <c r="Q62" s="7"/>
      <c r="R62" s="200"/>
      <c r="S62" s="7"/>
      <c r="T62" s="200"/>
      <c r="U62" s="7"/>
      <c r="V62" s="7"/>
    </row>
    <row r="63" spans="1:22">
      <c r="A63" s="7" t="s">
        <v>185</v>
      </c>
      <c r="B63" s="7"/>
      <c r="C63" s="7"/>
      <c r="D63" s="178">
        <f>'Other Overhead C '!F13+'Other Overhead C '!F19</f>
        <v>770850</v>
      </c>
      <c r="E63" s="7"/>
      <c r="F63" s="7"/>
      <c r="G63" s="7"/>
      <c r="H63" s="179">
        <f>'Sys Admin Calculation'!F35</f>
        <v>770850</v>
      </c>
      <c r="I63" s="10"/>
      <c r="J63" s="10"/>
      <c r="K63" s="7"/>
      <c r="L63" s="10"/>
      <c r="M63" s="7"/>
      <c r="N63" s="179">
        <f>'Sys Admin Calculation Y2'!F35</f>
        <v>770850</v>
      </c>
      <c r="O63" s="7"/>
      <c r="P63" s="7"/>
      <c r="Q63" s="7"/>
      <c r="R63" s="200"/>
      <c r="S63" s="7"/>
      <c r="T63" s="179">
        <f>'Sys Admin Calculation Y3'!F35</f>
        <v>770850</v>
      </c>
      <c r="U63" s="7"/>
      <c r="V63" s="7"/>
    </row>
    <row r="64" spans="1:22">
      <c r="A64" s="7"/>
      <c r="B64" s="10"/>
      <c r="C64" s="7"/>
      <c r="D64" s="10"/>
      <c r="E64" s="7"/>
      <c r="F64" s="7"/>
      <c r="G64" s="7"/>
      <c r="H64" s="200"/>
      <c r="I64" s="10"/>
      <c r="J64" s="10"/>
      <c r="K64" s="7"/>
      <c r="L64" s="10"/>
      <c r="M64" s="7"/>
      <c r="N64" s="200"/>
      <c r="O64" s="7"/>
      <c r="P64" s="185"/>
      <c r="Q64" s="7"/>
      <c r="R64" s="200"/>
      <c r="S64" s="7"/>
      <c r="T64" s="200"/>
      <c r="U64" s="7"/>
      <c r="V64" s="7"/>
    </row>
    <row r="65" spans="1:22">
      <c r="A65" s="7" t="s">
        <v>214</v>
      </c>
      <c r="B65" s="10"/>
      <c r="C65" s="7"/>
      <c r="D65" s="179">
        <f>'Platform Cloud Costs'!G2*12</f>
        <v>162277.788</v>
      </c>
      <c r="E65" s="7"/>
      <c r="F65" s="7"/>
      <c r="G65" s="7"/>
      <c r="H65" s="179">
        <f>'Sys Admin Calculation'!E36*12</f>
        <v>170391.67739999999</v>
      </c>
      <c r="I65" s="11"/>
      <c r="J65" s="11"/>
      <c r="K65" s="7"/>
      <c r="L65" s="11"/>
      <c r="M65" s="7"/>
      <c r="N65" s="179">
        <f>'Sys Admin Calculation Y2'!E36*12</f>
        <v>170391.67739999999</v>
      </c>
      <c r="O65" s="7"/>
      <c r="P65" s="7"/>
      <c r="Q65" s="7"/>
      <c r="R65" s="201"/>
      <c r="S65" s="7"/>
      <c r="T65" s="179">
        <f>'Sys Admin Calculation Y3'!E36*12</f>
        <v>170391.67739999999</v>
      </c>
      <c r="U65" s="7"/>
      <c r="V65" s="7"/>
    </row>
    <row r="66" spans="1:22">
      <c r="A66" s="7"/>
      <c r="B66" s="10"/>
      <c r="C66" s="7"/>
      <c r="D66" s="11"/>
      <c r="E66" s="7"/>
      <c r="F66" s="7"/>
      <c r="G66" s="7"/>
      <c r="H66" s="201"/>
      <c r="I66" s="10"/>
      <c r="J66" s="10"/>
      <c r="K66" s="7"/>
      <c r="L66" s="10"/>
      <c r="M66" s="7"/>
      <c r="N66" s="201"/>
      <c r="O66" s="7"/>
      <c r="P66" s="7"/>
      <c r="Q66" s="7"/>
      <c r="R66" s="201"/>
      <c r="S66" s="7"/>
      <c r="T66" s="201"/>
      <c r="U66" s="7"/>
      <c r="V66" s="7"/>
    </row>
    <row r="67" spans="1:22">
      <c r="A67" s="7" t="s">
        <v>337</v>
      </c>
      <c r="B67" s="10"/>
      <c r="C67" s="7"/>
      <c r="D67" s="183">
        <f>SUM(D59:D65)</f>
        <v>954528.58799999999</v>
      </c>
      <c r="E67" s="7"/>
      <c r="F67" s="7"/>
      <c r="G67" s="7"/>
      <c r="H67" s="201">
        <f>SUM(H59:H65)</f>
        <v>969754.63739999989</v>
      </c>
      <c r="I67" s="10"/>
      <c r="J67" s="10"/>
      <c r="K67" s="7"/>
      <c r="L67" s="10"/>
      <c r="M67" s="7"/>
      <c r="N67" s="201">
        <f>SUM(N59:N65)</f>
        <v>971180.28539999994</v>
      </c>
      <c r="O67" s="7"/>
      <c r="P67" s="7"/>
      <c r="Q67" s="7"/>
      <c r="R67" s="200"/>
      <c r="S67" s="7"/>
      <c r="T67" s="201">
        <f>SUM(T59:T65)</f>
        <v>972677.21579999989</v>
      </c>
      <c r="U67" s="7"/>
      <c r="V67" s="7"/>
    </row>
    <row r="68" spans="1:22">
      <c r="A68" s="7"/>
      <c r="B68" s="10"/>
      <c r="C68" s="7"/>
      <c r="D68" s="10"/>
      <c r="E68" s="7"/>
      <c r="F68" s="7"/>
      <c r="G68" s="7"/>
      <c r="H68" s="200"/>
      <c r="I68" s="10"/>
      <c r="J68" s="10"/>
      <c r="K68" s="7"/>
      <c r="L68" s="10"/>
      <c r="M68" s="7"/>
      <c r="N68" s="200"/>
      <c r="O68" s="7"/>
      <c r="P68" s="7"/>
      <c r="Q68" s="7"/>
      <c r="R68" s="191"/>
      <c r="S68" s="7"/>
      <c r="T68" s="200"/>
      <c r="U68" s="7"/>
      <c r="V68" s="7"/>
    </row>
    <row r="69" spans="1:22">
      <c r="A69" s="7"/>
      <c r="B69" s="10"/>
      <c r="C69" s="7"/>
      <c r="D69" s="10"/>
      <c r="E69" s="7"/>
      <c r="F69" s="7"/>
      <c r="G69" s="7"/>
      <c r="H69" s="200"/>
      <c r="I69" s="7"/>
      <c r="J69" s="7"/>
      <c r="K69" s="7"/>
      <c r="L69" s="7"/>
      <c r="M69" s="7"/>
      <c r="N69" s="200"/>
      <c r="O69" s="7"/>
      <c r="P69" s="7"/>
      <c r="Q69" s="7"/>
      <c r="R69" s="191"/>
      <c r="S69" s="7"/>
      <c r="T69" s="200"/>
      <c r="U69" s="7"/>
      <c r="V69" s="7"/>
    </row>
    <row r="70" spans="1:22">
      <c r="A70" s="7" t="s">
        <v>415</v>
      </c>
      <c r="B70" s="7"/>
      <c r="C70" s="7"/>
      <c r="D70" s="7"/>
      <c r="E70" s="7"/>
      <c r="F70" s="7"/>
      <c r="G70" s="7"/>
      <c r="H70" s="191"/>
      <c r="I70" s="7"/>
      <c r="J70" s="7"/>
      <c r="K70" s="7"/>
      <c r="L70" s="7"/>
      <c r="M70" s="7"/>
      <c r="N70" s="191"/>
      <c r="O70" s="7"/>
      <c r="P70" s="7"/>
      <c r="Q70" s="7"/>
      <c r="R70" s="191"/>
      <c r="S70" s="7"/>
      <c r="T70" s="191"/>
      <c r="U70" s="7"/>
      <c r="V70" s="7"/>
    </row>
    <row r="71" spans="1:22">
      <c r="A71" s="7" t="s">
        <v>345</v>
      </c>
      <c r="B71" s="7"/>
      <c r="C71" s="7"/>
      <c r="D71" s="7" t="s">
        <v>346</v>
      </c>
      <c r="E71" s="7"/>
      <c r="F71" s="7"/>
      <c r="G71" s="7"/>
      <c r="H71" s="191" t="s">
        <v>347</v>
      </c>
      <c r="I71" s="7"/>
      <c r="J71" s="7"/>
      <c r="K71" s="7"/>
      <c r="L71" s="7"/>
      <c r="M71" s="7"/>
      <c r="N71" s="191" t="s">
        <v>347</v>
      </c>
      <c r="O71" s="7"/>
      <c r="P71" s="185"/>
      <c r="Q71" s="7"/>
      <c r="R71" s="191"/>
      <c r="S71" s="7"/>
      <c r="T71" s="191" t="s">
        <v>347</v>
      </c>
      <c r="U71" s="7"/>
      <c r="V71" s="7"/>
    </row>
    <row r="72" spans="1:22">
      <c r="A72" s="7" t="str">
        <f>Inputs!A14</f>
        <v>CVP-NYC</v>
      </c>
      <c r="B72" s="7"/>
      <c r="C72" s="7"/>
      <c r="D72" s="193">
        <f>Inputs!R14</f>
        <v>13109.4411</v>
      </c>
      <c r="E72" s="7"/>
      <c r="F72" s="7"/>
      <c r="G72" s="7"/>
      <c r="H72" s="190">
        <f>'Sys Admin Calculation'!AD5</f>
        <v>2201.8107862500001</v>
      </c>
      <c r="I72" s="7"/>
      <c r="J72" s="7"/>
      <c r="K72" s="7"/>
      <c r="L72" s="7"/>
      <c r="M72" s="7"/>
      <c r="N72" s="190">
        <f>'Sys Admin Calculation Y2'!AD5</f>
        <v>2201.8107862500001</v>
      </c>
      <c r="O72" s="7"/>
      <c r="P72" s="185"/>
      <c r="Q72" s="7"/>
      <c r="R72" s="191"/>
      <c r="S72" s="7"/>
      <c r="T72" s="190">
        <f>'Sys Admin Calculation Y3'!AD5</f>
        <v>2201.8107862500001</v>
      </c>
      <c r="U72" s="7"/>
      <c r="V72" s="7"/>
    </row>
    <row r="73" spans="1:22">
      <c r="A73" s="7" t="str">
        <f>Inputs!A15</f>
        <v>CVP-THEA</v>
      </c>
      <c r="B73" s="7"/>
      <c r="C73" s="7"/>
      <c r="D73" s="193">
        <f>Inputs!R15</f>
        <v>73774.712266666669</v>
      </c>
      <c r="E73" s="7"/>
      <c r="F73" s="7"/>
      <c r="G73" s="7"/>
      <c r="H73" s="190">
        <f>'Sys Admin Calculation'!AD6</f>
        <v>74747.466880000007</v>
      </c>
      <c r="I73" s="7"/>
      <c r="J73" s="7"/>
      <c r="K73" s="7"/>
      <c r="L73" s="7"/>
      <c r="M73" s="7"/>
      <c r="N73" s="190">
        <f>'Sys Admin Calculation Y2'!AD6</f>
        <v>74772.618880000009</v>
      </c>
      <c r="O73" s="7"/>
      <c r="P73" s="185"/>
      <c r="Q73" s="7"/>
      <c r="R73" s="191"/>
      <c r="S73" s="7"/>
      <c r="T73" s="190">
        <f>'Sys Admin Calculation Y3'!AD6</f>
        <v>74799.028480000008</v>
      </c>
      <c r="U73" s="7"/>
      <c r="V73" s="7"/>
    </row>
    <row r="74" spans="1:22">
      <c r="A74" s="7" t="str">
        <f>Inputs!A16</f>
        <v>CVP-WYDOT</v>
      </c>
      <c r="B74" s="7"/>
      <c r="C74" s="7"/>
      <c r="D74" s="193">
        <f>Inputs!R16</f>
        <v>74267.552266666666</v>
      </c>
      <c r="E74" s="7"/>
      <c r="F74" s="7"/>
      <c r="G74" s="7"/>
      <c r="H74" s="190">
        <f>'Sys Admin Calculation'!AD7</f>
        <v>75733.14688</v>
      </c>
      <c r="I74" s="7"/>
      <c r="J74" s="7"/>
      <c r="K74" s="7"/>
      <c r="L74" s="7"/>
      <c r="M74" s="7"/>
      <c r="N74" s="190">
        <f>'Sys Admin Calculation Y2'!AD7</f>
        <v>75807.582880000002</v>
      </c>
      <c r="O74" s="7"/>
      <c r="P74" s="185"/>
      <c r="Q74" s="7"/>
      <c r="R74" s="191"/>
      <c r="S74" s="7"/>
      <c r="T74" s="190">
        <f>'Sys Admin Calculation Y3'!AD7</f>
        <v>75885.740680000003</v>
      </c>
      <c r="U74" s="7"/>
      <c r="V74" s="7"/>
    </row>
    <row r="75" spans="1:22">
      <c r="A75" s="7" t="str">
        <f>Inputs!A17</f>
        <v>CVP-Volpe-IE</v>
      </c>
      <c r="B75" s="7"/>
      <c r="C75" s="7"/>
      <c r="D75" s="193">
        <f>Inputs!R17</f>
        <v>75302.07226666667</v>
      </c>
      <c r="E75" s="7"/>
      <c r="F75" s="7"/>
      <c r="G75" s="7"/>
      <c r="H75" s="190">
        <f>'Sys Admin Calculation'!AD8</f>
        <v>74244.426879999999</v>
      </c>
      <c r="I75" s="7"/>
      <c r="J75" s="7"/>
      <c r="K75" s="7"/>
      <c r="L75" s="7"/>
      <c r="M75" s="7"/>
      <c r="N75" s="190">
        <f>'Sys Admin Calculation Y2'!AD8</f>
        <v>74244.426879999999</v>
      </c>
      <c r="O75" s="7"/>
      <c r="P75" s="185"/>
      <c r="Q75" s="7"/>
      <c r="R75" s="191"/>
      <c r="S75" s="7"/>
      <c r="T75" s="190">
        <f>'Sys Admin Calculation Y3'!AD8</f>
        <v>74244.426879999999</v>
      </c>
      <c r="U75" s="7"/>
      <c r="V75" s="7"/>
    </row>
    <row r="76" spans="1:22">
      <c r="A76" s="7" t="str">
        <f>Inputs!A18</f>
        <v>CVP-TTI-IE</v>
      </c>
      <c r="B76" s="7"/>
      <c r="C76" s="7"/>
      <c r="D76" s="193">
        <f>Inputs!R18</f>
        <v>74646.752266666677</v>
      </c>
      <c r="E76" s="7"/>
      <c r="F76" s="7"/>
      <c r="G76" s="7"/>
      <c r="H76" s="190">
        <f>'Sys Admin Calculation'!AD9</f>
        <v>74244.426879999999</v>
      </c>
      <c r="I76" s="7"/>
      <c r="J76" s="7"/>
      <c r="K76" s="7"/>
      <c r="L76" s="7"/>
      <c r="M76" s="7"/>
      <c r="N76" s="190">
        <f>'Sys Admin Calculation Y2'!AD9</f>
        <v>74244.426879999999</v>
      </c>
      <c r="O76" s="7"/>
      <c r="P76" s="185"/>
      <c r="Q76" s="7"/>
      <c r="R76" s="191"/>
      <c r="S76" s="7"/>
      <c r="T76" s="190">
        <f>'Sys Admin Calculation Y3'!AD9</f>
        <v>74244.426879999999</v>
      </c>
      <c r="U76" s="7"/>
      <c r="V76" s="7"/>
    </row>
    <row r="77" spans="1:22">
      <c r="A77" s="7" t="str">
        <f>Inputs!A19</f>
        <v>CARMA3-FMCSA</v>
      </c>
      <c r="B77" s="7"/>
      <c r="C77" s="7"/>
      <c r="D77" s="193">
        <f>Inputs!R19</f>
        <v>13109.4411</v>
      </c>
      <c r="E77" s="7"/>
      <c r="F77" s="7"/>
      <c r="G77" s="7"/>
      <c r="H77" s="190">
        <f>'Sys Admin Calculation'!AD10</f>
        <v>2201.8107862500001</v>
      </c>
      <c r="I77" s="7"/>
      <c r="J77" s="7"/>
      <c r="K77" s="7"/>
      <c r="L77" s="7"/>
      <c r="M77" s="7"/>
      <c r="N77" s="190">
        <f>'Sys Admin Calculation Y2'!AD10</f>
        <v>2201.8107862500001</v>
      </c>
      <c r="O77" s="7"/>
      <c r="P77" s="185"/>
      <c r="Q77" s="7"/>
      <c r="R77" s="191"/>
      <c r="S77" s="7"/>
      <c r="T77" s="190">
        <f>'Sys Admin Calculation Y3'!AD10</f>
        <v>2201.8107862500001</v>
      </c>
      <c r="U77" s="7"/>
      <c r="V77" s="7"/>
    </row>
    <row r="78" spans="1:22">
      <c r="A78" s="7" t="str">
        <f>Inputs!A20</f>
        <v>CARMA-FHWA</v>
      </c>
      <c r="B78" s="7"/>
      <c r="C78" s="7"/>
      <c r="D78" s="193">
        <f>Inputs!R20</f>
        <v>13109.4411</v>
      </c>
      <c r="E78" s="7"/>
      <c r="F78" s="7"/>
      <c r="G78" s="7"/>
      <c r="H78" s="190">
        <f>'Sys Admin Calculation'!AD11</f>
        <v>2201.8107862500001</v>
      </c>
      <c r="I78" s="7"/>
      <c r="J78" s="7"/>
      <c r="K78" s="7"/>
      <c r="L78" s="7"/>
      <c r="M78" s="7"/>
      <c r="N78" s="190">
        <f>'Sys Admin Calculation Y2'!AD11</f>
        <v>2201.8107862500001</v>
      </c>
      <c r="O78" s="7"/>
      <c r="P78" s="185"/>
      <c r="Q78" s="7"/>
      <c r="R78" s="191"/>
      <c r="S78" s="7"/>
      <c r="T78" s="190">
        <f>'Sys Admin Calculation Y3'!AD11</f>
        <v>2201.8107862500001</v>
      </c>
      <c r="U78" s="7"/>
      <c r="V78" s="7"/>
    </row>
    <row r="79" spans="1:22">
      <c r="A79" s="7" t="str">
        <f>Inputs!A21</f>
        <v>FMI-ATRI</v>
      </c>
      <c r="B79" s="7"/>
      <c r="C79" s="7"/>
      <c r="D79" s="193">
        <f>Inputs!R21</f>
        <v>75099.392266666677</v>
      </c>
      <c r="E79" s="7"/>
      <c r="F79" s="7"/>
      <c r="G79" s="7"/>
      <c r="H79" s="190">
        <f>'Sys Admin Calculation'!AD12</f>
        <v>77396.826880000008</v>
      </c>
      <c r="I79" s="7"/>
      <c r="J79" s="7"/>
      <c r="K79" s="7"/>
      <c r="L79" s="7"/>
      <c r="M79" s="7"/>
      <c r="N79" s="190">
        <f>'Sys Admin Calculation Y2'!AD12</f>
        <v>77554.446880000003</v>
      </c>
      <c r="O79" s="7"/>
      <c r="P79" s="185"/>
      <c r="Q79" s="7"/>
      <c r="R79" s="191"/>
      <c r="S79" s="7"/>
      <c r="T79" s="190">
        <f>'Sys Admin Calculation Y3'!AD12</f>
        <v>77719.947880000007</v>
      </c>
      <c r="U79" s="7"/>
      <c r="V79" s="7"/>
    </row>
    <row r="80" spans="1:22">
      <c r="A80" s="7" t="str">
        <f>Inputs!A22</f>
        <v>FMI-BTS</v>
      </c>
      <c r="B80" s="7"/>
      <c r="C80" s="7"/>
      <c r="D80" s="193">
        <f>Inputs!R22</f>
        <v>73523.192266666665</v>
      </c>
      <c r="E80" s="7"/>
      <c r="F80" s="7"/>
      <c r="G80" s="7"/>
      <c r="H80" s="190">
        <f>'Sys Admin Calculation'!AD13</f>
        <v>74244.426879999999</v>
      </c>
      <c r="I80" s="7"/>
      <c r="J80" s="7"/>
      <c r="K80" s="7"/>
      <c r="L80" s="7"/>
      <c r="M80" s="7"/>
      <c r="N80" s="190">
        <f>'Sys Admin Calculation Y2'!AD13</f>
        <v>74244.426879999999</v>
      </c>
      <c r="O80" s="7"/>
      <c r="P80" s="185"/>
      <c r="Q80" s="7"/>
      <c r="R80" s="191"/>
      <c r="S80" s="7"/>
      <c r="T80" s="190">
        <f>'Sys Admin Calculation Y3'!AD13</f>
        <v>74244.426879999999</v>
      </c>
      <c r="U80" s="7"/>
      <c r="V80" s="7"/>
    </row>
    <row r="81" spans="1:22">
      <c r="A81" s="7" t="str">
        <f>Inputs!A23</f>
        <v>FTA-DA</v>
      </c>
      <c r="B81" s="7"/>
      <c r="C81" s="7"/>
      <c r="D81" s="193">
        <f>Inputs!R23</f>
        <v>73523.192266666665</v>
      </c>
      <c r="E81" s="7"/>
      <c r="F81" s="7"/>
      <c r="G81" s="7"/>
      <c r="H81" s="190">
        <f>'Sys Admin Calculation'!AD14</f>
        <v>74244.426879999999</v>
      </c>
      <c r="I81" s="7"/>
      <c r="J81" s="7"/>
      <c r="K81" s="7"/>
      <c r="L81" s="7"/>
      <c r="M81" s="7"/>
      <c r="N81" s="190">
        <f>'Sys Admin Calculation Y2'!AD14</f>
        <v>74244.426879999999</v>
      </c>
      <c r="O81" s="7"/>
      <c r="P81" s="185"/>
      <c r="Q81" s="7"/>
      <c r="R81" s="191"/>
      <c r="S81" s="7"/>
      <c r="T81" s="190">
        <f>'Sys Admin Calculation Y3'!AD14</f>
        <v>74244.426879999999</v>
      </c>
      <c r="U81" s="7"/>
      <c r="V81" s="7"/>
    </row>
    <row r="82" spans="1:22">
      <c r="A82" s="7" t="str">
        <f>Inputs!A24</f>
        <v>MOD 2.0</v>
      </c>
      <c r="B82" s="7"/>
      <c r="C82" s="7"/>
      <c r="D82" s="193">
        <f>Inputs!R24</f>
        <v>0</v>
      </c>
      <c r="E82" s="7"/>
      <c r="F82" s="7"/>
      <c r="G82" s="7"/>
      <c r="H82" s="190">
        <f>'Sys Admin Calculation'!AD15</f>
        <v>0</v>
      </c>
      <c r="I82" s="7"/>
      <c r="J82" s="7"/>
      <c r="K82" s="7"/>
      <c r="L82" s="7"/>
      <c r="M82" s="7"/>
      <c r="N82" s="190">
        <f>'Sys Admin Calculation Y2'!AD15</f>
        <v>0</v>
      </c>
      <c r="O82" s="7"/>
      <c r="P82" s="185"/>
      <c r="Q82" s="7"/>
      <c r="R82" s="191"/>
      <c r="S82" s="7"/>
      <c r="T82" s="190">
        <f>'Sys Admin Calculation Y3'!AD15</f>
        <v>0</v>
      </c>
      <c r="U82" s="7"/>
      <c r="V82" s="7"/>
    </row>
    <row r="83" spans="1:22">
      <c r="A83" s="7" t="str">
        <f>Inputs!A25</f>
        <v xml:space="preserve">MPI </v>
      </c>
      <c r="B83" s="7"/>
      <c r="C83" s="7"/>
      <c r="D83" s="193">
        <f>Inputs!R25</f>
        <v>0</v>
      </c>
      <c r="E83" s="7"/>
      <c r="F83" s="7"/>
      <c r="G83" s="7"/>
      <c r="H83" s="190">
        <f>'Sys Admin Calculation'!AD16</f>
        <v>0</v>
      </c>
      <c r="I83" s="7"/>
      <c r="J83" s="7"/>
      <c r="K83" s="7"/>
      <c r="L83" s="7"/>
      <c r="M83" s="7"/>
      <c r="N83" s="190">
        <f>'Sys Admin Calculation Y2'!AD16</f>
        <v>0</v>
      </c>
      <c r="O83" s="7"/>
      <c r="P83" s="185"/>
      <c r="Q83" s="7"/>
      <c r="R83" s="191"/>
      <c r="S83" s="7"/>
      <c r="T83" s="190">
        <f>'Sys Admin Calculation Y3'!AD16</f>
        <v>0</v>
      </c>
      <c r="U83" s="7"/>
      <c r="V83" s="7"/>
    </row>
    <row r="84" spans="1:22">
      <c r="A84" s="7" t="str">
        <f>Inputs!A26</f>
        <v>WAZE-WAZE</v>
      </c>
      <c r="B84" s="7"/>
      <c r="C84" s="7"/>
      <c r="D84" s="193">
        <f>Inputs!R26</f>
        <v>85207.592266666674</v>
      </c>
      <c r="E84" s="7"/>
      <c r="F84" s="7"/>
      <c r="G84" s="7"/>
      <c r="H84" s="190">
        <f>'Sys Admin Calculation'!AD17</f>
        <v>97613.226880000002</v>
      </c>
      <c r="I84" s="7"/>
      <c r="J84" s="7"/>
      <c r="K84" s="7"/>
      <c r="L84" s="7"/>
      <c r="M84" s="7"/>
      <c r="N84" s="190">
        <f>'Sys Admin Calculation Y2'!AD17</f>
        <v>98781.666880000004</v>
      </c>
      <c r="O84" s="7"/>
      <c r="P84" s="185"/>
      <c r="Q84" s="7"/>
      <c r="R84" s="191"/>
      <c r="S84" s="7"/>
      <c r="T84" s="190">
        <f>'Sys Admin Calculation Y3'!AD17</f>
        <v>100008.52888000001</v>
      </c>
      <c r="U84" s="7"/>
      <c r="V84" s="7"/>
    </row>
    <row r="85" spans="1:22">
      <c r="A85" s="7" t="str">
        <f>Inputs!A27</f>
        <v>WAZE-SDI</v>
      </c>
      <c r="B85" s="7"/>
      <c r="C85" s="7"/>
      <c r="D85" s="193">
        <f>Inputs!R27</f>
        <v>77765.07226666667</v>
      </c>
      <c r="E85" s="7"/>
      <c r="F85" s="7"/>
      <c r="G85" s="7"/>
      <c r="H85" s="190">
        <f>'Sys Admin Calculation'!AD18</f>
        <v>74244.426879999999</v>
      </c>
      <c r="I85" s="7"/>
      <c r="J85" s="7"/>
      <c r="K85" s="7"/>
      <c r="L85" s="7"/>
      <c r="M85" s="7"/>
      <c r="N85" s="190">
        <f>'Sys Admin Calculation Y2'!AD18</f>
        <v>74244.426879999999</v>
      </c>
      <c r="O85" s="7"/>
      <c r="P85" s="185"/>
      <c r="Q85" s="7"/>
      <c r="R85" s="191"/>
      <c r="S85" s="7"/>
      <c r="T85" s="190">
        <f>'Sys Admin Calculation Y3'!AD18</f>
        <v>74244.426879999999</v>
      </c>
      <c r="U85" s="7"/>
      <c r="V85" s="7"/>
    </row>
    <row r="86" spans="1:22">
      <c r="A86" s="7" t="str">
        <f>Inputs!A28</f>
        <v>Smart Columbus Evaluation</v>
      </c>
      <c r="B86" s="7"/>
      <c r="C86" s="7"/>
      <c r="D86" s="193">
        <f>Inputs!R28</f>
        <v>13109.4411</v>
      </c>
      <c r="E86" s="7"/>
      <c r="F86" s="7"/>
      <c r="G86" s="7"/>
      <c r="H86" s="190">
        <f>'Sys Admin Calculation'!AD19</f>
        <v>2201.8107862500001</v>
      </c>
      <c r="I86" s="7"/>
      <c r="J86" s="7"/>
      <c r="K86" s="7"/>
      <c r="L86" s="7"/>
      <c r="M86" s="7"/>
      <c r="N86" s="190">
        <f>'Sys Admin Calculation Y2'!AD19</f>
        <v>2201.8107862500001</v>
      </c>
      <c r="O86" s="7"/>
      <c r="P86" s="185"/>
      <c r="Q86" s="7"/>
      <c r="R86" s="191"/>
      <c r="S86" s="7"/>
      <c r="T86" s="190">
        <f>'Sys Admin Calculation Y3'!AD19</f>
        <v>2201.8107862500001</v>
      </c>
      <c r="U86" s="7"/>
      <c r="V86" s="7"/>
    </row>
    <row r="87" spans="1:22">
      <c r="A87" s="7" t="str">
        <f>Inputs!A29</f>
        <v>STAR</v>
      </c>
      <c r="B87" s="7"/>
      <c r="C87" s="7"/>
      <c r="D87" s="193">
        <f>Inputs!R29</f>
        <v>0</v>
      </c>
      <c r="E87" s="7"/>
      <c r="F87" s="7"/>
      <c r="G87" s="7"/>
      <c r="H87" s="190">
        <f>'Sys Admin Calculation'!AD20</f>
        <v>0</v>
      </c>
      <c r="I87" s="7"/>
      <c r="J87" s="7"/>
      <c r="K87" s="7"/>
      <c r="L87" s="7"/>
      <c r="M87" s="7"/>
      <c r="N87" s="190">
        <f>'Sys Admin Calculation Y2'!AD20</f>
        <v>0</v>
      </c>
      <c r="O87" s="7"/>
      <c r="P87" s="185"/>
      <c r="Q87" s="7"/>
      <c r="R87" s="191"/>
      <c r="S87" s="7"/>
      <c r="T87" s="190">
        <f>'Sys Admin Calculation Y3'!AD20</f>
        <v>0</v>
      </c>
      <c r="U87" s="7"/>
      <c r="V87" s="7"/>
    </row>
    <row r="88" spans="1:22">
      <c r="A88" s="7" t="str">
        <f>Inputs!A30</f>
        <v>T-PLAT</v>
      </c>
      <c r="B88" s="7"/>
      <c r="C88" s="7"/>
      <c r="D88" s="193">
        <f>Inputs!R30</f>
        <v>0</v>
      </c>
      <c r="E88" s="7"/>
      <c r="F88" s="7"/>
      <c r="G88" s="7"/>
      <c r="H88" s="190">
        <f>'Sys Admin Calculation'!AD21</f>
        <v>0</v>
      </c>
      <c r="I88" s="7"/>
      <c r="J88" s="7"/>
      <c r="K88" s="7"/>
      <c r="L88" s="7"/>
      <c r="M88" s="7"/>
      <c r="N88" s="190">
        <f>'Sys Admin Calculation Y2'!AD21</f>
        <v>0</v>
      </c>
      <c r="O88" s="7"/>
      <c r="P88" s="185"/>
      <c r="Q88" s="7"/>
      <c r="R88" s="191"/>
      <c r="S88" s="7"/>
      <c r="T88" s="190">
        <f>'Sys Admin Calculation Y3'!AD21</f>
        <v>0</v>
      </c>
      <c r="U88" s="7"/>
      <c r="V88" s="7"/>
    </row>
    <row r="89" spans="1:22">
      <c r="A89" s="7" t="s">
        <v>353</v>
      </c>
      <c r="B89" s="7"/>
      <c r="C89" s="7"/>
      <c r="D89" s="194"/>
      <c r="E89" s="7"/>
      <c r="F89" s="7"/>
      <c r="G89" s="7"/>
      <c r="H89" s="190">
        <f>'Sys Admin Calculation'!P25*'Sys Admin'!F38</f>
        <v>0</v>
      </c>
      <c r="I89" s="7"/>
      <c r="J89" s="7"/>
      <c r="K89" s="7"/>
      <c r="L89" s="7"/>
      <c r="M89" s="7"/>
      <c r="N89" s="190">
        <f>'Sys Admin Calculation Y2'!P25*'Sys Admin'!L38</f>
        <v>0</v>
      </c>
      <c r="O89" s="7"/>
      <c r="P89" s="185"/>
      <c r="Q89" s="7"/>
      <c r="R89" s="191"/>
      <c r="S89" s="7"/>
      <c r="T89" s="190">
        <f>'Sys Admin Calculation Y3'!P25*'Sys Admin'!R38</f>
        <v>0</v>
      </c>
      <c r="U89" s="7"/>
      <c r="V89" s="7"/>
    </row>
    <row r="90" spans="1:22">
      <c r="A90" s="7" t="s">
        <v>354</v>
      </c>
      <c r="B90" s="7"/>
      <c r="C90" s="7"/>
      <c r="D90" s="194"/>
      <c r="E90" s="7"/>
      <c r="F90" s="7"/>
      <c r="G90" s="7"/>
      <c r="H90" s="190">
        <f>'Sys Admin Calculation'!P26*F39</f>
        <v>0</v>
      </c>
      <c r="I90" s="7"/>
      <c r="J90" s="7"/>
      <c r="K90" s="7"/>
      <c r="L90" s="7"/>
      <c r="M90" s="7"/>
      <c r="N90" s="190">
        <f>'Sys Admin Calculation Y2'!P26*L39</f>
        <v>0</v>
      </c>
      <c r="O90" s="7"/>
      <c r="P90" s="185"/>
      <c r="Q90" s="7"/>
      <c r="R90" s="191"/>
      <c r="S90" s="7"/>
      <c r="T90" s="190">
        <f>'Sys Admin Calculation Y3'!P26*R39</f>
        <v>0</v>
      </c>
      <c r="U90" s="7"/>
      <c r="V90" s="7"/>
    </row>
    <row r="91" spans="1:22">
      <c r="A91" s="7" t="s">
        <v>355</v>
      </c>
      <c r="B91" s="7"/>
      <c r="C91" s="7"/>
      <c r="D91" s="194"/>
      <c r="E91" s="7"/>
      <c r="F91" s="7"/>
      <c r="G91" s="7"/>
      <c r="H91" s="190">
        <f>'Sys Admin Calculation'!P27+'Sys Admin Calculation'!P28+'Sys Admin Calculation'!P29</f>
        <v>0</v>
      </c>
      <c r="I91" s="7"/>
      <c r="J91" s="7"/>
      <c r="K91" s="7"/>
      <c r="L91" s="7"/>
      <c r="M91" s="7"/>
      <c r="N91" s="190">
        <f>'Sys Admin Calculation Y2'!P27+'Sys Admin Calculation Y2'!P28+'Sys Admin Calculation Y2'!P29</f>
        <v>0</v>
      </c>
      <c r="O91" s="7"/>
      <c r="P91" s="7"/>
      <c r="Q91" s="7"/>
      <c r="R91" s="226"/>
      <c r="S91" s="7"/>
      <c r="T91" s="190">
        <f>'Sys Admin Calculation Y3'!P27+'Sys Admin Calculation Y3'!P28+'Sys Admin Calculation Y3'!P29</f>
        <v>0</v>
      </c>
      <c r="U91" s="7"/>
      <c r="V91" s="7"/>
    </row>
    <row r="92" spans="1:22">
      <c r="A92" s="7" t="s">
        <v>425</v>
      </c>
      <c r="B92" s="7"/>
      <c r="C92" s="7"/>
      <c r="D92" s="194">
        <f>D63-(SUM('Sys Admin Calculation'!H5:H21)*12)</f>
        <v>194639.625</v>
      </c>
      <c r="E92" s="7"/>
      <c r="F92" s="7"/>
      <c r="G92" s="7"/>
      <c r="H92" s="191">
        <f>H63-'Sys Admin Calculation'!AB22</f>
        <v>231576.1875</v>
      </c>
      <c r="I92" s="7"/>
      <c r="J92" s="7"/>
      <c r="K92" s="7"/>
      <c r="L92" s="7"/>
      <c r="M92" s="7"/>
      <c r="N92" s="191">
        <f>H63-'Sys Admin Calculation Y2'!AB22</f>
        <v>231576.1875</v>
      </c>
      <c r="O92" s="7"/>
      <c r="P92" s="185"/>
      <c r="Q92" s="7"/>
      <c r="R92" s="7"/>
      <c r="S92" s="7"/>
      <c r="T92" s="191">
        <f>H63-'Sys Admin Calculation Y3'!AB22</f>
        <v>231576.1875</v>
      </c>
      <c r="U92" s="7"/>
      <c r="V92" s="7"/>
    </row>
    <row r="93" spans="1:22">
      <c r="A93" s="7" t="s">
        <v>426</v>
      </c>
      <c r="B93" s="7"/>
      <c r="C93" s="7"/>
      <c r="D93" s="194">
        <f>D65-(SUM('Sys Admin Calculation'!I5:I21)*12)</f>
        <v>24341.668199999986</v>
      </c>
      <c r="E93" s="7"/>
      <c r="F93" s="7"/>
      <c r="G93" s="7"/>
      <c r="H93" s="191">
        <f>H65-'Sys Admin Calculation'!E53</f>
        <v>32658.404834999994</v>
      </c>
      <c r="I93" s="7"/>
      <c r="J93" s="7"/>
      <c r="K93" s="7"/>
      <c r="L93" s="7"/>
      <c r="M93" s="7"/>
      <c r="N93" s="191">
        <f>H65-'Sys Admin Calculation Y2'!E53</f>
        <v>32658.404834999994</v>
      </c>
      <c r="O93" s="7"/>
      <c r="P93" s="185"/>
      <c r="Q93" s="7"/>
      <c r="R93" s="7"/>
      <c r="S93" s="7"/>
      <c r="T93" s="191">
        <f>H65-'Sys Admin Calculation Y3'!E53</f>
        <v>32658.404834999994</v>
      </c>
      <c r="U93" s="7"/>
      <c r="V93" s="7"/>
    </row>
    <row r="94" spans="1:22">
      <c r="A94" s="7"/>
      <c r="B94" s="7"/>
      <c r="C94" s="7"/>
      <c r="D94" s="194"/>
      <c r="E94" s="7"/>
      <c r="F94" s="7"/>
      <c r="G94" s="7"/>
      <c r="H94" s="191"/>
      <c r="I94" s="7"/>
      <c r="J94" s="7"/>
      <c r="K94" s="7"/>
      <c r="L94" s="7"/>
      <c r="M94" s="7"/>
      <c r="N94" s="191"/>
      <c r="O94" s="7"/>
      <c r="P94" s="185"/>
      <c r="Q94" s="7"/>
      <c r="R94" s="7"/>
      <c r="S94" s="7"/>
      <c r="T94" s="191"/>
      <c r="U94" s="7"/>
      <c r="V94" s="7"/>
    </row>
    <row r="95" spans="1:22">
      <c r="A95" s="7" t="s">
        <v>46</v>
      </c>
      <c r="B95" s="7"/>
      <c r="C95" s="7"/>
      <c r="D95" s="195">
        <f>SUM(D72:D88)+D92+D93</f>
        <v>954528.58800000011</v>
      </c>
      <c r="E95" s="7"/>
      <c r="F95" s="7"/>
      <c r="G95" s="7"/>
      <c r="H95" s="192">
        <f>SUM(H72:H91)+H92+H93</f>
        <v>969754.63740000012</v>
      </c>
      <c r="I95" s="7"/>
      <c r="J95" s="7"/>
      <c r="K95" s="7"/>
      <c r="L95" s="7"/>
      <c r="M95" s="7"/>
      <c r="N95" s="192">
        <f>SUM(N72:N91)+N92+N93</f>
        <v>971180.28540000017</v>
      </c>
      <c r="O95" s="7"/>
      <c r="P95" s="7"/>
      <c r="Q95" s="7"/>
      <c r="R95" s="7"/>
      <c r="S95" s="7"/>
      <c r="T95" s="192">
        <f>SUM(T72:T91)+T92+T93</f>
        <v>972677.21580000012</v>
      </c>
      <c r="U95" s="7"/>
      <c r="V95" s="7"/>
    </row>
    <row r="96" spans="1:22">
      <c r="A96" s="7"/>
      <c r="B96" s="7"/>
      <c r="C96" s="7"/>
      <c r="D96" s="7"/>
      <c r="E96" s="7"/>
      <c r="F96" s="7"/>
      <c r="G96" s="7"/>
      <c r="H96" s="7"/>
      <c r="I96" s="7"/>
      <c r="J96" s="7"/>
      <c r="K96" s="7"/>
      <c r="L96" s="7"/>
      <c r="M96" s="7"/>
      <c r="N96" s="7"/>
      <c r="O96" s="7"/>
      <c r="P96" s="7"/>
      <c r="Q96" s="7"/>
      <c r="R96" s="7"/>
      <c r="S96" s="7"/>
      <c r="T96" s="7"/>
      <c r="U96" s="7"/>
      <c r="V96" s="7"/>
    </row>
    <row r="97" spans="1:22">
      <c r="A97" s="7"/>
      <c r="B97" s="7"/>
      <c r="C97" s="7"/>
      <c r="D97" s="7"/>
      <c r="E97" s="7"/>
      <c r="F97" s="7"/>
      <c r="G97" s="7"/>
      <c r="H97" s="7"/>
      <c r="I97" s="7"/>
      <c r="J97" s="7"/>
      <c r="K97" s="7"/>
      <c r="L97" s="7"/>
      <c r="M97" s="7"/>
      <c r="N97" s="7"/>
      <c r="O97" s="7"/>
      <c r="P97" s="7"/>
      <c r="Q97" s="7"/>
      <c r="R97" s="7"/>
      <c r="S97" s="7"/>
      <c r="T97" s="7"/>
      <c r="U97" s="7"/>
      <c r="V97" s="7"/>
    </row>
    <row r="98" spans="1:22">
      <c r="A98" s="7"/>
      <c r="B98" s="7"/>
      <c r="C98" s="7"/>
      <c r="D98" s="7"/>
      <c r="E98" s="7"/>
      <c r="F98" s="7"/>
      <c r="G98" s="7"/>
      <c r="H98" s="7"/>
      <c r="I98" s="7"/>
      <c r="J98" s="7"/>
      <c r="K98" s="7"/>
      <c r="L98" s="7"/>
      <c r="M98" s="7"/>
      <c r="N98" s="7"/>
      <c r="O98" s="7"/>
      <c r="P98" s="7"/>
      <c r="Q98" s="7"/>
      <c r="R98" s="7"/>
      <c r="S98" s="7"/>
      <c r="T98" s="7"/>
      <c r="U98" s="7"/>
      <c r="V98" s="7"/>
    </row>
    <row r="99" spans="1:22">
      <c r="A99" s="1"/>
      <c r="B99" s="1"/>
      <c r="C99" s="1"/>
      <c r="D99" s="1"/>
      <c r="E99" s="1"/>
      <c r="F99" s="1"/>
      <c r="G99" s="1"/>
      <c r="H99" s="1"/>
      <c r="I99" s="1"/>
      <c r="J99" s="1"/>
      <c r="K99" s="1"/>
      <c r="L99" s="1"/>
      <c r="M99" s="1"/>
      <c r="N99" s="1"/>
      <c r="O99" s="1"/>
      <c r="P99" s="1"/>
      <c r="Q99" s="1"/>
      <c r="R99" s="1"/>
      <c r="S99" s="1"/>
      <c r="T99" s="1"/>
      <c r="U99" s="1"/>
      <c r="V99" s="1"/>
    </row>
    <row r="100" spans="1:22">
      <c r="A100" s="1"/>
      <c r="B100" s="1"/>
      <c r="C100" s="1"/>
      <c r="D100" s="1"/>
      <c r="E100" s="1"/>
      <c r="F100" s="1"/>
      <c r="G100" s="1"/>
      <c r="H100" s="1"/>
      <c r="I100" s="1"/>
      <c r="J100" s="1"/>
      <c r="K100" s="1"/>
      <c r="L100" s="1"/>
      <c r="M100" s="1"/>
      <c r="N100" s="1"/>
      <c r="O100" s="1"/>
      <c r="P100" s="1"/>
      <c r="Q100" s="1"/>
      <c r="R100" s="1"/>
      <c r="S100" s="1"/>
      <c r="T100" s="1"/>
      <c r="U100" s="1"/>
      <c r="V100" s="1"/>
    </row>
    <row r="101" spans="1:22">
      <c r="A101" s="1"/>
      <c r="B101" s="1"/>
      <c r="C101" s="1"/>
      <c r="D101" s="1"/>
      <c r="E101" s="1"/>
      <c r="F101" s="1"/>
      <c r="G101" s="1"/>
      <c r="H101" s="1"/>
      <c r="I101" s="1"/>
      <c r="J101" s="1"/>
      <c r="K101" s="1"/>
      <c r="L101" s="1"/>
      <c r="M101" s="1"/>
      <c r="N101" s="1"/>
      <c r="O101" s="1"/>
      <c r="P101" s="1"/>
      <c r="Q101" s="1"/>
      <c r="R101" s="1"/>
      <c r="S101" s="1"/>
      <c r="T101" s="1"/>
      <c r="U101" s="1"/>
      <c r="V101" s="1"/>
    </row>
    <row r="102" spans="1:22">
      <c r="A102" s="1"/>
      <c r="B102" s="1"/>
      <c r="C102" s="1"/>
      <c r="D102" s="1"/>
      <c r="E102" s="1"/>
      <c r="F102" s="1"/>
      <c r="G102" s="1"/>
      <c r="H102" s="1"/>
      <c r="I102" s="1"/>
      <c r="J102" s="1"/>
      <c r="K102" s="1"/>
      <c r="L102" s="1"/>
      <c r="M102" s="1"/>
      <c r="N102" s="1"/>
      <c r="O102" s="1"/>
      <c r="P102" s="1"/>
      <c r="Q102" s="1"/>
      <c r="R102" s="1"/>
      <c r="S102" s="1"/>
      <c r="T102" s="1"/>
      <c r="U102" s="1"/>
      <c r="V102" s="1"/>
    </row>
    <row r="103" spans="1:22">
      <c r="A103" s="1"/>
      <c r="B103" s="1"/>
      <c r="C103" s="1"/>
      <c r="D103" s="1"/>
      <c r="E103" s="1"/>
      <c r="F103" s="1"/>
      <c r="G103" s="1"/>
      <c r="H103" s="1"/>
      <c r="I103" s="1"/>
      <c r="J103" s="1"/>
      <c r="K103" s="1"/>
      <c r="L103" s="1"/>
      <c r="M103" s="1"/>
      <c r="N103" s="1"/>
      <c r="O103" s="1"/>
      <c r="P103" s="1"/>
      <c r="Q103" s="1"/>
      <c r="R103" s="1"/>
      <c r="S103" s="1"/>
      <c r="T103" s="1"/>
      <c r="U103" s="1"/>
      <c r="V103" s="1"/>
    </row>
    <row r="104" spans="1:22">
      <c r="A104" s="1"/>
      <c r="B104" s="1"/>
      <c r="C104" s="1"/>
      <c r="D104" s="1"/>
      <c r="E104" s="1"/>
      <c r="F104" s="1"/>
      <c r="G104" s="1"/>
      <c r="H104" s="1"/>
      <c r="I104" s="1"/>
      <c r="J104" s="1"/>
      <c r="K104" s="1"/>
      <c r="L104" s="1"/>
      <c r="M104" s="1"/>
      <c r="N104" s="1"/>
      <c r="O104" s="1"/>
      <c r="P104" s="1"/>
      <c r="Q104" s="1"/>
      <c r="R104" s="1"/>
      <c r="S104" s="1"/>
      <c r="T104" s="1"/>
      <c r="U104" s="1"/>
      <c r="V104" s="1"/>
    </row>
    <row r="105" spans="1:22">
      <c r="A105" s="1"/>
      <c r="B105" s="1"/>
      <c r="C105" s="1"/>
      <c r="D105" s="1"/>
      <c r="E105" s="1"/>
      <c r="F105" s="1"/>
      <c r="G105" s="1"/>
      <c r="H105" s="1"/>
      <c r="I105" s="1"/>
      <c r="J105" s="1"/>
      <c r="K105" s="1"/>
      <c r="L105" s="1"/>
      <c r="M105" s="1"/>
      <c r="N105" s="1"/>
      <c r="O105" s="1"/>
      <c r="P105" s="1"/>
      <c r="Q105" s="1"/>
      <c r="R105" s="1"/>
      <c r="S105" s="1"/>
      <c r="T105" s="1"/>
      <c r="U105" s="1"/>
      <c r="V105" s="1"/>
    </row>
  </sheetData>
  <mergeCells count="2">
    <mergeCell ref="A3:V3"/>
    <mergeCell ref="F55:R55"/>
  </mergeCells>
  <dataValidations count="1">
    <dataValidation type="whole" allowBlank="1" showInputMessage="1" showErrorMessage="1" sqref="J19 P19 V19" xr:uid="{00000000-0002-0000-0300-000000000000}">
      <formula1>1</formula1>
      <formula2>11</formula2>
    </dataValidation>
  </dataValidations>
  <hyperlinks>
    <hyperlink ref="A1" location="Intro!A1" display="Back to Intro" xr:uid="{00000000-0004-0000-0300-000000000000}"/>
  </hyperlinks>
  <pageMargins left="0.7" right="0.7" top="0.75" bottom="0.75" header="0.3" footer="0.3"/>
  <pageSetup scale="33"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sults">
                <anchor moveWithCells="1" sizeWithCells="1">
                  <from>
                    <xdr:col>0</xdr:col>
                    <xdr:colOff>133350</xdr:colOff>
                    <xdr:row>43</xdr:row>
                    <xdr:rowOff>142875</xdr:rowOff>
                  </from>
                  <to>
                    <xdr:col>1</xdr:col>
                    <xdr:colOff>581025</xdr:colOff>
                    <xdr:row>47</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1000000}">
          <x14:formula1>
            <xm:f>Inputs!$G$3:$G$7</xm:f>
          </x14:formula1>
          <xm:sqref>H19:I35 N19:O35 T19:U35</xm:sqref>
        </x14:dataValidation>
        <x14:dataValidation type="list" allowBlank="1" showInputMessage="1" showErrorMessage="1" xr:uid="{00000000-0002-0000-0300-000002000000}">
          <x14:formula1>
            <xm:f>Inputs!$E$3:$E$6</xm:f>
          </x14:formula1>
          <xm:sqref>F19:F35 L19:L35 R19:R35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59999389629810485"/>
  </sheetPr>
  <dimension ref="A1:G72"/>
  <sheetViews>
    <sheetView zoomScaleNormal="100" workbookViewId="0">
      <selection activeCell="B2" sqref="B2"/>
    </sheetView>
  </sheetViews>
  <sheetFormatPr defaultRowHeight="15"/>
  <cols>
    <col min="1" max="1" width="65.28515625" customWidth="1"/>
    <col min="2" max="2" width="23" bestFit="1" customWidth="1"/>
    <col min="3" max="3" width="27.85546875" customWidth="1"/>
    <col min="4" max="4" width="30.140625" customWidth="1"/>
    <col min="5" max="5" width="17.85546875" customWidth="1"/>
    <col min="6" max="6" width="19.7109375" customWidth="1"/>
    <col min="7" max="7" width="61.28515625" customWidth="1"/>
    <col min="8" max="8" width="16.5703125" customWidth="1"/>
    <col min="10" max="10" width="52.85546875" customWidth="1"/>
    <col min="16" max="16" width="9.140625" customWidth="1"/>
  </cols>
  <sheetData>
    <row r="1" spans="1:7">
      <c r="A1" s="3" t="s">
        <v>1</v>
      </c>
    </row>
    <row r="2" spans="1:7">
      <c r="D2" s="50" t="s">
        <v>144</v>
      </c>
    </row>
    <row r="3" spans="1:7">
      <c r="B3" s="15"/>
    </row>
    <row r="4" spans="1:7">
      <c r="B4" s="15"/>
    </row>
    <row r="5" spans="1:7">
      <c r="B5" s="15"/>
    </row>
    <row r="7" spans="1:7">
      <c r="B7" s="18"/>
    </row>
    <row r="8" spans="1:7" ht="15.75" thickBot="1"/>
    <row r="9" spans="1:7">
      <c r="A9" s="41" t="s">
        <v>35</v>
      </c>
      <c r="B9" s="42"/>
      <c r="C9" s="42"/>
      <c r="D9" s="42"/>
      <c r="E9" s="42"/>
      <c r="F9" s="84"/>
      <c r="G9" s="47"/>
    </row>
    <row r="10" spans="1:7">
      <c r="A10" s="43" t="s">
        <v>91</v>
      </c>
      <c r="B10" s="44" t="s">
        <v>77</v>
      </c>
      <c r="C10" s="44" t="s">
        <v>94</v>
      </c>
      <c r="D10" s="44" t="s">
        <v>115</v>
      </c>
      <c r="E10" s="44" t="s">
        <v>114</v>
      </c>
      <c r="F10" s="85" t="s">
        <v>117</v>
      </c>
      <c r="G10" s="45" t="s">
        <v>71</v>
      </c>
    </row>
    <row r="11" spans="1:7" ht="30">
      <c r="A11" s="82" t="s">
        <v>120</v>
      </c>
      <c r="B11" s="12" t="s">
        <v>95</v>
      </c>
      <c r="C11" s="92">
        <v>25000</v>
      </c>
      <c r="D11" s="92">
        <v>5000</v>
      </c>
      <c r="E11" s="92">
        <f>C11+D11</f>
        <v>30000</v>
      </c>
      <c r="F11" s="86" t="s">
        <v>118</v>
      </c>
      <c r="G11" s="83" t="s">
        <v>131</v>
      </c>
    </row>
    <row r="12" spans="1:7" ht="60">
      <c r="A12" s="82" t="s">
        <v>123</v>
      </c>
      <c r="B12" s="12" t="s">
        <v>36</v>
      </c>
      <c r="C12" s="92">
        <v>25000</v>
      </c>
      <c r="D12" s="92">
        <v>3000</v>
      </c>
      <c r="E12" s="92">
        <f>C12+D12</f>
        <v>28000</v>
      </c>
      <c r="F12" s="86" t="s">
        <v>118</v>
      </c>
      <c r="G12" s="83" t="s">
        <v>124</v>
      </c>
    </row>
    <row r="13" spans="1:7" ht="30">
      <c r="A13" s="20" t="s">
        <v>116</v>
      </c>
      <c r="B13" s="12" t="s">
        <v>36</v>
      </c>
      <c r="C13" s="92">
        <v>20000</v>
      </c>
      <c r="D13" s="92">
        <v>5000</v>
      </c>
      <c r="E13" s="92">
        <f>C13*2+D13</f>
        <v>45000</v>
      </c>
      <c r="F13" s="86" t="s">
        <v>118</v>
      </c>
      <c r="G13" s="83" t="s">
        <v>147</v>
      </c>
    </row>
    <row r="14" spans="1:7" ht="60">
      <c r="A14" s="20" t="s">
        <v>119</v>
      </c>
      <c r="B14" s="12" t="s">
        <v>8</v>
      </c>
      <c r="C14" s="92">
        <v>20000</v>
      </c>
      <c r="D14" s="92"/>
      <c r="E14" s="12" t="s">
        <v>148</v>
      </c>
      <c r="F14" s="86" t="s">
        <v>118</v>
      </c>
      <c r="G14" s="83" t="s">
        <v>133</v>
      </c>
    </row>
    <row r="15" spans="1:7">
      <c r="A15" s="12" t="s">
        <v>129</v>
      </c>
      <c r="B15" s="12" t="s">
        <v>8</v>
      </c>
      <c r="C15" s="92">
        <v>5000</v>
      </c>
      <c r="D15" s="92"/>
      <c r="E15" s="12" t="s">
        <v>148</v>
      </c>
      <c r="F15" s="12" t="s">
        <v>118</v>
      </c>
      <c r="G15" s="12" t="s">
        <v>135</v>
      </c>
    </row>
    <row r="16" spans="1:7">
      <c r="A16" s="32" t="s">
        <v>142</v>
      </c>
      <c r="B16" s="12"/>
      <c r="C16" s="12"/>
      <c r="D16" s="12"/>
      <c r="E16" s="12"/>
      <c r="F16" s="12"/>
      <c r="G16" s="12"/>
    </row>
    <row r="17" spans="1:7">
      <c r="A17" s="12"/>
      <c r="B17" s="12"/>
      <c r="C17" s="12"/>
      <c r="D17" s="12"/>
      <c r="E17" s="12"/>
      <c r="F17" s="12"/>
      <c r="G17" s="12"/>
    </row>
    <row r="18" spans="1:7">
      <c r="A18" s="67"/>
      <c r="B18" s="67"/>
      <c r="C18" s="67"/>
      <c r="D18" s="67"/>
      <c r="E18" s="67"/>
      <c r="F18" s="67"/>
      <c r="G18" s="67"/>
    </row>
    <row r="19" spans="1:7" ht="15.75" thickBot="1"/>
    <row r="20" spans="1:7">
      <c r="A20" s="41" t="s">
        <v>35</v>
      </c>
      <c r="B20" s="42"/>
      <c r="C20" s="42"/>
      <c r="D20" s="42"/>
      <c r="E20" s="42"/>
      <c r="F20" s="84"/>
      <c r="G20" s="47"/>
    </row>
    <row r="21" spans="1:7">
      <c r="A21" s="43" t="s">
        <v>92</v>
      </c>
      <c r="B21" s="44" t="s">
        <v>77</v>
      </c>
      <c r="C21" s="44" t="s">
        <v>40</v>
      </c>
      <c r="D21" s="44" t="s">
        <v>115</v>
      </c>
      <c r="E21" s="44" t="s">
        <v>114</v>
      </c>
      <c r="F21" s="85" t="s">
        <v>117</v>
      </c>
      <c r="G21" s="45" t="s">
        <v>71</v>
      </c>
    </row>
    <row r="22" spans="1:7">
      <c r="A22" s="88" t="s">
        <v>122</v>
      </c>
      <c r="B22" s="12" t="s">
        <v>95</v>
      </c>
      <c r="C22" s="92">
        <v>15000</v>
      </c>
      <c r="D22" s="92">
        <v>3000</v>
      </c>
      <c r="E22" s="92">
        <f>C22+D22</f>
        <v>18000</v>
      </c>
      <c r="F22" s="86" t="s">
        <v>118</v>
      </c>
      <c r="G22" s="12" t="s">
        <v>130</v>
      </c>
    </row>
    <row r="23" spans="1:7" ht="30">
      <c r="A23" s="88" t="s">
        <v>125</v>
      </c>
      <c r="B23" s="12" t="s">
        <v>36</v>
      </c>
      <c r="C23" s="92">
        <v>15000</v>
      </c>
      <c r="D23" s="92">
        <v>2000</v>
      </c>
      <c r="E23" s="92">
        <f>C23+D23</f>
        <v>17000</v>
      </c>
      <c r="F23" s="86" t="s">
        <v>118</v>
      </c>
      <c r="G23" s="90" t="s">
        <v>132</v>
      </c>
    </row>
    <row r="24" spans="1:7">
      <c r="A24" s="12" t="s">
        <v>126</v>
      </c>
      <c r="B24" s="12" t="s">
        <v>36</v>
      </c>
      <c r="C24" s="92">
        <v>20000</v>
      </c>
      <c r="D24" s="92">
        <v>3000</v>
      </c>
      <c r="E24" s="92">
        <f>C24+D24</f>
        <v>23000</v>
      </c>
      <c r="F24" s="86" t="s">
        <v>118</v>
      </c>
      <c r="G24" s="12" t="s">
        <v>146</v>
      </c>
    </row>
    <row r="25" spans="1:7">
      <c r="A25" s="12" t="s">
        <v>138</v>
      </c>
      <c r="B25" s="12" t="s">
        <v>8</v>
      </c>
      <c r="C25" s="92">
        <v>15000</v>
      </c>
      <c r="D25" s="92">
        <v>3000</v>
      </c>
      <c r="E25" s="12" t="s">
        <v>148</v>
      </c>
      <c r="F25" s="86" t="s">
        <v>118</v>
      </c>
      <c r="G25" s="12" t="s">
        <v>134</v>
      </c>
    </row>
    <row r="26" spans="1:7">
      <c r="A26" s="89" t="s">
        <v>128</v>
      </c>
      <c r="B26" s="12" t="s">
        <v>8</v>
      </c>
      <c r="C26" s="92">
        <v>3000</v>
      </c>
      <c r="D26" s="92">
        <v>2000</v>
      </c>
      <c r="E26" s="12" t="s">
        <v>148</v>
      </c>
      <c r="F26" s="86" t="s">
        <v>118</v>
      </c>
      <c r="G26" s="12" t="s">
        <v>136</v>
      </c>
    </row>
    <row r="27" spans="1:7">
      <c r="A27" s="32" t="s">
        <v>142</v>
      </c>
      <c r="B27" s="12"/>
      <c r="C27" s="12"/>
      <c r="D27" s="12"/>
      <c r="E27" s="12"/>
      <c r="F27" s="12"/>
      <c r="G27" s="12"/>
    </row>
    <row r="28" spans="1:7">
      <c r="A28" s="12"/>
      <c r="B28" s="12"/>
      <c r="C28" s="12"/>
      <c r="D28" s="12"/>
      <c r="E28" s="12"/>
      <c r="F28" s="12"/>
      <c r="G28" s="12"/>
    </row>
    <row r="29" spans="1:7">
      <c r="A29" s="91"/>
      <c r="B29" s="67"/>
      <c r="C29" s="67"/>
      <c r="D29" s="67"/>
      <c r="E29" s="67"/>
      <c r="F29" s="67"/>
      <c r="G29" s="67"/>
    </row>
    <row r="31" spans="1:7" ht="15.75" thickBot="1"/>
    <row r="32" spans="1:7">
      <c r="A32" s="41" t="s">
        <v>35</v>
      </c>
      <c r="B32" s="42"/>
      <c r="C32" s="42"/>
      <c r="D32" s="42"/>
      <c r="E32" s="42"/>
      <c r="F32" s="84"/>
      <c r="G32" s="47"/>
    </row>
    <row r="33" spans="1:7">
      <c r="A33" s="43" t="s">
        <v>93</v>
      </c>
      <c r="B33" s="44" t="s">
        <v>77</v>
      </c>
      <c r="C33" s="44" t="s">
        <v>40</v>
      </c>
      <c r="D33" s="44" t="s">
        <v>115</v>
      </c>
      <c r="E33" s="44" t="s">
        <v>114</v>
      </c>
      <c r="F33" s="85" t="s">
        <v>117</v>
      </c>
      <c r="G33" s="45" t="s">
        <v>71</v>
      </c>
    </row>
    <row r="34" spans="1:7" ht="30">
      <c r="A34" s="87" t="s">
        <v>137</v>
      </c>
      <c r="B34" s="12" t="s">
        <v>36</v>
      </c>
      <c r="C34" s="93">
        <v>5000</v>
      </c>
      <c r="D34" s="12">
        <v>0</v>
      </c>
      <c r="E34" s="92">
        <f>C34*3</f>
        <v>15000</v>
      </c>
      <c r="F34" s="86" t="s">
        <v>118</v>
      </c>
      <c r="G34" s="83" t="s">
        <v>145</v>
      </c>
    </row>
    <row r="35" spans="1:7">
      <c r="A35" s="20" t="s">
        <v>127</v>
      </c>
      <c r="B35" s="12" t="s">
        <v>8</v>
      </c>
      <c r="C35" s="92">
        <v>10000</v>
      </c>
      <c r="D35" s="12">
        <v>0</v>
      </c>
      <c r="E35" s="12" t="s">
        <v>148</v>
      </c>
      <c r="F35" s="86" t="s">
        <v>118</v>
      </c>
      <c r="G35" s="21" t="s">
        <v>140</v>
      </c>
    </row>
    <row r="36" spans="1:7">
      <c r="A36" s="20" t="s">
        <v>139</v>
      </c>
      <c r="B36" s="12" t="s">
        <v>8</v>
      </c>
      <c r="C36" s="92">
        <v>2500</v>
      </c>
      <c r="D36" s="12">
        <v>0</v>
      </c>
      <c r="E36" s="12" t="s">
        <v>148</v>
      </c>
      <c r="F36" s="86" t="s">
        <v>118</v>
      </c>
      <c r="G36" s="21" t="s">
        <v>141</v>
      </c>
    </row>
    <row r="37" spans="1:7">
      <c r="A37" s="32" t="s">
        <v>142</v>
      </c>
      <c r="B37" s="12"/>
      <c r="C37" s="12"/>
      <c r="D37" s="12"/>
      <c r="E37" s="12"/>
      <c r="F37" s="86"/>
      <c r="G37" s="21"/>
    </row>
    <row r="38" spans="1:7">
      <c r="A38" s="20"/>
      <c r="B38" s="12"/>
      <c r="C38" s="12"/>
      <c r="D38" s="12"/>
      <c r="E38" s="12"/>
      <c r="F38" s="86"/>
      <c r="G38" s="21"/>
    </row>
    <row r="41" spans="1:7">
      <c r="A41" s="54" t="s">
        <v>143</v>
      </c>
      <c r="B41" s="54" t="s">
        <v>150</v>
      </c>
      <c r="C41" s="54"/>
      <c r="D41" s="54"/>
      <c r="E41" s="54"/>
      <c r="F41" s="103"/>
    </row>
    <row r="42" spans="1:7">
      <c r="A42" s="12" t="s">
        <v>35</v>
      </c>
      <c r="B42" s="12" t="s">
        <v>223</v>
      </c>
      <c r="C42" s="12" t="s">
        <v>224</v>
      </c>
      <c r="D42" s="12" t="s">
        <v>225</v>
      </c>
      <c r="E42" s="12"/>
    </row>
    <row r="43" spans="1:7">
      <c r="A43" s="12" t="str">
        <f>A11</f>
        <v>Multi-day Strategic Visioning and Engagement Session</v>
      </c>
      <c r="B43" s="12" t="s">
        <v>149</v>
      </c>
      <c r="C43" s="12"/>
      <c r="D43" s="12"/>
      <c r="E43" s="12"/>
    </row>
    <row r="44" spans="1:7">
      <c r="A44" s="12" t="str">
        <f>A12</f>
        <v>On-Site Onboarding Support</v>
      </c>
      <c r="B44" s="12" t="s">
        <v>149</v>
      </c>
      <c r="C44" s="12"/>
      <c r="D44" s="12"/>
      <c r="E44" s="12"/>
    </row>
    <row r="45" spans="1:7">
      <c r="A45" s="12" t="str">
        <f>A13</f>
        <v>Research Accelerator Team Support</v>
      </c>
      <c r="B45" s="12" t="s">
        <v>149</v>
      </c>
      <c r="C45" s="12"/>
      <c r="D45" s="12"/>
      <c r="E45" s="12"/>
    </row>
    <row r="46" spans="1:7">
      <c r="A46" s="12" t="str">
        <f>A14</f>
        <v>Dedicated Research Insights Team</v>
      </c>
      <c r="B46" s="12" t="s">
        <v>149</v>
      </c>
      <c r="C46" s="12"/>
      <c r="D46" s="12"/>
      <c r="E46" s="12"/>
    </row>
    <row r="47" spans="1:7">
      <c r="A47" s="12" t="str">
        <f>A15</f>
        <v>Quarterly User Engagement Workshop</v>
      </c>
      <c r="B47" s="12" t="s">
        <v>149</v>
      </c>
      <c r="C47" s="12"/>
      <c r="D47" s="12"/>
      <c r="E47" s="12"/>
    </row>
    <row r="48" spans="1:7">
      <c r="A48" s="12" t="str">
        <f>A22</f>
        <v>Day-long strategic vision and engagement</v>
      </c>
      <c r="B48" s="12"/>
      <c r="C48" s="12" t="s">
        <v>149</v>
      </c>
      <c r="D48" s="12"/>
      <c r="E48" s="12"/>
    </row>
    <row r="49" spans="1:5">
      <c r="A49" s="12" t="str">
        <f>A23</f>
        <v>Hybrid On-boarding Approach</v>
      </c>
      <c r="B49" s="12"/>
      <c r="C49" s="12" t="s">
        <v>149</v>
      </c>
      <c r="D49" s="12"/>
      <c r="E49" s="12"/>
    </row>
    <row r="50" spans="1:5">
      <c r="A50" s="12" t="str">
        <f>A24</f>
        <v>Short-Term Research Accelerator Support</v>
      </c>
      <c r="B50" s="12"/>
      <c r="C50" s="12" t="s">
        <v>149</v>
      </c>
      <c r="D50" s="12"/>
      <c r="E50" s="12"/>
    </row>
    <row r="51" spans="1:5">
      <c r="A51" s="12" t="str">
        <f>A25</f>
        <v>Hybrid Research Insights Team</v>
      </c>
      <c r="B51" s="12"/>
      <c r="C51" s="12" t="s">
        <v>149</v>
      </c>
      <c r="D51" s="12"/>
      <c r="E51" s="12"/>
    </row>
    <row r="52" spans="1:5">
      <c r="A52" s="12" t="str">
        <f>A26</f>
        <v>Bi-Annual User Engagement Workshop</v>
      </c>
      <c r="B52" s="12"/>
      <c r="C52" s="12" t="s">
        <v>149</v>
      </c>
      <c r="D52" s="12"/>
      <c r="E52" s="12"/>
    </row>
    <row r="53" spans="1:5">
      <c r="A53" s="12" t="str">
        <f>A34</f>
        <v>Back-end Research Accelerator Support</v>
      </c>
      <c r="B53" s="12"/>
      <c r="C53" s="12"/>
      <c r="D53" s="12" t="s">
        <v>149</v>
      </c>
      <c r="E53" s="12"/>
    </row>
    <row r="54" spans="1:5">
      <c r="A54" s="12" t="str">
        <f>A35</f>
        <v>Remote Research Insights Team</v>
      </c>
      <c r="B54" s="12"/>
      <c r="C54" s="12"/>
      <c r="D54" s="12" t="s">
        <v>149</v>
      </c>
      <c r="E54" s="12"/>
    </row>
    <row r="55" spans="1:5">
      <c r="A55" s="12" t="str">
        <f>A36</f>
        <v>Remote User Enagement Workshop</v>
      </c>
      <c r="B55" s="12"/>
      <c r="C55" s="12"/>
      <c r="D55" s="12" t="s">
        <v>149</v>
      </c>
      <c r="E55" s="12"/>
    </row>
    <row r="56" spans="1:5">
      <c r="A56" s="12" t="str">
        <f>A37</f>
        <v>Others - &lt;Add Here. Insert rows if needed&gt;</v>
      </c>
      <c r="B56" s="12"/>
      <c r="C56" s="12"/>
      <c r="D56" s="12"/>
      <c r="E56" s="12"/>
    </row>
    <row r="60" spans="1:5">
      <c r="A60" t="s">
        <v>384</v>
      </c>
      <c r="B60" t="s">
        <v>385</v>
      </c>
      <c r="C60" t="s">
        <v>94</v>
      </c>
      <c r="D60" t="s">
        <v>417</v>
      </c>
    </row>
    <row r="61" spans="1:5">
      <c r="A61" t="s">
        <v>95</v>
      </c>
      <c r="B61" t="s">
        <v>223</v>
      </c>
      <c r="C61" s="196">
        <f>E11</f>
        <v>30000</v>
      </c>
    </row>
    <row r="62" spans="1:5">
      <c r="A62" t="s">
        <v>95</v>
      </c>
      <c r="B62" t="s">
        <v>224</v>
      </c>
      <c r="C62" s="196">
        <f>E22</f>
        <v>18000</v>
      </c>
    </row>
    <row r="63" spans="1:5">
      <c r="A63" t="s">
        <v>95</v>
      </c>
      <c r="B63" t="s">
        <v>225</v>
      </c>
      <c r="C63">
        <v>0</v>
      </c>
    </row>
    <row r="64" spans="1:5">
      <c r="A64" t="s">
        <v>95</v>
      </c>
      <c r="B64" t="s">
        <v>216</v>
      </c>
      <c r="C64">
        <v>0</v>
      </c>
    </row>
    <row r="65" spans="1:3">
      <c r="A65" t="s">
        <v>36</v>
      </c>
      <c r="B65" t="s">
        <v>223</v>
      </c>
      <c r="C65" s="196">
        <f>E12+E13</f>
        <v>73000</v>
      </c>
    </row>
    <row r="66" spans="1:3">
      <c r="A66" t="s">
        <v>36</v>
      </c>
      <c r="B66" t="s">
        <v>224</v>
      </c>
      <c r="C66" s="196">
        <f>E23+E24</f>
        <v>40000</v>
      </c>
    </row>
    <row r="67" spans="1:3">
      <c r="A67" t="s">
        <v>36</v>
      </c>
      <c r="B67" t="s">
        <v>225</v>
      </c>
      <c r="C67" s="196">
        <f>E34</f>
        <v>15000</v>
      </c>
    </row>
    <row r="68" spans="1:3">
      <c r="A68" t="s">
        <v>36</v>
      </c>
      <c r="B68" t="s">
        <v>216</v>
      </c>
      <c r="C68" s="197">
        <v>0</v>
      </c>
    </row>
    <row r="69" spans="1:3">
      <c r="A69" t="s">
        <v>8</v>
      </c>
      <c r="B69" t="s">
        <v>223</v>
      </c>
      <c r="C69" s="196">
        <f>C14+C15</f>
        <v>25000</v>
      </c>
    </row>
    <row r="70" spans="1:3">
      <c r="A70" t="s">
        <v>8</v>
      </c>
      <c r="B70" t="s">
        <v>224</v>
      </c>
      <c r="C70" s="196">
        <f>C25+C26</f>
        <v>18000</v>
      </c>
    </row>
    <row r="71" spans="1:3">
      <c r="A71" t="s">
        <v>8</v>
      </c>
      <c r="B71" t="s">
        <v>225</v>
      </c>
      <c r="C71" s="196">
        <f>C35+C36</f>
        <v>12500</v>
      </c>
    </row>
    <row r="72" spans="1:3">
      <c r="A72" t="s">
        <v>8</v>
      </c>
      <c r="B72" t="s">
        <v>216</v>
      </c>
      <c r="C72">
        <v>0</v>
      </c>
    </row>
  </sheetData>
  <dataValidations count="1">
    <dataValidation type="list" allowBlank="1" showInputMessage="1" showErrorMessage="1" sqref="B22:B29 B34:B37" xr:uid="{00000000-0002-0000-0400-000000000000}">
      <formula1>$F$3:$F$6</formula1>
    </dataValidation>
  </dataValidations>
  <hyperlinks>
    <hyperlink ref="A1" location="Intro!A1" display="Back to Intro" xr:uid="{00000000-0004-0000-04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Inputs!$G$3:$G$6</xm:f>
          </x14:formula1>
          <xm:sqref>B11:B18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tint="0.79998168889431442"/>
  </sheetPr>
  <dimension ref="A1:J13"/>
  <sheetViews>
    <sheetView topLeftCell="C1" zoomScale="130" zoomScaleNormal="130" workbookViewId="0">
      <selection activeCell="G24" sqref="G24"/>
    </sheetView>
  </sheetViews>
  <sheetFormatPr defaultRowHeight="15"/>
  <cols>
    <col min="1" max="1" width="44.85546875" customWidth="1"/>
    <col min="2" max="2" width="25.28515625" customWidth="1"/>
    <col min="3" max="5" width="21.140625" customWidth="1"/>
    <col min="6" max="6" width="28.28515625" customWidth="1"/>
    <col min="7" max="7" width="23.28515625" customWidth="1"/>
    <col min="8" max="8" width="22.7109375" customWidth="1"/>
    <col min="9" max="9" width="15.85546875" customWidth="1"/>
    <col min="10" max="10" width="23.42578125" customWidth="1"/>
    <col min="12" max="13" width="10" bestFit="1" customWidth="1"/>
    <col min="15" max="17" width="10" bestFit="1" customWidth="1"/>
    <col min="19" max="20" width="10" bestFit="1" customWidth="1"/>
    <col min="21" max="21" width="11.140625" bestFit="1" customWidth="1"/>
  </cols>
  <sheetData>
    <row r="1" spans="1:10" ht="21">
      <c r="F1" s="34" t="s">
        <v>423</v>
      </c>
      <c r="G1" s="236">
        <f>'Rate Sheet'!B8</f>
        <v>0.15</v>
      </c>
    </row>
    <row r="2" spans="1:10" ht="21">
      <c r="A2" s="19"/>
      <c r="F2" s="34" t="s">
        <v>46</v>
      </c>
      <c r="G2" s="80">
        <f>B11* (1+G1)</f>
        <v>13523.148999999999</v>
      </c>
      <c r="H2" s="239"/>
    </row>
    <row r="3" spans="1:10" ht="21">
      <c r="A3" s="51" t="s">
        <v>1</v>
      </c>
      <c r="F3" s="34"/>
      <c r="G3" s="80"/>
      <c r="H3" s="239"/>
    </row>
    <row r="4" spans="1:10" ht="27" thickBot="1">
      <c r="A4" s="30" t="s">
        <v>249</v>
      </c>
      <c r="H4" s="1"/>
    </row>
    <row r="5" spans="1:10" ht="30.75" thickBot="1">
      <c r="A5" s="204" t="s">
        <v>48</v>
      </c>
      <c r="B5" s="205" t="s">
        <v>112</v>
      </c>
      <c r="C5" s="206" t="s">
        <v>111</v>
      </c>
      <c r="D5" s="54" t="s">
        <v>71</v>
      </c>
      <c r="F5" s="19" t="s">
        <v>261</v>
      </c>
    </row>
    <row r="6" spans="1:10" ht="30.75" thickBot="1">
      <c r="A6" s="207" t="s">
        <v>419</v>
      </c>
      <c r="B6" s="208">
        <v>563.54999999999995</v>
      </c>
      <c r="C6" s="209">
        <v>0</v>
      </c>
      <c r="D6" s="12"/>
      <c r="F6" s="60" t="s">
        <v>77</v>
      </c>
      <c r="G6" s="61" t="s">
        <v>80</v>
      </c>
      <c r="H6" s="61" t="s">
        <v>79</v>
      </c>
      <c r="I6" s="81" t="s">
        <v>263</v>
      </c>
      <c r="J6" s="62" t="s">
        <v>264</v>
      </c>
    </row>
    <row r="7" spans="1:10" ht="15.75" thickBot="1">
      <c r="A7" s="207" t="s">
        <v>397</v>
      </c>
      <c r="B7" s="208">
        <v>834.37</v>
      </c>
      <c r="C7" s="210">
        <v>0</v>
      </c>
      <c r="D7" s="12"/>
      <c r="F7" s="20" t="s">
        <v>262</v>
      </c>
      <c r="G7" s="59">
        <v>0.05</v>
      </c>
      <c r="H7" s="14">
        <f>$G$2*G7</f>
        <v>676.15745000000004</v>
      </c>
      <c r="I7" s="32">
        <f>Inputs!J3</f>
        <v>4</v>
      </c>
      <c r="J7" s="22">
        <f>H7/I7</f>
        <v>169.03936250000001</v>
      </c>
    </row>
    <row r="8" spans="1:10" ht="15.75" thickBot="1">
      <c r="A8" s="207" t="s">
        <v>398</v>
      </c>
      <c r="B8" s="208">
        <v>2351.63</v>
      </c>
      <c r="C8" s="209">
        <v>0.02</v>
      </c>
      <c r="D8" s="12"/>
      <c r="F8" s="20" t="s">
        <v>36</v>
      </c>
      <c r="G8" s="59">
        <v>0.15</v>
      </c>
      <c r="H8" s="14">
        <f>$G$2*G8</f>
        <v>2028.4723499999998</v>
      </c>
      <c r="I8" s="32">
        <v>2</v>
      </c>
      <c r="J8" s="22">
        <f>H8/I8</f>
        <v>1014.2361749999999</v>
      </c>
    </row>
    <row r="9" spans="1:10" ht="15.75" thickBot="1">
      <c r="A9" s="207" t="s">
        <v>399</v>
      </c>
      <c r="B9" s="208">
        <v>8009.71</v>
      </c>
      <c r="C9" s="209">
        <v>0.05</v>
      </c>
      <c r="D9" s="12"/>
      <c r="F9" s="20" t="s">
        <v>8</v>
      </c>
      <c r="G9" s="59">
        <v>0.8</v>
      </c>
      <c r="H9" s="14">
        <f>$G$2*G9</f>
        <v>10818.519200000001</v>
      </c>
      <c r="I9" s="32">
        <f>Inputs!J5</f>
        <v>9</v>
      </c>
      <c r="J9" s="22">
        <f>H9/I9</f>
        <v>1202.0576888888891</v>
      </c>
    </row>
    <row r="10" spans="1:10">
      <c r="A10" s="68"/>
      <c r="B10" s="78"/>
      <c r="C10" s="59"/>
      <c r="D10" s="12"/>
      <c r="F10" s="20" t="s">
        <v>96</v>
      </c>
      <c r="G10" s="59">
        <v>0.05</v>
      </c>
      <c r="H10" s="14">
        <f>$G$2*G10</f>
        <v>676.15745000000004</v>
      </c>
      <c r="I10" s="32">
        <v>1</v>
      </c>
      <c r="J10" s="22">
        <f>H10/I10</f>
        <v>676.15745000000004</v>
      </c>
    </row>
    <row r="11" spans="1:10" ht="15.75" thickBot="1">
      <c r="A11" s="54" t="s">
        <v>46</v>
      </c>
      <c r="B11" s="79">
        <f>SUM(B6:B10)</f>
        <v>11759.26</v>
      </c>
      <c r="C11" s="54"/>
      <c r="D11" s="54"/>
      <c r="F11" s="23"/>
      <c r="G11" s="63"/>
      <c r="H11" s="25"/>
      <c r="I11" s="24"/>
      <c r="J11" s="26"/>
    </row>
    <row r="13" spans="1:10">
      <c r="A13" s="58" t="s">
        <v>265</v>
      </c>
    </row>
  </sheetData>
  <hyperlinks>
    <hyperlink ref="A3" location="Intro!A1" display="Back to Intro" xr:uid="{00000000-0004-0000-0500-000000000000}"/>
  </hyperlinks>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N21"/>
  <sheetViews>
    <sheetView topLeftCell="C1" zoomScale="115" zoomScaleNormal="115" workbookViewId="0">
      <selection activeCell="C30" sqref="C30"/>
    </sheetView>
  </sheetViews>
  <sheetFormatPr defaultRowHeight="15"/>
  <cols>
    <col min="1" max="1" width="44.85546875" customWidth="1"/>
    <col min="2" max="2" width="19.5703125" customWidth="1"/>
    <col min="3" max="4" width="41.28515625" customWidth="1"/>
    <col min="5" max="5" width="24.28515625" customWidth="1"/>
    <col min="6" max="6" width="17.5703125" bestFit="1" customWidth="1"/>
    <col min="7" max="7" width="22.85546875" customWidth="1"/>
    <col min="9" max="9" width="28.5703125" customWidth="1"/>
    <col min="10" max="10" width="23.28515625" customWidth="1"/>
    <col min="11" max="11" width="22.7109375" customWidth="1"/>
    <col min="12" max="12" width="21.7109375" customWidth="1"/>
    <col min="13" max="13" width="19.28515625" customWidth="1"/>
    <col min="14" max="14" width="23.42578125" customWidth="1"/>
  </cols>
  <sheetData>
    <row r="1" spans="1:14" ht="21">
      <c r="A1" s="51" t="s">
        <v>1</v>
      </c>
      <c r="I1" s="34" t="s">
        <v>420</v>
      </c>
      <c r="J1" s="236">
        <f>'Rate Sheet'!B8</f>
        <v>0.15</v>
      </c>
    </row>
    <row r="2" spans="1:14" ht="26.25">
      <c r="A2" s="30" t="s">
        <v>248</v>
      </c>
      <c r="I2" s="34" t="s">
        <v>57</v>
      </c>
      <c r="J2" s="34" t="s">
        <v>58</v>
      </c>
      <c r="K2" s="34"/>
    </row>
    <row r="3" spans="1:14" ht="21.75" thickBot="1">
      <c r="A3" s="19" t="s">
        <v>403</v>
      </c>
      <c r="I3" s="34" t="s">
        <v>46</v>
      </c>
      <c r="J3" s="35">
        <f>(G13+G19)*(1+J1)</f>
        <v>73873.125</v>
      </c>
      <c r="K3" s="35"/>
    </row>
    <row r="4" spans="1:14">
      <c r="A4" s="52" t="s">
        <v>402</v>
      </c>
      <c r="B4" s="53" t="s">
        <v>59</v>
      </c>
      <c r="C4" s="53" t="s">
        <v>20</v>
      </c>
      <c r="D4" s="181"/>
      <c r="E4" s="54" t="s">
        <v>66</v>
      </c>
      <c r="F4" s="54" t="s">
        <v>53</v>
      </c>
      <c r="G4" s="55" t="s">
        <v>54</v>
      </c>
    </row>
    <row r="5" spans="1:14" ht="15.75" thickBot="1">
      <c r="A5" s="20" t="s">
        <v>41</v>
      </c>
      <c r="B5" s="12">
        <v>20</v>
      </c>
      <c r="C5" s="12" t="s">
        <v>60</v>
      </c>
      <c r="D5" s="12"/>
      <c r="E5" s="12" t="s">
        <v>47</v>
      </c>
      <c r="F5" s="14">
        <f>G5*12</f>
        <v>36000</v>
      </c>
      <c r="G5" s="22">
        <f>B5*'Rate Sheet'!$B$5</f>
        <v>3000</v>
      </c>
      <c r="I5" s="19" t="s">
        <v>261</v>
      </c>
      <c r="L5" t="s">
        <v>297</v>
      </c>
    </row>
    <row r="6" spans="1:14">
      <c r="A6" s="20" t="s">
        <v>42</v>
      </c>
      <c r="B6" s="12">
        <v>10</v>
      </c>
      <c r="C6" s="12" t="s">
        <v>61</v>
      </c>
      <c r="D6" s="12"/>
      <c r="E6" s="12" t="s">
        <v>47</v>
      </c>
      <c r="F6" s="14">
        <f t="shared" ref="F6:F11" si="0">G6*12</f>
        <v>18000</v>
      </c>
      <c r="G6" s="22">
        <f>B6*'Rate Sheet'!$B$5</f>
        <v>1500</v>
      </c>
      <c r="I6" s="60" t="s">
        <v>77</v>
      </c>
      <c r="J6" s="61" t="s">
        <v>80</v>
      </c>
      <c r="K6" s="61" t="s">
        <v>79</v>
      </c>
      <c r="L6" s="61" t="s">
        <v>113</v>
      </c>
      <c r="M6" s="62" t="s">
        <v>81</v>
      </c>
    </row>
    <row r="7" spans="1:14">
      <c r="A7" s="20" t="s">
        <v>67</v>
      </c>
      <c r="B7" s="12">
        <v>40</v>
      </c>
      <c r="C7" s="12" t="s">
        <v>68</v>
      </c>
      <c r="D7" s="12"/>
      <c r="E7" s="12" t="s">
        <v>47</v>
      </c>
      <c r="F7" s="14">
        <f t="shared" si="0"/>
        <v>72000</v>
      </c>
      <c r="G7" s="22">
        <f>B7*'Rate Sheet'!$B$5</f>
        <v>6000</v>
      </c>
      <c r="I7" s="20" t="s">
        <v>262</v>
      </c>
      <c r="J7" s="59">
        <v>0.05</v>
      </c>
      <c r="K7" s="14">
        <f>$J$3*J7</f>
        <v>3693.65625</v>
      </c>
      <c r="L7" s="32">
        <f>Inputs!J3</f>
        <v>4</v>
      </c>
      <c r="M7" s="22">
        <f>K7/L7</f>
        <v>923.4140625</v>
      </c>
    </row>
    <row r="8" spans="1:14">
      <c r="A8" s="20" t="s">
        <v>43</v>
      </c>
      <c r="B8" s="12">
        <v>40</v>
      </c>
      <c r="C8" s="12" t="s">
        <v>62</v>
      </c>
      <c r="D8" s="12"/>
      <c r="E8" s="12" t="s">
        <v>47</v>
      </c>
      <c r="F8" s="14">
        <f t="shared" si="0"/>
        <v>72000</v>
      </c>
      <c r="G8" s="22">
        <f>B8*'Rate Sheet'!$B$5</f>
        <v>6000</v>
      </c>
      <c r="I8" s="20" t="s">
        <v>36</v>
      </c>
      <c r="J8" s="59">
        <v>0.3</v>
      </c>
      <c r="K8" s="14">
        <f>$J$3*J8</f>
        <v>22161.9375</v>
      </c>
      <c r="L8" s="32">
        <f>Inputs!J4</f>
        <v>0</v>
      </c>
      <c r="M8" s="22">
        <f>IF(L8=0,1,K8/L8)</f>
        <v>1</v>
      </c>
    </row>
    <row r="9" spans="1:14">
      <c r="A9" s="20" t="s">
        <v>44</v>
      </c>
      <c r="B9" s="12">
        <v>10</v>
      </c>
      <c r="C9" s="12" t="s">
        <v>64</v>
      </c>
      <c r="D9" s="12"/>
      <c r="E9" s="12" t="s">
        <v>47</v>
      </c>
      <c r="F9" s="14">
        <f t="shared" si="0"/>
        <v>18000</v>
      </c>
      <c r="G9" s="22">
        <f>B9*'Rate Sheet'!$B$5</f>
        <v>1500</v>
      </c>
      <c r="I9" s="20" t="s">
        <v>8</v>
      </c>
      <c r="J9" s="59">
        <v>0.6</v>
      </c>
      <c r="K9" s="14">
        <f>$J$3*J9</f>
        <v>44323.875</v>
      </c>
      <c r="L9" s="32">
        <f>Inputs!J5</f>
        <v>9</v>
      </c>
      <c r="M9" s="22">
        <f>K9/L9</f>
        <v>4924.875</v>
      </c>
    </row>
    <row r="10" spans="1:14">
      <c r="A10" s="20" t="s">
        <v>63</v>
      </c>
      <c r="B10" s="12">
        <v>16</v>
      </c>
      <c r="C10" s="12" t="s">
        <v>65</v>
      </c>
      <c r="D10" s="12"/>
      <c r="E10" s="12" t="s">
        <v>47</v>
      </c>
      <c r="F10" s="14">
        <f t="shared" si="0"/>
        <v>28800</v>
      </c>
      <c r="G10" s="22">
        <f>B10*'Rate Sheet'!$B$5</f>
        <v>2400</v>
      </c>
      <c r="I10" s="20" t="s">
        <v>96</v>
      </c>
      <c r="J10" s="59">
        <v>0.05</v>
      </c>
      <c r="K10" s="14">
        <f>$J$3*J10</f>
        <v>3693.65625</v>
      </c>
      <c r="L10" s="32">
        <f>Inputs!J6</f>
        <v>0</v>
      </c>
      <c r="M10" s="22">
        <f>IF(L10=0,1,K10/L10)</f>
        <v>1</v>
      </c>
    </row>
    <row r="11" spans="1:14" ht="15.75" thickBot="1">
      <c r="A11" s="36" t="s">
        <v>69</v>
      </c>
      <c r="B11" s="37">
        <v>40</v>
      </c>
      <c r="C11" s="37" t="s">
        <v>70</v>
      </c>
      <c r="D11" s="37"/>
      <c r="E11" s="37" t="s">
        <v>47</v>
      </c>
      <c r="F11" s="14">
        <f t="shared" si="0"/>
        <v>72000</v>
      </c>
      <c r="G11" s="22">
        <f>B11*'Rate Sheet'!$B$5</f>
        <v>6000</v>
      </c>
      <c r="I11" s="23"/>
      <c r="J11" s="63"/>
      <c r="K11" s="25"/>
      <c r="L11" s="24"/>
      <c r="M11" s="26"/>
    </row>
    <row r="12" spans="1:14">
      <c r="A12" s="36"/>
      <c r="B12" s="37"/>
      <c r="C12" s="37"/>
      <c r="D12" s="37"/>
      <c r="E12" s="37"/>
      <c r="F12" s="38"/>
      <c r="G12" s="39"/>
    </row>
    <row r="13" spans="1:14" ht="15.75" thickBot="1">
      <c r="A13" s="23" t="s">
        <v>46</v>
      </c>
      <c r="B13" s="24"/>
      <c r="C13" s="24"/>
      <c r="D13" s="24"/>
      <c r="E13" s="24"/>
      <c r="F13" s="25">
        <f>SUM(F5:F10)</f>
        <v>244800</v>
      </c>
      <c r="G13" s="26">
        <f>SUM(G5:G10)</f>
        <v>20400</v>
      </c>
      <c r="J13" s="105">
        <f>J3/SUM(L7:L10)</f>
        <v>5682.5480769230771</v>
      </c>
      <c r="L13" s="105">
        <f>J3/SUM(L7:L10)</f>
        <v>5682.5480769230771</v>
      </c>
    </row>
    <row r="14" spans="1:14">
      <c r="A14" s="67"/>
      <c r="B14" s="67"/>
      <c r="C14" s="67"/>
      <c r="D14" s="67"/>
      <c r="E14" s="67"/>
      <c r="F14" s="234"/>
      <c r="G14" s="234"/>
      <c r="J14" s="105"/>
      <c r="L14" s="105"/>
    </row>
    <row r="15" spans="1:14" ht="15.75" thickBot="1">
      <c r="A15" s="235" t="s">
        <v>418</v>
      </c>
      <c r="L15" s="105">
        <f>$L$13*J7</f>
        <v>284.12740384615387</v>
      </c>
      <c r="M15" s="105">
        <f>L13*L7</f>
        <v>22730.192307692309</v>
      </c>
      <c r="N15" s="105">
        <f>L15*L7</f>
        <v>1136.5096153846155</v>
      </c>
    </row>
    <row r="16" spans="1:14">
      <c r="A16" s="56" t="s">
        <v>404</v>
      </c>
      <c r="B16" s="53"/>
      <c r="C16" s="53" t="s">
        <v>405</v>
      </c>
      <c r="D16" s="53"/>
      <c r="E16" s="53" t="s">
        <v>66</v>
      </c>
      <c r="F16" s="53" t="s">
        <v>53</v>
      </c>
      <c r="G16" s="57" t="s">
        <v>54</v>
      </c>
      <c r="L16" s="105">
        <f t="shared" ref="L16:L18" si="1">$L$13*J8</f>
        <v>1704.7644230769231</v>
      </c>
      <c r="M16" s="105">
        <f>L13*L8</f>
        <v>0</v>
      </c>
    </row>
    <row r="17" spans="1:13">
      <c r="A17" s="20" t="s">
        <v>121</v>
      </c>
      <c r="B17" s="14"/>
      <c r="C17" s="211">
        <v>0.75</v>
      </c>
      <c r="D17" s="12" t="s">
        <v>342</v>
      </c>
      <c r="E17" s="12" t="s">
        <v>344</v>
      </c>
      <c r="F17" s="14">
        <f>G17*12</f>
        <v>300600</v>
      </c>
      <c r="G17" s="27">
        <f>C17*'Rate Sheet'!B10*'Rate Sheet'!B4</f>
        <v>25050</v>
      </c>
      <c r="L17" s="105">
        <f t="shared" si="1"/>
        <v>3409.5288461538462</v>
      </c>
      <c r="M17" s="105">
        <f>L13*L9</f>
        <v>51142.932692307695</v>
      </c>
    </row>
    <row r="18" spans="1:13">
      <c r="A18" s="20" t="s">
        <v>268</v>
      </c>
      <c r="B18" s="14"/>
      <c r="C18" s="211">
        <v>0.75</v>
      </c>
      <c r="D18" s="12" t="s">
        <v>343</v>
      </c>
      <c r="E18" s="12" t="s">
        <v>344</v>
      </c>
      <c r="F18" s="14">
        <f>G18*12</f>
        <v>225450</v>
      </c>
      <c r="G18" s="27">
        <f>C18*'Rate Sheet'!B10*'Rate Sheet'!B5</f>
        <v>18787.5</v>
      </c>
      <c r="L18" s="105">
        <f t="shared" si="1"/>
        <v>284.12740384615387</v>
      </c>
      <c r="M18" s="105">
        <f>L13*L10</f>
        <v>0</v>
      </c>
    </row>
    <row r="19" spans="1:13" ht="15.75" thickBot="1">
      <c r="A19" s="23" t="s">
        <v>46</v>
      </c>
      <c r="B19" s="28"/>
      <c r="C19" s="24"/>
      <c r="D19" s="24"/>
      <c r="E19" s="24"/>
      <c r="F19" s="25">
        <f>SUM(F17:F18)</f>
        <v>526050</v>
      </c>
      <c r="G19" s="29">
        <f>SUM(G17:G18)</f>
        <v>43837.5</v>
      </c>
    </row>
    <row r="21" spans="1:13">
      <c r="A21" t="s">
        <v>406</v>
      </c>
    </row>
  </sheetData>
  <hyperlinks>
    <hyperlink ref="A1" location="Intro!A1" display="Back to Intro" xr:uid="{00000000-0004-0000-06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G10"/>
  <sheetViews>
    <sheetView workbookViewId="0">
      <selection activeCell="D28" sqref="D28"/>
    </sheetView>
  </sheetViews>
  <sheetFormatPr defaultRowHeight="15"/>
  <cols>
    <col min="1" max="1" width="40.140625" customWidth="1"/>
  </cols>
  <sheetData>
    <row r="1" spans="1:7">
      <c r="A1" s="251" t="s">
        <v>421</v>
      </c>
      <c r="B1" s="251"/>
      <c r="C1" s="251"/>
      <c r="D1" s="251"/>
      <c r="E1" s="251"/>
      <c r="F1" s="251"/>
      <c r="G1" s="251"/>
    </row>
    <row r="3" spans="1:7">
      <c r="A3" s="19" t="s">
        <v>422</v>
      </c>
      <c r="B3" s="19"/>
    </row>
    <row r="4" spans="1:7">
      <c r="A4" s="241" t="s">
        <v>51</v>
      </c>
      <c r="B4" s="237">
        <v>200</v>
      </c>
    </row>
    <row r="5" spans="1:7">
      <c r="A5" s="241" t="s">
        <v>90</v>
      </c>
      <c r="B5" s="237">
        <v>150</v>
      </c>
    </row>
    <row r="6" spans="1:7">
      <c r="A6" s="241" t="s">
        <v>89</v>
      </c>
      <c r="B6" s="196">
        <v>150</v>
      </c>
    </row>
    <row r="8" spans="1:7">
      <c r="A8" s="19" t="s">
        <v>423</v>
      </c>
      <c r="B8" s="236">
        <v>0.15</v>
      </c>
    </row>
    <row r="10" spans="1:7">
      <c r="A10" s="19" t="s">
        <v>52</v>
      </c>
      <c r="B10" s="238">
        <f>ROUND(40*50/12,0)</f>
        <v>167</v>
      </c>
    </row>
  </sheetData>
  <mergeCells count="1">
    <mergeCell ref="A1: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27"/>
  <sheetViews>
    <sheetView zoomScale="115" zoomScaleNormal="115" workbookViewId="0">
      <selection activeCell="H28" sqref="H28"/>
    </sheetView>
  </sheetViews>
  <sheetFormatPr defaultRowHeight="15"/>
  <cols>
    <col min="1" max="1" width="38.140625" customWidth="1"/>
    <col min="2" max="2" width="13.140625" customWidth="1"/>
    <col min="3" max="3" width="13.5703125" customWidth="1"/>
    <col min="4" max="4" width="9.28515625" customWidth="1"/>
    <col min="5" max="5" width="15" customWidth="1"/>
    <col min="6" max="7" width="9.28515625" customWidth="1"/>
    <col min="8" max="8" width="23.5703125" customWidth="1"/>
    <col min="9" max="9" width="40" customWidth="1"/>
    <col min="11" max="11" width="44.85546875" customWidth="1"/>
  </cols>
  <sheetData>
    <row r="1" spans="1:8">
      <c r="A1" s="17" t="s">
        <v>1</v>
      </c>
    </row>
    <row r="2" spans="1:8" ht="18.75">
      <c r="A2" s="49" t="s">
        <v>334</v>
      </c>
      <c r="H2" s="17"/>
    </row>
    <row r="3" spans="1:8">
      <c r="A3" s="99" t="s">
        <v>168</v>
      </c>
      <c r="B3" s="252" t="s">
        <v>169</v>
      </c>
      <c r="C3" s="252"/>
      <c r="D3" s="252"/>
      <c r="E3" s="252" t="s">
        <v>271</v>
      </c>
      <c r="F3" s="252"/>
      <c r="G3" s="252"/>
    </row>
    <row r="4" spans="1:8">
      <c r="A4" s="99"/>
      <c r="B4" s="98"/>
      <c r="C4" s="98"/>
      <c r="D4" s="98"/>
      <c r="E4" s="98"/>
      <c r="F4" s="98"/>
      <c r="G4" s="98"/>
    </row>
    <row r="5" spans="1:8">
      <c r="A5" s="12" t="s">
        <v>266</v>
      </c>
      <c r="B5" s="12" t="s">
        <v>39</v>
      </c>
      <c r="C5" s="12" t="s">
        <v>38</v>
      </c>
      <c r="D5" s="12" t="s">
        <v>37</v>
      </c>
      <c r="E5" s="12" t="s">
        <v>39</v>
      </c>
      <c r="F5" s="12" t="s">
        <v>38</v>
      </c>
      <c r="G5" s="12" t="s">
        <v>37</v>
      </c>
      <c r="H5" t="s">
        <v>71</v>
      </c>
    </row>
    <row r="6" spans="1:8">
      <c r="A6" s="12" t="s">
        <v>105</v>
      </c>
      <c r="B6" s="16">
        <f>Inputs!H49</f>
        <v>17.61</v>
      </c>
      <c r="C6" s="16">
        <f>Inputs!I49</f>
        <v>18.207500000000003</v>
      </c>
      <c r="D6" s="92">
        <v>18</v>
      </c>
      <c r="E6" s="59">
        <v>0</v>
      </c>
      <c r="F6" s="59">
        <v>0.01</v>
      </c>
      <c r="G6" s="59">
        <v>0.02</v>
      </c>
    </row>
    <row r="7" spans="1:8">
      <c r="A7" s="12" t="s">
        <v>106</v>
      </c>
      <c r="B7" s="16">
        <f>D7/3</f>
        <v>233.33333333333334</v>
      </c>
      <c r="C7" s="16">
        <f>D7*2/3</f>
        <v>466.66666666666669</v>
      </c>
      <c r="D7" s="16">
        <v>700</v>
      </c>
      <c r="E7" s="59">
        <v>0.02</v>
      </c>
      <c r="F7" s="59">
        <v>0.05</v>
      </c>
      <c r="G7" s="59">
        <v>0.1</v>
      </c>
    </row>
    <row r="8" spans="1:8">
      <c r="A8" s="12" t="s">
        <v>107</v>
      </c>
      <c r="B8" s="16">
        <f>D8/3</f>
        <v>14.5</v>
      </c>
      <c r="C8" s="16">
        <f>D8*2/3</f>
        <v>29</v>
      </c>
      <c r="D8" s="16">
        <f>Inputs!J51</f>
        <v>43.5</v>
      </c>
      <c r="E8" s="59">
        <v>0.01</v>
      </c>
      <c r="F8" s="59">
        <v>0.03</v>
      </c>
      <c r="G8" s="59">
        <v>0.05</v>
      </c>
      <c r="H8" t="s">
        <v>170</v>
      </c>
    </row>
    <row r="9" spans="1:8">
      <c r="A9" s="12" t="s">
        <v>108</v>
      </c>
      <c r="B9" s="16">
        <f>D9/3</f>
        <v>132.32</v>
      </c>
      <c r="C9" s="16">
        <f>D9*2/3</f>
        <v>264.64</v>
      </c>
      <c r="D9" s="16">
        <f>Inputs!J92</f>
        <v>396.96</v>
      </c>
      <c r="E9" s="59">
        <v>0.01</v>
      </c>
      <c r="F9" s="59">
        <v>0.02</v>
      </c>
      <c r="G9" s="59">
        <v>0.03</v>
      </c>
      <c r="H9" t="s">
        <v>177</v>
      </c>
    </row>
    <row r="10" spans="1:8">
      <c r="A10" s="12" t="s">
        <v>151</v>
      </c>
      <c r="B10" s="16">
        <f>D10/3</f>
        <v>37.28</v>
      </c>
      <c r="C10" s="16">
        <f>D10*2/3</f>
        <v>74.56</v>
      </c>
      <c r="D10" s="16">
        <f>Inputs!J53</f>
        <v>111.84</v>
      </c>
      <c r="E10" s="59">
        <v>5.0000000000000001E-4</v>
      </c>
      <c r="F10" s="59">
        <v>0.01</v>
      </c>
      <c r="G10" s="59">
        <v>0.02</v>
      </c>
      <c r="H10" t="s">
        <v>255</v>
      </c>
    </row>
    <row r="11" spans="1:8">
      <c r="A11" s="12" t="s">
        <v>152</v>
      </c>
      <c r="B11" s="16">
        <f>D11/3</f>
        <v>394.33333333333331</v>
      </c>
      <c r="C11" s="16">
        <f>D11*2/3</f>
        <v>788.66666666666663</v>
      </c>
      <c r="D11" s="16">
        <f>Inputs!J54</f>
        <v>1183</v>
      </c>
      <c r="E11" s="59">
        <v>5.0000000000000001E-4</v>
      </c>
      <c r="F11" s="59">
        <v>0.01</v>
      </c>
      <c r="G11" s="59">
        <v>0.02</v>
      </c>
    </row>
    <row r="12" spans="1:8">
      <c r="A12" s="12"/>
      <c r="B12" s="12"/>
      <c r="C12" s="12"/>
      <c r="D12" s="12"/>
      <c r="E12" s="12"/>
      <c r="F12" s="12"/>
      <c r="G12" s="12"/>
    </row>
    <row r="13" spans="1:8">
      <c r="A13" s="12" t="s">
        <v>166</v>
      </c>
      <c r="B13" s="12"/>
      <c r="C13" s="12"/>
      <c r="D13" s="12"/>
      <c r="E13" s="12"/>
      <c r="F13" s="12"/>
      <c r="G13" s="12"/>
    </row>
    <row r="14" spans="1:8">
      <c r="A14" s="12" t="s">
        <v>108</v>
      </c>
      <c r="B14" s="16">
        <f>D14/3</f>
        <v>125.25333333333333</v>
      </c>
      <c r="C14" s="16">
        <f>D14*2/3</f>
        <v>250.50666666666666</v>
      </c>
      <c r="D14" s="16">
        <f>Inputs!I111</f>
        <v>375.76</v>
      </c>
      <c r="E14" s="59">
        <v>0.01</v>
      </c>
      <c r="F14" s="59">
        <v>0.02</v>
      </c>
      <c r="G14" s="59">
        <v>0.03</v>
      </c>
    </row>
    <row r="16" spans="1:8">
      <c r="A16" s="101" t="s">
        <v>267</v>
      </c>
      <c r="B16" s="102"/>
      <c r="C16" s="102"/>
      <c r="D16" s="102"/>
    </row>
    <row r="17" spans="1:7">
      <c r="A17" s="101"/>
      <c r="B17" s="102"/>
      <c r="C17" s="102"/>
      <c r="D17" s="102"/>
    </row>
    <row r="18" spans="1:7">
      <c r="A18" s="101"/>
      <c r="B18" s="102"/>
      <c r="C18" s="102"/>
      <c r="D18" s="102"/>
    </row>
    <row r="19" spans="1:7" ht="15.75" thickBot="1"/>
    <row r="20" spans="1:7">
      <c r="A20" s="60" t="s">
        <v>269</v>
      </c>
      <c r="B20" s="172">
        <f>B8+B10+B6</f>
        <v>69.39</v>
      </c>
      <c r="C20" s="172">
        <f>C8+C10+C6</f>
        <v>121.76750000000001</v>
      </c>
      <c r="D20" s="172">
        <f>D8+D10+D6</f>
        <v>173.34</v>
      </c>
      <c r="E20" s="173">
        <f>E8</f>
        <v>0.01</v>
      </c>
      <c r="F20" s="173">
        <f>F8</f>
        <v>0.03</v>
      </c>
      <c r="G20" s="174">
        <f>G8</f>
        <v>0.05</v>
      </c>
    </row>
    <row r="21" spans="1:7">
      <c r="A21" s="20" t="s">
        <v>270</v>
      </c>
      <c r="B21" s="171">
        <f t="shared" ref="B21:G21" si="0">B7</f>
        <v>233.33333333333334</v>
      </c>
      <c r="C21" s="171">
        <f t="shared" si="0"/>
        <v>466.66666666666669</v>
      </c>
      <c r="D21" s="171">
        <f t="shared" si="0"/>
        <v>700</v>
      </c>
      <c r="E21" s="59">
        <f t="shared" si="0"/>
        <v>0.02</v>
      </c>
      <c r="F21" s="59">
        <f t="shared" si="0"/>
        <v>0.05</v>
      </c>
      <c r="G21" s="175">
        <f t="shared" si="0"/>
        <v>0.1</v>
      </c>
    </row>
    <row r="22" spans="1:7">
      <c r="A22" s="20" t="s">
        <v>400</v>
      </c>
      <c r="B22" s="171">
        <f t="shared" ref="B22:G22" si="1">B9</f>
        <v>132.32</v>
      </c>
      <c r="C22" s="171">
        <f t="shared" si="1"/>
        <v>264.64</v>
      </c>
      <c r="D22" s="171">
        <f t="shared" si="1"/>
        <v>396.96</v>
      </c>
      <c r="E22" s="59">
        <f t="shared" si="1"/>
        <v>0.01</v>
      </c>
      <c r="F22" s="59">
        <f t="shared" si="1"/>
        <v>0.02</v>
      </c>
      <c r="G22" s="175">
        <f t="shared" si="1"/>
        <v>0.03</v>
      </c>
    </row>
    <row r="23" spans="1:7">
      <c r="A23" s="20" t="s">
        <v>401</v>
      </c>
      <c r="B23" s="171">
        <f t="shared" ref="B23:G23" si="2">B11</f>
        <v>394.33333333333331</v>
      </c>
      <c r="C23" s="171">
        <f t="shared" si="2"/>
        <v>788.66666666666663</v>
      </c>
      <c r="D23" s="171">
        <f t="shared" si="2"/>
        <v>1183</v>
      </c>
      <c r="E23" s="59">
        <f t="shared" si="2"/>
        <v>5.0000000000000001E-4</v>
      </c>
      <c r="F23" s="59">
        <f t="shared" si="2"/>
        <v>0.01</v>
      </c>
      <c r="G23" s="175">
        <f t="shared" si="2"/>
        <v>0.02</v>
      </c>
    </row>
    <row r="24" spans="1:7" ht="15.75" thickBot="1">
      <c r="A24" s="23" t="s">
        <v>290</v>
      </c>
      <c r="B24" s="176">
        <f t="shared" ref="B24:G24" si="3">B14</f>
        <v>125.25333333333333</v>
      </c>
      <c r="C24" s="176">
        <f t="shared" si="3"/>
        <v>250.50666666666666</v>
      </c>
      <c r="D24" s="176">
        <f t="shared" si="3"/>
        <v>375.76</v>
      </c>
      <c r="E24" s="63">
        <f t="shared" si="3"/>
        <v>0.01</v>
      </c>
      <c r="F24" s="63">
        <f t="shared" si="3"/>
        <v>0.02</v>
      </c>
      <c r="G24" s="177">
        <f t="shared" si="3"/>
        <v>0.03</v>
      </c>
    </row>
    <row r="25" spans="1:7">
      <c r="A25" s="212"/>
    </row>
    <row r="26" spans="1:7">
      <c r="A26" s="212"/>
    </row>
    <row r="27" spans="1:7">
      <c r="A27" s="212"/>
    </row>
  </sheetData>
  <mergeCells count="2">
    <mergeCell ref="B3:D3"/>
    <mergeCell ref="E3:G3"/>
  </mergeCells>
  <hyperlinks>
    <hyperlink ref="A1" location="Intro!A1" display="Back to Intro" xr:uid="{00000000-0004-0000-08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D131"/>
  <sheetViews>
    <sheetView zoomScale="55" zoomScaleNormal="55" workbookViewId="0">
      <selection activeCell="F45" sqref="F45"/>
    </sheetView>
  </sheetViews>
  <sheetFormatPr defaultRowHeight="15"/>
  <cols>
    <col min="1" max="13" width="28.42578125" customWidth="1"/>
    <col min="14" max="14" width="24.28515625" customWidth="1"/>
    <col min="15" max="15" width="25.42578125" customWidth="1"/>
    <col min="16" max="16" width="19.140625" customWidth="1"/>
    <col min="17" max="17" width="27.28515625" customWidth="1"/>
    <col min="18" max="18" width="28.5703125" customWidth="1"/>
    <col min="19" max="19" width="24.7109375" customWidth="1"/>
    <col min="20" max="20" width="21.5703125" customWidth="1"/>
    <col min="21" max="21" width="20.5703125" customWidth="1"/>
    <col min="22" max="22" width="31.5703125" customWidth="1"/>
    <col min="23" max="23" width="32.85546875" customWidth="1"/>
    <col min="24" max="29" width="28.42578125" customWidth="1"/>
  </cols>
  <sheetData>
    <row r="1" spans="1:30" ht="30">
      <c r="A1" s="145" t="s">
        <v>19</v>
      </c>
      <c r="B1" s="145" t="s">
        <v>274</v>
      </c>
      <c r="C1" s="145" t="s">
        <v>273</v>
      </c>
      <c r="D1" s="145" t="s">
        <v>272</v>
      </c>
      <c r="E1" s="145" t="s">
        <v>277</v>
      </c>
      <c r="F1" s="145" t="s">
        <v>276</v>
      </c>
      <c r="G1" s="145" t="s">
        <v>275</v>
      </c>
      <c r="H1" s="145" t="s">
        <v>280</v>
      </c>
      <c r="I1" s="145" t="s">
        <v>279</v>
      </c>
      <c r="J1" s="145" t="s">
        <v>278</v>
      </c>
      <c r="K1" s="145" t="s">
        <v>283</v>
      </c>
      <c r="L1" s="145" t="s">
        <v>282</v>
      </c>
      <c r="M1" s="145" t="s">
        <v>281</v>
      </c>
      <c r="N1" s="145" t="s">
        <v>196</v>
      </c>
      <c r="O1" s="145" t="s">
        <v>195</v>
      </c>
      <c r="P1" s="145" t="s">
        <v>194</v>
      </c>
      <c r="Q1" s="145" t="s">
        <v>286</v>
      </c>
      <c r="R1" s="145" t="s">
        <v>284</v>
      </c>
      <c r="S1" s="145" t="s">
        <v>287</v>
      </c>
      <c r="T1" s="12" t="s">
        <v>197</v>
      </c>
      <c r="U1" s="12" t="s">
        <v>198</v>
      </c>
      <c r="V1" s="12" t="s">
        <v>294</v>
      </c>
      <c r="W1" s="12" t="s">
        <v>295</v>
      </c>
      <c r="X1" s="12" t="s">
        <v>296</v>
      </c>
      <c r="Y1" s="12" t="s">
        <v>285</v>
      </c>
      <c r="Z1" s="12" t="s">
        <v>55</v>
      </c>
      <c r="AA1" s="12" t="s">
        <v>10</v>
      </c>
      <c r="AB1" s="12" t="s">
        <v>46</v>
      </c>
      <c r="AC1" s="12"/>
      <c r="AD1" s="12"/>
    </row>
    <row r="2" spans="1:30">
      <c r="A2" s="12">
        <v>1</v>
      </c>
      <c r="B2" s="100">
        <f>IF(COUNT($A2)&gt;0,'Cloud Consumption'!B20,0)</f>
        <v>69.39</v>
      </c>
      <c r="C2" s="100">
        <f>IF(COUNT($A2)&gt;0,'Cloud Consumption'!C20,0)</f>
        <v>121.76750000000001</v>
      </c>
      <c r="D2" s="100">
        <f>IF(COUNT($A2)&gt;0,'Cloud Consumption'!D20,0)</f>
        <v>173.34</v>
      </c>
      <c r="E2" s="100">
        <f>IF(COUNT($A2)&gt;0,'Cloud Consumption'!B21,0)</f>
        <v>233.33333333333334</v>
      </c>
      <c r="F2" s="100">
        <f>IF(COUNT($A2)&gt;0,'Cloud Consumption'!C21,0)</f>
        <v>466.66666666666669</v>
      </c>
      <c r="G2" s="100">
        <f>IF(COUNT($A2)&gt;0,'Cloud Consumption'!D21,0)</f>
        <v>700</v>
      </c>
      <c r="H2" s="100">
        <f>IF(COUNT($A2)&gt;0,'Cloud Consumption'!B22,0)</f>
        <v>132.32</v>
      </c>
      <c r="I2" s="100">
        <f>IF(COUNT($A2)&gt;0,'Cloud Consumption'!C22,0)</f>
        <v>264.64</v>
      </c>
      <c r="J2" s="100">
        <f>IF(COUNT($A2)&gt;0,'Cloud Consumption'!D22,0)</f>
        <v>396.96</v>
      </c>
      <c r="K2" s="100">
        <f>IF(COUNT($A2)&gt;0,'Cloud Consumption'!B23,0)</f>
        <v>394.33333333333331</v>
      </c>
      <c r="L2" s="100">
        <f>IF(COUNT($A2)&gt;0,'Cloud Consumption'!C23,0)</f>
        <v>788.66666666666663</v>
      </c>
      <c r="M2" s="100">
        <f>IF(COUNT($A2)&gt;0,'Cloud Consumption'!D23,0)</f>
        <v>1183</v>
      </c>
      <c r="N2" s="12">
        <f>IF(COUNT($A2)&gt;0,'Cloud Consumption'!B24,0)</f>
        <v>125.25333333333333</v>
      </c>
      <c r="O2" s="12">
        <f>IF(COUNT($A2)&gt;0,'Cloud Consumption'!C24,0)</f>
        <v>250.50666666666666</v>
      </c>
      <c r="P2" s="12">
        <f>IF(COUNT($A2)&gt;0,'Cloud Consumption'!D24,0)</f>
        <v>375.76</v>
      </c>
      <c r="Q2" s="14">
        <f>B2+E2+H2</f>
        <v>435.04333333333335</v>
      </c>
      <c r="R2" s="14">
        <f>C2+F2+I2</f>
        <v>853.07416666666666</v>
      </c>
      <c r="S2" s="14">
        <f>D2+G2+M2</f>
        <v>2056.34</v>
      </c>
      <c r="T2" s="12">
        <f>IF(COUNT($A2)&gt;0,'Other Overhead C '!$M$9,0)</f>
        <v>4924.875</v>
      </c>
      <c r="U2" s="12">
        <f>IF(COUNT($A2)&gt;0,'Platform Cloud Costs'!$J$9,0)</f>
        <v>1202.0576888888891</v>
      </c>
      <c r="V2" s="12">
        <f>IF(AND((COUNT($A2)&gt;0),(A2&lt;='Prospective Project'!$C$33)),'Enablement Services'!$C$35+'Enablement Services'!$C$36,0)</f>
        <v>12500</v>
      </c>
      <c r="W2" s="12">
        <f>IF(AND((COUNT($A2)&gt;0),(A2&lt;='Prospective Project'!$C$33)),'Enablement Services'!$C$25+'Enablement Services'!$C$26,0)</f>
        <v>18000</v>
      </c>
      <c r="X2" s="12">
        <f>IF(AND((COUNT($A2)&gt;0),(A2&lt;='Prospective Project'!$C$33)),'Enablement Services'!$C$14+'Enablement Services'!$C$15,0)</f>
        <v>25000</v>
      </c>
      <c r="Y2" s="12">
        <f>IF('Prospective Project'!$C$20="High",'Prospective Project Calculation'!S2,IF('Prospective Project'!$C$20="Medium",'Prospective Project Calculation'!R2,'Prospective Project Calculation'!Q2))</f>
        <v>435.04333333333335</v>
      </c>
      <c r="Z2" s="12">
        <f>IF('Prospective Project'!$C$27="High",'Prospective Project Calculation'!P2,IF('Prospective Project'!$C$27="Medium",'Prospective Project Calculation'!O2,'Prospective Project Calculation'!N2))</f>
        <v>125.25333333333333</v>
      </c>
      <c r="AA2" s="12">
        <f>IF('Prospective Project'!$C$29="None",0,IF('Prospective Project'!$C$29="Gold",X2,IF('Prospective Project'!$C$29="Silver",'Prospective Project Calculation'!W2,'Prospective Project Calculation'!V2)))</f>
        <v>0</v>
      </c>
      <c r="AB2" s="12">
        <f>SUM(Y2:AA2)</f>
        <v>560.29666666666662</v>
      </c>
      <c r="AC2" s="12"/>
      <c r="AD2" s="12"/>
    </row>
    <row r="3" spans="1:30">
      <c r="A3" s="12">
        <f>IF(ROW()&lt;='Prospective Project'!$C$17+1,A2+1,"")</f>
        <v>2</v>
      </c>
      <c r="B3" s="100">
        <f>IF(COUNT($A3)&gt;0,(B2*(1+'Cloud Consumption'!E$20)),0)</f>
        <v>70.0839</v>
      </c>
      <c r="C3" s="100">
        <f>IF(COUNT($A3)&gt;0,(C2*(1+'Cloud Consumption'!F$20)),0)</f>
        <v>125.42052500000001</v>
      </c>
      <c r="D3" s="100">
        <f>IF(COUNT($A3)&gt;0,(D2*(1+'Cloud Consumption'!G$20)),0)</f>
        <v>182.00700000000001</v>
      </c>
      <c r="E3" s="100">
        <f>IF(COUNT($A3)&gt;0,(E2*(1+'Cloud Consumption'!E$21)),0)</f>
        <v>238</v>
      </c>
      <c r="F3" s="100">
        <f>IF(COUNT($A3)&gt;0,(F2*(1+'Cloud Consumption'!F$21)),0)</f>
        <v>490.00000000000006</v>
      </c>
      <c r="G3" s="100">
        <f>IF(COUNT($A3)&gt;0,(G2*(1+'Cloud Consumption'!G$21)),0)</f>
        <v>770.00000000000011</v>
      </c>
      <c r="H3" s="100">
        <f>IF(COUNT($A3)&gt;0,(H2*(1+'Cloud Consumption'!E$22)),0)</f>
        <v>133.64320000000001</v>
      </c>
      <c r="I3" s="100">
        <f>IF(COUNT($A3)&gt;0,(I2*(1+'Cloud Consumption'!F$22)),0)</f>
        <v>269.93279999999999</v>
      </c>
      <c r="J3" s="100">
        <f>IF(COUNT($A3)&gt;0,(J2*(1+'Cloud Consumption'!G$22)),0)</f>
        <v>408.86879999999996</v>
      </c>
      <c r="K3" s="100">
        <f>IF(COUNT($A3)&gt;0,(K2*(1+'Cloud Consumption'!E$23)),0)</f>
        <v>394.53049999999996</v>
      </c>
      <c r="L3" s="100">
        <f>IF(COUNT($A3)&gt;0,(L2*(1+'Cloud Consumption'!F$23)),0)</f>
        <v>796.55333333333328</v>
      </c>
      <c r="M3" s="100">
        <f>IF(COUNT($A3)&gt;0,(M2*(1+'Cloud Consumption'!G$23)),0)</f>
        <v>1206.6600000000001</v>
      </c>
      <c r="N3" s="12">
        <f>IF(COUNT($A3)&gt;0,(N2*(1+'Cloud Consumption'!E$24)),0)</f>
        <v>126.50586666666666</v>
      </c>
      <c r="O3" s="12">
        <f>IF(COUNT($A3)&gt;0,(O2*(1+'Cloud Consumption'!F$24)),0)</f>
        <v>255.51679999999999</v>
      </c>
      <c r="P3" s="12">
        <f>IF(COUNT($A3)&gt;0,(P2*(1+'Cloud Consumption'!G$24)),0)</f>
        <v>387.03280000000001</v>
      </c>
      <c r="Q3" s="14">
        <f t="shared" ref="Q3:Q36" si="0">B3+E3+H3</f>
        <v>441.72709999999995</v>
      </c>
      <c r="R3" s="14">
        <f t="shared" ref="R3:R36" si="1">C3+F3+I3</f>
        <v>885.35332500000004</v>
      </c>
      <c r="S3" s="14">
        <f t="shared" ref="S3:S36" si="2">D3+G3+M3</f>
        <v>2158.6670000000004</v>
      </c>
      <c r="T3" s="12">
        <f>IF(COUNT($A3)&gt;0,'Other Overhead C '!$M$9,0)</f>
        <v>4924.875</v>
      </c>
      <c r="U3" s="12">
        <f>IF(COUNT($A3)&gt;0,'Platform Cloud Costs'!$J$9,0)</f>
        <v>1202.0576888888891</v>
      </c>
      <c r="V3" s="12">
        <f>IF(AND((COUNT($A3)&gt;0),(A3&lt;='Prospective Project'!$C$33)),'Enablement Services'!$C$35+'Enablement Services'!$C$36,0)</f>
        <v>12500</v>
      </c>
      <c r="W3" s="12">
        <f>IF(AND((COUNT($A3)&gt;0),(A3&lt;='Prospective Project'!$C$33)),'Enablement Services'!$C$25+'Enablement Services'!$C$26,0)</f>
        <v>18000</v>
      </c>
      <c r="X3" s="12">
        <f>IF(AND((COUNT($A3)&gt;0),(A3&lt;='Prospective Project'!$C$33)),'Enablement Services'!$C$14+'Enablement Services'!$C$15,0)</f>
        <v>25000</v>
      </c>
      <c r="Y3" s="12">
        <f>IF('Prospective Project'!$C$20="High",'Prospective Project Calculation'!S3,IF('Prospective Project'!$C$20="Medium",'Prospective Project Calculation'!R3,'Prospective Project Calculation'!Q3))</f>
        <v>441.72709999999995</v>
      </c>
      <c r="Z3" s="12">
        <f>IF('Prospective Project'!$C$27="High",'Prospective Project Calculation'!P3,IF('Prospective Project'!$C$27="Medium",'Prospective Project Calculation'!O3,'Prospective Project Calculation'!N3))</f>
        <v>126.50586666666666</v>
      </c>
      <c r="AA3" s="12">
        <f>IF('Prospective Project'!$C$29="None",0,IF('Prospective Project'!$C$29="Gold",X3,IF('Prospective Project'!$C$29="Silver",'Prospective Project Calculation'!W3,'Prospective Project Calculation'!V3)))</f>
        <v>0</v>
      </c>
      <c r="AB3" s="12">
        <f t="shared" ref="AB3:AB36" si="3">SUM(Y3:AA3)</f>
        <v>568.23296666666658</v>
      </c>
      <c r="AC3" s="12"/>
      <c r="AD3" s="12"/>
    </row>
    <row r="4" spans="1:30">
      <c r="A4" s="12">
        <f>IF(ROW()&lt;='Prospective Project'!$C$17+1,A3+1,"")</f>
        <v>3</v>
      </c>
      <c r="B4" s="100">
        <f>IF(COUNT($A4)&gt;0,(B3*(1+'Cloud Consumption'!E$20)),0)</f>
        <v>70.784739000000002</v>
      </c>
      <c r="C4" s="100">
        <f>IF(COUNT($A4)&gt;0,(C3*(1+'Cloud Consumption'!F$20)),0)</f>
        <v>129.18314075000001</v>
      </c>
      <c r="D4" s="100">
        <f>IF(COUNT($A4)&gt;0,(D3*(1+'Cloud Consumption'!G$20)),0)</f>
        <v>191.10735000000003</v>
      </c>
      <c r="E4" s="100">
        <f>IF(COUNT($A4)&gt;0,(E3*(1+'Cloud Consumption'!E$21)),0)</f>
        <v>242.76</v>
      </c>
      <c r="F4" s="100">
        <f>IF(COUNT($A4)&gt;0,(F3*(1+'Cloud Consumption'!F$21)),0)</f>
        <v>514.50000000000011</v>
      </c>
      <c r="G4" s="100">
        <f>IF(COUNT($A4)&gt;0,(G3*(1+'Cloud Consumption'!G$21)),0)</f>
        <v>847.00000000000023</v>
      </c>
      <c r="H4" s="100">
        <f>IF(COUNT($A4)&gt;0,(H3*(1+'Cloud Consumption'!E$22)),0)</f>
        <v>134.97963200000001</v>
      </c>
      <c r="I4" s="100">
        <f>IF(COUNT($A4)&gt;0,(I3*(1+'Cloud Consumption'!F$22)),0)</f>
        <v>275.331456</v>
      </c>
      <c r="J4" s="100">
        <f>IF(COUNT($A4)&gt;0,(J3*(1+'Cloud Consumption'!G$22)),0)</f>
        <v>421.13486399999999</v>
      </c>
      <c r="K4" s="100">
        <f>IF(COUNT($A4)&gt;0,(K3*(1+'Cloud Consumption'!E$23)),0)</f>
        <v>394.72776524999995</v>
      </c>
      <c r="L4" s="100">
        <f>IF(COUNT($A4)&gt;0,(L3*(1+'Cloud Consumption'!F$23)),0)</f>
        <v>804.51886666666667</v>
      </c>
      <c r="M4" s="100">
        <f>IF(COUNT($A4)&gt;0,(M3*(1+'Cloud Consumption'!G$23)),0)</f>
        <v>1230.7932000000001</v>
      </c>
      <c r="N4" s="12">
        <f>IF(COUNT($A4)&gt;0,(N3*(1+'Cloud Consumption'!E$24)),0)</f>
        <v>127.77092533333332</v>
      </c>
      <c r="O4" s="12">
        <f>IF(COUNT($A4)&gt;0,(O3*(1+'Cloud Consumption'!F$24)),0)</f>
        <v>260.62713600000001</v>
      </c>
      <c r="P4" s="12">
        <f>IF(COUNT($A4)&gt;0,(P3*(1+'Cloud Consumption'!G$24)),0)</f>
        <v>398.64378400000004</v>
      </c>
      <c r="Q4" s="14">
        <f t="shared" si="0"/>
        <v>448.52437099999997</v>
      </c>
      <c r="R4" s="14">
        <f t="shared" si="1"/>
        <v>919.01459675000012</v>
      </c>
      <c r="S4" s="14">
        <f t="shared" si="2"/>
        <v>2268.9005500000003</v>
      </c>
      <c r="T4" s="12">
        <f>IF(COUNT($A4)&gt;0,'Other Overhead C '!$M$9,0)</f>
        <v>4924.875</v>
      </c>
      <c r="U4" s="12">
        <f>IF(COUNT($A4)&gt;0,'Platform Cloud Costs'!$J$9,0)</f>
        <v>1202.0576888888891</v>
      </c>
      <c r="V4" s="12">
        <f>IF(AND((COUNT($A4)&gt;0),(A4&lt;='Prospective Project'!$C$33)),'Enablement Services'!$C$35+'Enablement Services'!$C$36,0)</f>
        <v>12500</v>
      </c>
      <c r="W4" s="12">
        <f>IF(AND((COUNT($A4)&gt;0),(A4&lt;='Prospective Project'!$C$33)),'Enablement Services'!$C$25+'Enablement Services'!$C$26,0)</f>
        <v>18000</v>
      </c>
      <c r="X4" s="12">
        <f>IF(AND((COUNT($A4)&gt;0),(A4&lt;='Prospective Project'!$C$33)),'Enablement Services'!$C$14+'Enablement Services'!$C$15,0)</f>
        <v>25000</v>
      </c>
      <c r="Y4" s="12">
        <f>IF('Prospective Project'!$C$20="High",'Prospective Project Calculation'!S4,IF('Prospective Project'!$C$20="Medium",'Prospective Project Calculation'!R4,'Prospective Project Calculation'!Q4))</f>
        <v>448.52437099999997</v>
      </c>
      <c r="Z4" s="12">
        <f>IF('Prospective Project'!$C$27="High",'Prospective Project Calculation'!P4,IF('Prospective Project'!$C$27="Medium",'Prospective Project Calculation'!O4,'Prospective Project Calculation'!N4))</f>
        <v>127.77092533333332</v>
      </c>
      <c r="AA4" s="12">
        <f>IF('Prospective Project'!$C$29="None",0,IF('Prospective Project'!$C$29="Gold",X4,IF('Prospective Project'!$C$29="Silver",'Prospective Project Calculation'!W4,'Prospective Project Calculation'!V4)))</f>
        <v>0</v>
      </c>
      <c r="AB4" s="12">
        <f t="shared" si="3"/>
        <v>576.29529633333334</v>
      </c>
      <c r="AC4" s="12"/>
      <c r="AD4" s="12"/>
    </row>
    <row r="5" spans="1:30">
      <c r="A5" s="12">
        <f>IF(ROW()&lt;='Prospective Project'!$C$17+1,A4+1,"")</f>
        <v>4</v>
      </c>
      <c r="B5" s="100">
        <f>IF(COUNT($A5)&gt;0,(B4*(1+'Cloud Consumption'!E$20)),0)</f>
        <v>71.49258639</v>
      </c>
      <c r="C5" s="100">
        <f>IF(COUNT($A5)&gt;0,(C4*(1+'Cloud Consumption'!F$20)),0)</f>
        <v>133.05863497250002</v>
      </c>
      <c r="D5" s="100">
        <f>IF(COUNT($A5)&gt;0,(D4*(1+'Cloud Consumption'!G$20)),0)</f>
        <v>200.66271750000004</v>
      </c>
      <c r="E5" s="100">
        <f>IF(COUNT($A5)&gt;0,(E4*(1+'Cloud Consumption'!E$21)),0)</f>
        <v>247.61519999999999</v>
      </c>
      <c r="F5" s="100">
        <f>IF(COUNT($A5)&gt;0,(F4*(1+'Cloud Consumption'!F$21)),0)</f>
        <v>540.22500000000014</v>
      </c>
      <c r="G5" s="100">
        <f>IF(COUNT($A5)&gt;0,(G4*(1+'Cloud Consumption'!G$21)),0)</f>
        <v>931.70000000000027</v>
      </c>
      <c r="H5" s="100">
        <f>IF(COUNT($A5)&gt;0,(H4*(1+'Cloud Consumption'!E$22)),0)</f>
        <v>136.32942832000001</v>
      </c>
      <c r="I5" s="100">
        <f>IF(COUNT($A5)&gt;0,(I4*(1+'Cloud Consumption'!F$22)),0)</f>
        <v>280.83808512000002</v>
      </c>
      <c r="J5" s="100">
        <f>IF(COUNT($A5)&gt;0,(J4*(1+'Cloud Consumption'!G$22)),0)</f>
        <v>433.76890992</v>
      </c>
      <c r="K5" s="100">
        <f>IF(COUNT($A5)&gt;0,(K4*(1+'Cloud Consumption'!E$23)),0)</f>
        <v>394.92512913262493</v>
      </c>
      <c r="L5" s="100">
        <f>IF(COUNT($A5)&gt;0,(L4*(1+'Cloud Consumption'!F$23)),0)</f>
        <v>812.56405533333339</v>
      </c>
      <c r="M5" s="100">
        <f>IF(COUNT($A5)&gt;0,(M4*(1+'Cloud Consumption'!G$23)),0)</f>
        <v>1255.4090640000002</v>
      </c>
      <c r="N5" s="12">
        <f>IF(COUNT($A5)&gt;0,(N4*(1+'Cloud Consumption'!E$24)),0)</f>
        <v>129.04863458666665</v>
      </c>
      <c r="O5" s="12">
        <f>IF(COUNT($A5)&gt;0,(O4*(1+'Cloud Consumption'!F$24)),0)</f>
        <v>265.83967871999999</v>
      </c>
      <c r="P5" s="12">
        <f>IF(COUNT($A5)&gt;0,(P4*(1+'Cloud Consumption'!G$24)),0)</f>
        <v>410.60309752000006</v>
      </c>
      <c r="Q5" s="14">
        <f t="shared" si="0"/>
        <v>455.43721471000003</v>
      </c>
      <c r="R5" s="14">
        <f t="shared" si="1"/>
        <v>954.12172009250025</v>
      </c>
      <c r="S5" s="14">
        <f t="shared" si="2"/>
        <v>2387.7717815000005</v>
      </c>
      <c r="T5" s="12">
        <f>IF(COUNT($A5)&gt;0,'Other Overhead C '!$M$9,0)</f>
        <v>4924.875</v>
      </c>
      <c r="U5" s="12">
        <f>IF(COUNT($A5)&gt;0,'Platform Cloud Costs'!$J$9,0)</f>
        <v>1202.0576888888891</v>
      </c>
      <c r="V5" s="12">
        <f>IF(AND((COUNT($A5)&gt;0),(A5&lt;='Prospective Project'!$C$33)),'Enablement Services'!$C$35+'Enablement Services'!$C$36,0)</f>
        <v>12500</v>
      </c>
      <c r="W5" s="12">
        <f>IF(AND((COUNT($A5)&gt;0),(A5&lt;='Prospective Project'!$C$33)),'Enablement Services'!$C$25+'Enablement Services'!$C$26,0)</f>
        <v>18000</v>
      </c>
      <c r="X5" s="12">
        <f>IF(AND((COUNT($A5)&gt;0),(A5&lt;='Prospective Project'!$C$33)),'Enablement Services'!$C$14+'Enablement Services'!$C$15,0)</f>
        <v>25000</v>
      </c>
      <c r="Y5" s="12">
        <f>IF('Prospective Project'!$C$20="High",'Prospective Project Calculation'!S5,IF('Prospective Project'!$C$20="Medium",'Prospective Project Calculation'!R5,'Prospective Project Calculation'!Q5))</f>
        <v>455.43721471000003</v>
      </c>
      <c r="Z5" s="12">
        <f>IF('Prospective Project'!$C$27="High",'Prospective Project Calculation'!P5,IF('Prospective Project'!$C$27="Medium",'Prospective Project Calculation'!O5,'Prospective Project Calculation'!N5))</f>
        <v>129.04863458666665</v>
      </c>
      <c r="AA5" s="12">
        <f>IF('Prospective Project'!$C$29="None",0,IF('Prospective Project'!$C$29="Gold",X5,IF('Prospective Project'!$C$29="Silver",'Prospective Project Calculation'!W5,'Prospective Project Calculation'!V5)))</f>
        <v>0</v>
      </c>
      <c r="AB5" s="12">
        <f t="shared" si="3"/>
        <v>584.48584929666663</v>
      </c>
      <c r="AC5" s="12"/>
      <c r="AD5" s="12"/>
    </row>
    <row r="6" spans="1:30">
      <c r="A6" s="12">
        <f>IF(ROW()&lt;='Prospective Project'!$C$17+1,A5+1,"")</f>
        <v>5</v>
      </c>
      <c r="B6" s="100">
        <f>IF(COUNT($A6)&gt;0,(B5*(1+'Cloud Consumption'!E$20)),0)</f>
        <v>72.207512253900006</v>
      </c>
      <c r="C6" s="100">
        <f>IF(COUNT($A6)&gt;0,(C5*(1+'Cloud Consumption'!F$20)),0)</f>
        <v>137.05039402167503</v>
      </c>
      <c r="D6" s="100">
        <f>IF(COUNT($A6)&gt;0,(D5*(1+'Cloud Consumption'!G$20)),0)</f>
        <v>210.69585337500004</v>
      </c>
      <c r="E6" s="100">
        <f>IF(COUNT($A6)&gt;0,(E5*(1+'Cloud Consumption'!E$21)),0)</f>
        <v>252.56750399999999</v>
      </c>
      <c r="F6" s="100">
        <f>IF(COUNT($A6)&gt;0,(F5*(1+'Cloud Consumption'!F$21)),0)</f>
        <v>567.23625000000015</v>
      </c>
      <c r="G6" s="100">
        <f>IF(COUNT($A6)&gt;0,(G5*(1+'Cloud Consumption'!G$21)),0)</f>
        <v>1024.8700000000003</v>
      </c>
      <c r="H6" s="100">
        <f>IF(COUNT($A6)&gt;0,(H5*(1+'Cloud Consumption'!E$22)),0)</f>
        <v>137.6927226032</v>
      </c>
      <c r="I6" s="100">
        <f>IF(COUNT($A6)&gt;0,(I5*(1+'Cloud Consumption'!F$22)),0)</f>
        <v>286.45484682240004</v>
      </c>
      <c r="J6" s="100">
        <f>IF(COUNT($A6)&gt;0,(J5*(1+'Cloud Consumption'!G$22)),0)</f>
        <v>446.7819772176</v>
      </c>
      <c r="K6" s="100">
        <f>IF(COUNT($A6)&gt;0,(K5*(1+'Cloud Consumption'!E$23)),0)</f>
        <v>395.12259169719124</v>
      </c>
      <c r="L6" s="100">
        <f>IF(COUNT($A6)&gt;0,(L5*(1+'Cloud Consumption'!F$23)),0)</f>
        <v>820.68969588666675</v>
      </c>
      <c r="M6" s="100">
        <f>IF(COUNT($A6)&gt;0,(M5*(1+'Cloud Consumption'!G$23)),0)</f>
        <v>1280.5172452800002</v>
      </c>
      <c r="N6" s="12">
        <f>IF(COUNT($A6)&gt;0,(N5*(1+'Cloud Consumption'!E$24)),0)</f>
        <v>130.33912093253332</v>
      </c>
      <c r="O6" s="12">
        <f>IF(COUNT($A6)&gt;0,(O5*(1+'Cloud Consumption'!F$24)),0)</f>
        <v>271.15647229439998</v>
      </c>
      <c r="P6" s="12">
        <f>IF(COUNT($A6)&gt;0,(P5*(1+'Cloud Consumption'!G$24)),0)</f>
        <v>422.92119044560008</v>
      </c>
      <c r="Q6" s="14">
        <f t="shared" si="0"/>
        <v>462.46773885710002</v>
      </c>
      <c r="R6" s="14">
        <f t="shared" si="1"/>
        <v>990.74149084407532</v>
      </c>
      <c r="S6" s="14">
        <f t="shared" si="2"/>
        <v>2516.0830986550009</v>
      </c>
      <c r="T6" s="12">
        <f>IF(COUNT($A6)&gt;0,'Other Overhead C '!$M$9,0)</f>
        <v>4924.875</v>
      </c>
      <c r="U6" s="12">
        <f>IF(COUNT($A6)&gt;0,'Platform Cloud Costs'!$J$9,0)</f>
        <v>1202.0576888888891</v>
      </c>
      <c r="V6" s="12">
        <f>IF(AND((COUNT($A6)&gt;0),(A6&lt;='Prospective Project'!$C$33)),'Enablement Services'!$C$35+'Enablement Services'!$C$36,0)</f>
        <v>0</v>
      </c>
      <c r="W6" s="12">
        <f>IF(AND((COUNT($A6)&gt;0),(A6&lt;='Prospective Project'!$C$33)),'Enablement Services'!$C$25+'Enablement Services'!$C$26,0)</f>
        <v>0</v>
      </c>
      <c r="X6" s="12">
        <f>IF(AND((COUNT($A6)&gt;0),(A6&lt;='Prospective Project'!$C$33)),'Enablement Services'!$C$14+'Enablement Services'!$C$15,0)</f>
        <v>0</v>
      </c>
      <c r="Y6" s="12">
        <f>IF('Prospective Project'!$C$20="High",'Prospective Project Calculation'!S6,IF('Prospective Project'!$C$20="Medium",'Prospective Project Calculation'!R6,'Prospective Project Calculation'!Q6))</f>
        <v>462.46773885710002</v>
      </c>
      <c r="Z6" s="12">
        <f>IF('Prospective Project'!$C$27="High",'Prospective Project Calculation'!P6,IF('Prospective Project'!$C$27="Medium",'Prospective Project Calculation'!O6,'Prospective Project Calculation'!N6))</f>
        <v>130.33912093253332</v>
      </c>
      <c r="AA6" s="12">
        <f>IF('Prospective Project'!$C$29="None",0,IF('Prospective Project'!$C$29="Gold",X6,IF('Prospective Project'!$C$29="Silver",'Prospective Project Calculation'!W6,'Prospective Project Calculation'!V6)))</f>
        <v>0</v>
      </c>
      <c r="AB6" s="12">
        <f t="shared" si="3"/>
        <v>592.80685978963334</v>
      </c>
      <c r="AC6" s="12"/>
      <c r="AD6" s="12"/>
    </row>
    <row r="7" spans="1:30">
      <c r="A7" s="12">
        <f>IF(ROW()&lt;='Prospective Project'!$C$17+1,A6+1,"")</f>
        <v>6</v>
      </c>
      <c r="B7" s="100">
        <f>IF(COUNT($A7)&gt;0,(B6*(1+'Cloud Consumption'!E$20)),0)</f>
        <v>72.929587376439002</v>
      </c>
      <c r="C7" s="100">
        <f>IF(COUNT($A7)&gt;0,(C6*(1+'Cloud Consumption'!F$20)),0)</f>
        <v>141.1619058423253</v>
      </c>
      <c r="D7" s="100">
        <f>IF(COUNT($A7)&gt;0,(D6*(1+'Cloud Consumption'!G$20)),0)</f>
        <v>221.23064604375006</v>
      </c>
      <c r="E7" s="100">
        <f>IF(COUNT($A7)&gt;0,(E6*(1+'Cloud Consumption'!E$21)),0)</f>
        <v>257.61885408000001</v>
      </c>
      <c r="F7" s="100">
        <f>IF(COUNT($A7)&gt;0,(F6*(1+'Cloud Consumption'!F$21)),0)</f>
        <v>595.5980625000002</v>
      </c>
      <c r="G7" s="100">
        <f>IF(COUNT($A7)&gt;0,(G6*(1+'Cloud Consumption'!G$21)),0)</f>
        <v>1127.3570000000004</v>
      </c>
      <c r="H7" s="100">
        <f>IF(COUNT($A7)&gt;0,(H6*(1+'Cloud Consumption'!E$22)),0)</f>
        <v>139.06964982923199</v>
      </c>
      <c r="I7" s="100">
        <f>IF(COUNT($A7)&gt;0,(I6*(1+'Cloud Consumption'!F$22)),0)</f>
        <v>292.18394375884805</v>
      </c>
      <c r="J7" s="100">
        <f>IF(COUNT($A7)&gt;0,(J6*(1+'Cloud Consumption'!G$22)),0)</f>
        <v>460.18543653412803</v>
      </c>
      <c r="K7" s="100">
        <f>IF(COUNT($A7)&gt;0,(K6*(1+'Cloud Consumption'!E$23)),0)</f>
        <v>395.32015299303981</v>
      </c>
      <c r="L7" s="100">
        <f>IF(COUNT($A7)&gt;0,(L6*(1+'Cloud Consumption'!F$23)),0)</f>
        <v>828.89659284553341</v>
      </c>
      <c r="M7" s="100">
        <f>IF(COUNT($A7)&gt;0,(M6*(1+'Cloud Consumption'!G$23)),0)</f>
        <v>1306.1275901856002</v>
      </c>
      <c r="N7" s="12">
        <f>IF(COUNT($A7)&gt;0,(N6*(1+'Cloud Consumption'!E$24)),0)</f>
        <v>131.64251214185865</v>
      </c>
      <c r="O7" s="12">
        <f>IF(COUNT($A7)&gt;0,(O6*(1+'Cloud Consumption'!F$24)),0)</f>
        <v>276.57960174028796</v>
      </c>
      <c r="P7" s="12">
        <f>IF(COUNT($A7)&gt;0,(P6*(1+'Cloud Consumption'!G$24)),0)</f>
        <v>435.6088261589681</v>
      </c>
      <c r="Q7" s="14">
        <f t="shared" si="0"/>
        <v>469.61809128567103</v>
      </c>
      <c r="R7" s="14">
        <f t="shared" si="1"/>
        <v>1028.9439121011735</v>
      </c>
      <c r="S7" s="14">
        <f t="shared" si="2"/>
        <v>2654.7152362293509</v>
      </c>
      <c r="T7" s="12">
        <f>IF(COUNT($A7)&gt;0,'Other Overhead C '!$M$9,0)</f>
        <v>4924.875</v>
      </c>
      <c r="U7" s="12">
        <f>IF(COUNT($A7)&gt;0,'Platform Cloud Costs'!$J$9,0)</f>
        <v>1202.0576888888891</v>
      </c>
      <c r="V7" s="12">
        <f>IF(AND((COUNT($A7)&gt;0),(A7&lt;='Prospective Project'!$C$33)),'Enablement Services'!$C$35+'Enablement Services'!$C$36,0)</f>
        <v>0</v>
      </c>
      <c r="W7" s="12">
        <f>IF(AND((COUNT($A7)&gt;0),(A7&lt;='Prospective Project'!$C$33)),'Enablement Services'!$C$25+'Enablement Services'!$C$26,0)</f>
        <v>0</v>
      </c>
      <c r="X7" s="12">
        <f>IF(AND((COUNT($A7)&gt;0),(A7&lt;='Prospective Project'!$C$33)),'Enablement Services'!$C$14+'Enablement Services'!$C$15,0)</f>
        <v>0</v>
      </c>
      <c r="Y7" s="12">
        <f>IF('Prospective Project'!$C$20="High",'Prospective Project Calculation'!S7,IF('Prospective Project'!$C$20="Medium",'Prospective Project Calculation'!R7,'Prospective Project Calculation'!Q7))</f>
        <v>469.61809128567103</v>
      </c>
      <c r="Z7" s="12">
        <f>IF('Prospective Project'!$C$27="High",'Prospective Project Calculation'!P7,IF('Prospective Project'!$C$27="Medium",'Prospective Project Calculation'!O7,'Prospective Project Calculation'!N7))</f>
        <v>131.64251214185865</v>
      </c>
      <c r="AA7" s="12">
        <f>IF('Prospective Project'!$C$29="None",0,IF('Prospective Project'!$C$29="Gold",X7,IF('Prospective Project'!$C$29="Silver",'Prospective Project Calculation'!W7,'Prospective Project Calculation'!V7)))</f>
        <v>0</v>
      </c>
      <c r="AB7" s="12">
        <f t="shared" si="3"/>
        <v>601.26060342752965</v>
      </c>
      <c r="AC7" s="12"/>
      <c r="AD7" s="12"/>
    </row>
    <row r="8" spans="1:30">
      <c r="A8" s="12">
        <f>IF(ROW()&lt;='Prospective Project'!$C$17+1,A7+1,"")</f>
        <v>7</v>
      </c>
      <c r="B8" s="100">
        <f>IF(COUNT($A8)&gt;0,(B7*(1+'Cloud Consumption'!E$20)),0)</f>
        <v>73.658883250203388</v>
      </c>
      <c r="C8" s="100">
        <f>IF(COUNT($A8)&gt;0,(C7*(1+'Cloud Consumption'!F$20)),0)</f>
        <v>145.39676301759505</v>
      </c>
      <c r="D8" s="100">
        <f>IF(COUNT($A8)&gt;0,(D7*(1+'Cloud Consumption'!G$20)),0)</f>
        <v>232.29217834593757</v>
      </c>
      <c r="E8" s="100">
        <f>IF(COUNT($A8)&gt;0,(E7*(1+'Cloud Consumption'!E$21)),0)</f>
        <v>262.77123116159999</v>
      </c>
      <c r="F8" s="100">
        <f>IF(COUNT($A8)&gt;0,(F7*(1+'Cloud Consumption'!F$21)),0)</f>
        <v>625.37796562500023</v>
      </c>
      <c r="G8" s="100">
        <f>IF(COUNT($A8)&gt;0,(G7*(1+'Cloud Consumption'!G$21)),0)</f>
        <v>1240.0927000000006</v>
      </c>
      <c r="H8" s="100">
        <f>IF(COUNT($A8)&gt;0,(H7*(1+'Cloud Consumption'!E$22)),0)</f>
        <v>140.46034632752432</v>
      </c>
      <c r="I8" s="100">
        <f>IF(COUNT($A8)&gt;0,(I7*(1+'Cloud Consumption'!F$22)),0)</f>
        <v>298.02762263402502</v>
      </c>
      <c r="J8" s="100">
        <f>IF(COUNT($A8)&gt;0,(J7*(1+'Cloud Consumption'!G$22)),0)</f>
        <v>473.99099963015186</v>
      </c>
      <c r="K8" s="100">
        <f>IF(COUNT($A8)&gt;0,(K7*(1+'Cloud Consumption'!E$23)),0)</f>
        <v>395.51781306953632</v>
      </c>
      <c r="L8" s="100">
        <f>IF(COUNT($A8)&gt;0,(L7*(1+'Cloud Consumption'!F$23)),0)</f>
        <v>837.18555877398876</v>
      </c>
      <c r="M8" s="100">
        <f>IF(COUNT($A8)&gt;0,(M7*(1+'Cloud Consumption'!G$23)),0)</f>
        <v>1332.2501419893122</v>
      </c>
      <c r="N8" s="12">
        <f>IF(COUNT($A8)&gt;0,(N7*(1+'Cloud Consumption'!E$24)),0)</f>
        <v>132.95893726327722</v>
      </c>
      <c r="O8" s="12">
        <f>IF(COUNT($A8)&gt;0,(O7*(1+'Cloud Consumption'!F$24)),0)</f>
        <v>282.11119377509374</v>
      </c>
      <c r="P8" s="12">
        <f>IF(COUNT($A8)&gt;0,(P7*(1+'Cloud Consumption'!G$24)),0)</f>
        <v>448.67709094373714</v>
      </c>
      <c r="Q8" s="14">
        <f t="shared" si="0"/>
        <v>476.89046073932775</v>
      </c>
      <c r="R8" s="14">
        <f t="shared" si="1"/>
        <v>1068.8023512766204</v>
      </c>
      <c r="S8" s="14">
        <f t="shared" si="2"/>
        <v>2804.6350203352504</v>
      </c>
      <c r="T8" s="12">
        <f>IF(COUNT($A8)&gt;0,'Other Overhead C '!$M$9,0)</f>
        <v>4924.875</v>
      </c>
      <c r="U8" s="12">
        <f>IF(COUNT($A8)&gt;0,'Platform Cloud Costs'!$J$9,0)</f>
        <v>1202.0576888888891</v>
      </c>
      <c r="V8" s="12">
        <f>IF(AND((COUNT($A8)&gt;0),(A8&lt;='Prospective Project'!$C$33)),'Enablement Services'!$C$35+'Enablement Services'!$C$36,0)</f>
        <v>0</v>
      </c>
      <c r="W8" s="12">
        <f>IF(AND((COUNT($A8)&gt;0),(A8&lt;='Prospective Project'!$C$33)),'Enablement Services'!$C$25+'Enablement Services'!$C$26,0)</f>
        <v>0</v>
      </c>
      <c r="X8" s="12">
        <f>IF(AND((COUNT($A8)&gt;0),(A8&lt;='Prospective Project'!$C$33)),'Enablement Services'!$C$14+'Enablement Services'!$C$15,0)</f>
        <v>0</v>
      </c>
      <c r="Y8" s="12">
        <f>IF('Prospective Project'!$C$20="High",'Prospective Project Calculation'!S8,IF('Prospective Project'!$C$20="Medium",'Prospective Project Calculation'!R8,'Prospective Project Calculation'!Q8))</f>
        <v>476.89046073932775</v>
      </c>
      <c r="Z8" s="12">
        <f>IF('Prospective Project'!$C$27="High",'Prospective Project Calculation'!P8,IF('Prospective Project'!$C$27="Medium",'Prospective Project Calculation'!O8,'Prospective Project Calculation'!N8))</f>
        <v>132.95893726327722</v>
      </c>
      <c r="AA8" s="12">
        <f>IF('Prospective Project'!$C$29="None",0,IF('Prospective Project'!$C$29="Gold",X8,IF('Prospective Project'!$C$29="Silver",'Prospective Project Calculation'!W8,'Prospective Project Calculation'!V8)))</f>
        <v>0</v>
      </c>
      <c r="AB8" s="12">
        <f t="shared" si="3"/>
        <v>609.84939800260497</v>
      </c>
      <c r="AC8" s="12"/>
      <c r="AD8" s="12"/>
    </row>
    <row r="9" spans="1:30">
      <c r="A9" s="12" t="str">
        <f>IF(ROW()&lt;='Prospective Project'!$C$17+1,A8+1,"")</f>
        <v/>
      </c>
      <c r="B9" s="100">
        <f>IF(COUNT($A9)&gt;0,(B8*(1+'Cloud Consumption'!E$20)),0)</f>
        <v>0</v>
      </c>
      <c r="C9" s="100">
        <f>IF(COUNT($A9)&gt;0,(C8*(1+'Cloud Consumption'!F$20)),0)</f>
        <v>0</v>
      </c>
      <c r="D9" s="100">
        <f>IF(COUNT($A9)&gt;0,(D8*(1+'Cloud Consumption'!G$20)),0)</f>
        <v>0</v>
      </c>
      <c r="E9" s="100">
        <f>IF(COUNT($A9)&gt;0,(E8*(1+'Cloud Consumption'!E$21)),0)</f>
        <v>0</v>
      </c>
      <c r="F9" s="100">
        <f>IF(COUNT($A9)&gt;0,(F8*(1+'Cloud Consumption'!F$21)),0)</f>
        <v>0</v>
      </c>
      <c r="G9" s="100">
        <f>IF(COUNT($A9)&gt;0,(G8*(1+'Cloud Consumption'!G$21)),0)</f>
        <v>0</v>
      </c>
      <c r="H9" s="100">
        <f>IF(COUNT($A9)&gt;0,(H8*(1+'Cloud Consumption'!E$22)),0)</f>
        <v>0</v>
      </c>
      <c r="I9" s="100">
        <f>IF(COUNT($A9)&gt;0,(I8*(1+'Cloud Consumption'!F$22)),0)</f>
        <v>0</v>
      </c>
      <c r="J9" s="100">
        <f>IF(COUNT($A9)&gt;0,(J8*(1+'Cloud Consumption'!G$22)),0)</f>
        <v>0</v>
      </c>
      <c r="K9" s="100">
        <f>IF(COUNT($A9)&gt;0,(K8*(1+'Cloud Consumption'!E$23)),0)</f>
        <v>0</v>
      </c>
      <c r="L9" s="100">
        <f>IF(COUNT($A9)&gt;0,(L8*(1+'Cloud Consumption'!F$23)),0)</f>
        <v>0</v>
      </c>
      <c r="M9" s="100">
        <f>IF(COUNT($A9)&gt;0,(M8*(1+'Cloud Consumption'!G$23)),0)</f>
        <v>0</v>
      </c>
      <c r="N9" s="12">
        <f>IF(COUNT($A9)&gt;0,(N8*(1+'Cloud Consumption'!E$24)),0)</f>
        <v>0</v>
      </c>
      <c r="O9" s="12">
        <f>IF(COUNT($A9)&gt;0,(O8*(1+'Cloud Consumption'!F$24)),0)</f>
        <v>0</v>
      </c>
      <c r="P9" s="12">
        <f>IF(COUNT($A9)&gt;0,(P8*(1+'Cloud Consumption'!G$24)),0)</f>
        <v>0</v>
      </c>
      <c r="Q9" s="14">
        <f t="shared" si="0"/>
        <v>0</v>
      </c>
      <c r="R9" s="14">
        <f t="shared" si="1"/>
        <v>0</v>
      </c>
      <c r="S9" s="14">
        <f t="shared" si="2"/>
        <v>0</v>
      </c>
      <c r="T9" s="12">
        <f>IF(COUNT($A9)&gt;0,'Other Overhead C '!$M$9,0)</f>
        <v>0</v>
      </c>
      <c r="U9" s="12">
        <f>IF(COUNT($A9)&gt;0,'Platform Cloud Costs'!$J$9,0)</f>
        <v>0</v>
      </c>
      <c r="V9" s="12">
        <f>IF(AND((COUNT($A9)&gt;0),(A9&lt;='Prospective Project'!$C$33)),'Enablement Services'!$C$35+'Enablement Services'!$C$36,0)</f>
        <v>0</v>
      </c>
      <c r="W9" s="12">
        <f>IF(AND((COUNT($A9)&gt;0),(A9&lt;='Prospective Project'!$C$33)),'Enablement Services'!$C$25+'Enablement Services'!$C$26,0)</f>
        <v>0</v>
      </c>
      <c r="X9" s="12">
        <f>IF(AND((COUNT($A9)&gt;0),(A9&lt;='Prospective Project'!$C$33)),'Enablement Services'!$C$14+'Enablement Services'!$C$15,0)</f>
        <v>0</v>
      </c>
      <c r="Y9" s="12">
        <f>IF('Prospective Project'!$C$20="High",'Prospective Project Calculation'!S9,IF('Prospective Project'!$C$20="Medium",'Prospective Project Calculation'!R9,'Prospective Project Calculation'!Q9))</f>
        <v>0</v>
      </c>
      <c r="Z9" s="12">
        <f>IF('Prospective Project'!$C$27="High",'Prospective Project Calculation'!P9,IF('Prospective Project'!$C$27="Medium",'Prospective Project Calculation'!O9,'Prospective Project Calculation'!N9))</f>
        <v>0</v>
      </c>
      <c r="AA9" s="12">
        <f>IF('Prospective Project'!$C$29="None",0,IF('Prospective Project'!$C$29="Gold",X9,IF('Prospective Project'!$C$29="Silver",'Prospective Project Calculation'!W9,'Prospective Project Calculation'!V9)))</f>
        <v>0</v>
      </c>
      <c r="AB9" s="12">
        <f t="shared" si="3"/>
        <v>0</v>
      </c>
      <c r="AC9" s="12"/>
      <c r="AD9" s="12"/>
    </row>
    <row r="10" spans="1:30">
      <c r="A10" s="12" t="str">
        <f>IF(ROW()&lt;='Prospective Project'!$C$17+1,A9+1,"")</f>
        <v/>
      </c>
      <c r="B10" s="100">
        <f>IF(COUNT($A10)&gt;0,(B9*(1+'Cloud Consumption'!E$20)),0)</f>
        <v>0</v>
      </c>
      <c r="C10" s="100">
        <f>IF(COUNT($A10)&gt;0,(C9*(1+'Cloud Consumption'!F$20)),0)</f>
        <v>0</v>
      </c>
      <c r="D10" s="100">
        <f>IF(COUNT($A10)&gt;0,(D9*(1+'Cloud Consumption'!G$20)),0)</f>
        <v>0</v>
      </c>
      <c r="E10" s="100">
        <f>IF(COUNT($A10)&gt;0,(E9*(1+'Cloud Consumption'!E$21)),0)</f>
        <v>0</v>
      </c>
      <c r="F10" s="100">
        <f>IF(COUNT($A10)&gt;0,(F9*(1+'Cloud Consumption'!F$21)),0)</f>
        <v>0</v>
      </c>
      <c r="G10" s="100">
        <f>IF(COUNT($A10)&gt;0,(G9*(1+'Cloud Consumption'!G$21)),0)</f>
        <v>0</v>
      </c>
      <c r="H10" s="100">
        <f>IF(COUNT($A10)&gt;0,(H9*(1+'Cloud Consumption'!E$22)),0)</f>
        <v>0</v>
      </c>
      <c r="I10" s="100">
        <f>IF(COUNT($A10)&gt;0,(I9*(1+'Cloud Consumption'!F$22)),0)</f>
        <v>0</v>
      </c>
      <c r="J10" s="100">
        <f>IF(COUNT($A10)&gt;0,(J9*(1+'Cloud Consumption'!G$22)),0)</f>
        <v>0</v>
      </c>
      <c r="K10" s="100">
        <f>IF(COUNT($A10)&gt;0,(K9*(1+'Cloud Consumption'!E$23)),0)</f>
        <v>0</v>
      </c>
      <c r="L10" s="100">
        <f>IF(COUNT($A10)&gt;0,(L9*(1+'Cloud Consumption'!F$23)),0)</f>
        <v>0</v>
      </c>
      <c r="M10" s="100">
        <f>IF(COUNT($A10)&gt;0,(M9*(1+'Cloud Consumption'!G$23)),0)</f>
        <v>0</v>
      </c>
      <c r="N10" s="12">
        <f>IF(COUNT($A10)&gt;0,(N9*(1+'Cloud Consumption'!E$24)),0)</f>
        <v>0</v>
      </c>
      <c r="O10" s="12">
        <f>IF(COUNT($A10)&gt;0,(O9*(1+'Cloud Consumption'!F$24)),0)</f>
        <v>0</v>
      </c>
      <c r="P10" s="12">
        <f>IF(COUNT($A10)&gt;0,(P9*(1+'Cloud Consumption'!G$24)),0)</f>
        <v>0</v>
      </c>
      <c r="Q10" s="14">
        <f t="shared" si="0"/>
        <v>0</v>
      </c>
      <c r="R10" s="14">
        <f t="shared" si="1"/>
        <v>0</v>
      </c>
      <c r="S10" s="14">
        <f t="shared" si="2"/>
        <v>0</v>
      </c>
      <c r="T10" s="12">
        <f>IF(COUNT($A10)&gt;0,'Other Overhead C '!$M$9,0)</f>
        <v>0</v>
      </c>
      <c r="U10" s="12">
        <f>IF(COUNT($A10)&gt;0,'Platform Cloud Costs'!$J$9,0)</f>
        <v>0</v>
      </c>
      <c r="V10" s="12">
        <f>IF(AND((COUNT($A10)&gt;0),(A10&lt;='Prospective Project'!$C$33)),'Enablement Services'!$C$35+'Enablement Services'!$C$36,0)</f>
        <v>0</v>
      </c>
      <c r="W10" s="12">
        <f>IF(AND((COUNT($A10)&gt;0),(A10&lt;='Prospective Project'!$C$33)),'Enablement Services'!$C$25+'Enablement Services'!$C$26,0)</f>
        <v>0</v>
      </c>
      <c r="X10" s="12">
        <f>IF(AND((COUNT($A10)&gt;0),(A10&lt;='Prospective Project'!$C$33)),'Enablement Services'!$C$14+'Enablement Services'!$C$15,0)</f>
        <v>0</v>
      </c>
      <c r="Y10" s="12">
        <f>IF('Prospective Project'!$C$20="High",'Prospective Project Calculation'!S10,IF('Prospective Project'!$C$20="Medium",'Prospective Project Calculation'!R10,'Prospective Project Calculation'!Q10))</f>
        <v>0</v>
      </c>
      <c r="Z10" s="12">
        <f>IF('Prospective Project'!$C$27="High",'Prospective Project Calculation'!P10,IF('Prospective Project'!$C$27="Medium",'Prospective Project Calculation'!O10,'Prospective Project Calculation'!N10))</f>
        <v>0</v>
      </c>
      <c r="AA10" s="12">
        <f>IF('Prospective Project'!$C$29="None",0,IF('Prospective Project'!$C$29="Gold",X10,IF('Prospective Project'!$C$29="Silver",'Prospective Project Calculation'!W10,'Prospective Project Calculation'!V10)))</f>
        <v>0</v>
      </c>
      <c r="AB10" s="12">
        <f t="shared" si="3"/>
        <v>0</v>
      </c>
      <c r="AC10" s="12"/>
      <c r="AD10" s="12"/>
    </row>
    <row r="11" spans="1:30">
      <c r="A11" s="12" t="str">
        <f>IF(ROW()&lt;='Prospective Project'!$C$17+1,A10+1,"")</f>
        <v/>
      </c>
      <c r="B11" s="100">
        <f>IF(COUNT($A11)&gt;0,(B10*(1+'Cloud Consumption'!E$20)),0)</f>
        <v>0</v>
      </c>
      <c r="C11" s="100">
        <f>IF(COUNT($A11)&gt;0,(C10*(1+'Cloud Consumption'!F$20)),0)</f>
        <v>0</v>
      </c>
      <c r="D11" s="100">
        <f>IF(COUNT($A11)&gt;0,(D10*(1+'Cloud Consumption'!G$20)),0)</f>
        <v>0</v>
      </c>
      <c r="E11" s="100">
        <f>IF(COUNT($A11)&gt;0,(E10*(1+'Cloud Consumption'!E$21)),0)</f>
        <v>0</v>
      </c>
      <c r="F11" s="100">
        <f>IF(COUNT($A11)&gt;0,(F10*(1+'Cloud Consumption'!F$21)),0)</f>
        <v>0</v>
      </c>
      <c r="G11" s="100">
        <f>IF(COUNT($A11)&gt;0,(G10*(1+'Cloud Consumption'!G$21)),0)</f>
        <v>0</v>
      </c>
      <c r="H11" s="100">
        <f>IF(COUNT($A11)&gt;0,(H10*(1+'Cloud Consumption'!E$22)),0)</f>
        <v>0</v>
      </c>
      <c r="I11" s="100">
        <f>IF(COUNT($A11)&gt;0,(I10*(1+'Cloud Consumption'!F$22)),0)</f>
        <v>0</v>
      </c>
      <c r="J11" s="100">
        <f>IF(COUNT($A11)&gt;0,(J10*(1+'Cloud Consumption'!G$22)),0)</f>
        <v>0</v>
      </c>
      <c r="K11" s="100">
        <f>IF(COUNT($A11)&gt;0,(K10*(1+'Cloud Consumption'!E$23)),0)</f>
        <v>0</v>
      </c>
      <c r="L11" s="100">
        <f>IF(COUNT($A11)&gt;0,(L10*(1+'Cloud Consumption'!F$23)),0)</f>
        <v>0</v>
      </c>
      <c r="M11" s="100">
        <f>IF(COUNT($A11)&gt;0,(M10*(1+'Cloud Consumption'!G$23)),0)</f>
        <v>0</v>
      </c>
      <c r="N11" s="12">
        <f>IF(COUNT($A11)&gt;0,(N10*(1+'Cloud Consumption'!E$24)),0)</f>
        <v>0</v>
      </c>
      <c r="O11" s="12">
        <f>IF(COUNT($A11)&gt;0,(O10*(1+'Cloud Consumption'!F$24)),0)</f>
        <v>0</v>
      </c>
      <c r="P11" s="12">
        <f>IF(COUNT($A11)&gt;0,(P10*(1+'Cloud Consumption'!G$24)),0)</f>
        <v>0</v>
      </c>
      <c r="Q11" s="14">
        <f t="shared" si="0"/>
        <v>0</v>
      </c>
      <c r="R11" s="14">
        <f t="shared" si="1"/>
        <v>0</v>
      </c>
      <c r="S11" s="14">
        <f t="shared" si="2"/>
        <v>0</v>
      </c>
      <c r="T11" s="12">
        <f>IF(COUNT($A11)&gt;0,'Other Overhead C '!$M$9,0)</f>
        <v>0</v>
      </c>
      <c r="U11" s="12">
        <f>IF(COUNT($A11)&gt;0,'Platform Cloud Costs'!$J$9,0)</f>
        <v>0</v>
      </c>
      <c r="V11" s="12">
        <f>IF(AND((COUNT($A11)&gt;0),(A11&lt;='Prospective Project'!$C$33)),'Enablement Services'!$C$35+'Enablement Services'!$C$36,0)</f>
        <v>0</v>
      </c>
      <c r="W11" s="12">
        <f>IF(AND((COUNT($A11)&gt;0),(A11&lt;='Prospective Project'!$C$33)),'Enablement Services'!$C$25+'Enablement Services'!$C$26,0)</f>
        <v>0</v>
      </c>
      <c r="X11" s="12">
        <f>IF(AND((COUNT($A11)&gt;0),(A11&lt;='Prospective Project'!$C$33)),'Enablement Services'!$C$14+'Enablement Services'!$C$15,0)</f>
        <v>0</v>
      </c>
      <c r="Y11" s="12">
        <f>IF('Prospective Project'!$C$20="High",'Prospective Project Calculation'!S11,IF('Prospective Project'!$C$20="Medium",'Prospective Project Calculation'!R11,'Prospective Project Calculation'!Q11))</f>
        <v>0</v>
      </c>
      <c r="Z11" s="12">
        <f>IF('Prospective Project'!$C$27="High",'Prospective Project Calculation'!P11,IF('Prospective Project'!$C$27="Medium",'Prospective Project Calculation'!O11,'Prospective Project Calculation'!N11))</f>
        <v>0</v>
      </c>
      <c r="AA11" s="12">
        <f>IF('Prospective Project'!$C$29="None",0,IF('Prospective Project'!$C$29="Gold",X11,IF('Prospective Project'!$C$29="Silver",'Prospective Project Calculation'!W11,'Prospective Project Calculation'!V11)))</f>
        <v>0</v>
      </c>
      <c r="AB11" s="12">
        <f t="shared" si="3"/>
        <v>0</v>
      </c>
      <c r="AC11" s="12"/>
      <c r="AD11" s="12"/>
    </row>
    <row r="12" spans="1:30">
      <c r="A12" s="12" t="str">
        <f>IF(ROW()&lt;='Prospective Project'!$C$17+1,A11+1,"")</f>
        <v/>
      </c>
      <c r="B12" s="100">
        <f>IF(COUNT($A12)&gt;0,(B11*(1+'Cloud Consumption'!E$20)),0)</f>
        <v>0</v>
      </c>
      <c r="C12" s="100">
        <f>IF(COUNT($A12)&gt;0,(C11*(1+'Cloud Consumption'!F$20)),0)</f>
        <v>0</v>
      </c>
      <c r="D12" s="100">
        <f>IF(COUNT($A12)&gt;0,(D11*(1+'Cloud Consumption'!G$20)),0)</f>
        <v>0</v>
      </c>
      <c r="E12" s="100">
        <f>IF(COUNT($A12)&gt;0,(E11*(1+'Cloud Consumption'!E$21)),0)</f>
        <v>0</v>
      </c>
      <c r="F12" s="100">
        <f>IF(COUNT($A12)&gt;0,(F11*(1+'Cloud Consumption'!F$21)),0)</f>
        <v>0</v>
      </c>
      <c r="G12" s="100">
        <f>IF(COUNT($A12)&gt;0,(G11*(1+'Cloud Consumption'!G$21)),0)</f>
        <v>0</v>
      </c>
      <c r="H12" s="100">
        <f>IF(COUNT($A12)&gt;0,(H11*(1+'Cloud Consumption'!E$22)),0)</f>
        <v>0</v>
      </c>
      <c r="I12" s="100">
        <f>IF(COUNT($A12)&gt;0,(I11*(1+'Cloud Consumption'!F$22)),0)</f>
        <v>0</v>
      </c>
      <c r="J12" s="100">
        <f>IF(COUNT($A12)&gt;0,(J11*(1+'Cloud Consumption'!G$22)),0)</f>
        <v>0</v>
      </c>
      <c r="K12" s="100">
        <f>IF(COUNT($A12)&gt;0,(K11*(1+'Cloud Consumption'!E$23)),0)</f>
        <v>0</v>
      </c>
      <c r="L12" s="100">
        <f>IF(COUNT($A12)&gt;0,(L11*(1+'Cloud Consumption'!F$23)),0)</f>
        <v>0</v>
      </c>
      <c r="M12" s="100">
        <f>IF(COUNT($A12)&gt;0,(M11*(1+'Cloud Consumption'!G$23)),0)</f>
        <v>0</v>
      </c>
      <c r="N12" s="12">
        <f>IF(COUNT($A12)&gt;0,(N11*(1+'Cloud Consumption'!E$24)),0)</f>
        <v>0</v>
      </c>
      <c r="O12" s="12">
        <f>IF(COUNT($A12)&gt;0,(O11*(1+'Cloud Consumption'!F$24)),0)</f>
        <v>0</v>
      </c>
      <c r="P12" s="12">
        <f>IF(COUNT($A12)&gt;0,(P11*(1+'Cloud Consumption'!G$24)),0)</f>
        <v>0</v>
      </c>
      <c r="Q12" s="14">
        <f t="shared" si="0"/>
        <v>0</v>
      </c>
      <c r="R12" s="14">
        <f t="shared" si="1"/>
        <v>0</v>
      </c>
      <c r="S12" s="14">
        <f t="shared" si="2"/>
        <v>0</v>
      </c>
      <c r="T12" s="12">
        <f>IF(COUNT($A12)&gt;0,'Other Overhead C '!$M$9,0)</f>
        <v>0</v>
      </c>
      <c r="U12" s="12">
        <f>IF(COUNT($A12)&gt;0,'Platform Cloud Costs'!$J$9,0)</f>
        <v>0</v>
      </c>
      <c r="V12" s="12">
        <f>IF(AND((COUNT($A12)&gt;0),(A12&lt;='Prospective Project'!$C$33)),'Enablement Services'!$C$35+'Enablement Services'!$C$36,0)</f>
        <v>0</v>
      </c>
      <c r="W12" s="12">
        <f>IF(AND((COUNT($A12)&gt;0),(A12&lt;='Prospective Project'!$C$33)),'Enablement Services'!$C$25+'Enablement Services'!$C$26,0)</f>
        <v>0</v>
      </c>
      <c r="X12" s="12">
        <f>IF(AND((COUNT($A12)&gt;0),(A12&lt;='Prospective Project'!$C$33)),'Enablement Services'!$C$14+'Enablement Services'!$C$15,0)</f>
        <v>0</v>
      </c>
      <c r="Y12" s="12">
        <f>IF('Prospective Project'!$C$20="High",'Prospective Project Calculation'!S12,IF('Prospective Project'!$C$20="Medium",'Prospective Project Calculation'!R12,'Prospective Project Calculation'!Q12))</f>
        <v>0</v>
      </c>
      <c r="Z12" s="12">
        <f>IF('Prospective Project'!$C$27="High",'Prospective Project Calculation'!P12,IF('Prospective Project'!$C$27="Medium",'Prospective Project Calculation'!O12,'Prospective Project Calculation'!N12))</f>
        <v>0</v>
      </c>
      <c r="AA12" s="12">
        <f>IF('Prospective Project'!$C$29="None",0,IF('Prospective Project'!$C$29="Gold",X12,IF('Prospective Project'!$C$29="Silver",'Prospective Project Calculation'!W12,'Prospective Project Calculation'!V12)))</f>
        <v>0</v>
      </c>
      <c r="AB12" s="12">
        <f t="shared" si="3"/>
        <v>0</v>
      </c>
      <c r="AC12" s="12"/>
      <c r="AD12" s="12"/>
    </row>
    <row r="13" spans="1:30">
      <c r="A13" s="12" t="str">
        <f>IF(ROW()&lt;='Prospective Project'!$C$17+1,A12+1,"")</f>
        <v/>
      </c>
      <c r="B13" s="100">
        <f>IF(COUNT($A13)&gt;0,(B12*(1+'Cloud Consumption'!E$20)),0)</f>
        <v>0</v>
      </c>
      <c r="C13" s="100">
        <f>IF(COUNT($A13)&gt;0,(C12*(1+'Cloud Consumption'!F$20)),0)</f>
        <v>0</v>
      </c>
      <c r="D13" s="100">
        <f>IF(COUNT($A13)&gt;0,(D12*(1+'Cloud Consumption'!G$20)),0)</f>
        <v>0</v>
      </c>
      <c r="E13" s="100">
        <f>IF(COUNT($A13)&gt;0,(E12*(1+'Cloud Consumption'!E$21)),0)</f>
        <v>0</v>
      </c>
      <c r="F13" s="100">
        <f>IF(COUNT($A13)&gt;0,(F12*(1+'Cloud Consumption'!F$21)),0)</f>
        <v>0</v>
      </c>
      <c r="G13" s="100">
        <f>IF(COUNT($A13)&gt;0,(G12*(1+'Cloud Consumption'!G$21)),0)</f>
        <v>0</v>
      </c>
      <c r="H13" s="100">
        <f>IF(COUNT($A13)&gt;0,(H12*(1+'Cloud Consumption'!E$22)),0)</f>
        <v>0</v>
      </c>
      <c r="I13" s="100">
        <f>IF(COUNT($A13)&gt;0,(I12*(1+'Cloud Consumption'!F$22)),0)</f>
        <v>0</v>
      </c>
      <c r="J13" s="100">
        <f>IF(COUNT($A13)&gt;0,(J12*(1+'Cloud Consumption'!G$22)),0)</f>
        <v>0</v>
      </c>
      <c r="K13" s="100">
        <f>IF(COUNT($A13)&gt;0,(K12*(1+'Cloud Consumption'!E$23)),0)</f>
        <v>0</v>
      </c>
      <c r="L13" s="100">
        <f>IF(COUNT($A13)&gt;0,(L12*(1+'Cloud Consumption'!F$23)),0)</f>
        <v>0</v>
      </c>
      <c r="M13" s="100">
        <f>IF(COUNT($A13)&gt;0,(M12*(1+'Cloud Consumption'!G$23)),0)</f>
        <v>0</v>
      </c>
      <c r="N13" s="12">
        <f>IF(COUNT($A13)&gt;0,(N12*(1+'Cloud Consumption'!E$24)),0)</f>
        <v>0</v>
      </c>
      <c r="O13" s="12">
        <f>IF(COUNT($A13)&gt;0,(O12*(1+'Cloud Consumption'!F$24)),0)</f>
        <v>0</v>
      </c>
      <c r="P13" s="12">
        <f>IF(COUNT($A13)&gt;0,(P12*(1+'Cloud Consumption'!G$24)),0)</f>
        <v>0</v>
      </c>
      <c r="Q13" s="14">
        <f t="shared" si="0"/>
        <v>0</v>
      </c>
      <c r="R13" s="14">
        <f t="shared" si="1"/>
        <v>0</v>
      </c>
      <c r="S13" s="14">
        <f t="shared" si="2"/>
        <v>0</v>
      </c>
      <c r="T13" s="12">
        <f>IF(COUNT($A13)&gt;0,'Other Overhead C '!$M$9,0)</f>
        <v>0</v>
      </c>
      <c r="U13" s="12">
        <f>IF(COUNT($A13)&gt;0,'Platform Cloud Costs'!$J$9,0)</f>
        <v>0</v>
      </c>
      <c r="V13" s="12">
        <f>IF(AND((COUNT($A13)&gt;0),(A13&lt;='Prospective Project'!$C$33)),'Enablement Services'!$C$35+'Enablement Services'!$C$36,0)</f>
        <v>0</v>
      </c>
      <c r="W13" s="12">
        <f>IF(AND((COUNT($A13)&gt;0),(A13&lt;='Prospective Project'!$C$33)),'Enablement Services'!$C$25+'Enablement Services'!$C$26,0)</f>
        <v>0</v>
      </c>
      <c r="X13" s="12">
        <f>IF(AND((COUNT($A13)&gt;0),(A13&lt;='Prospective Project'!$C$33)),'Enablement Services'!$C$14+'Enablement Services'!$C$15,0)</f>
        <v>0</v>
      </c>
      <c r="Y13" s="12">
        <f>IF('Prospective Project'!$C$20="High",'Prospective Project Calculation'!S13,IF('Prospective Project'!$C$20="Medium",'Prospective Project Calculation'!R13,'Prospective Project Calculation'!Q13))</f>
        <v>0</v>
      </c>
      <c r="Z13" s="12">
        <f>IF('Prospective Project'!$C$27="High",'Prospective Project Calculation'!P13,IF('Prospective Project'!$C$27="Medium",'Prospective Project Calculation'!O13,'Prospective Project Calculation'!N13))</f>
        <v>0</v>
      </c>
      <c r="AA13" s="12">
        <f>IF('Prospective Project'!$C$29="None",0,IF('Prospective Project'!$C$29="Gold",X13,IF('Prospective Project'!$C$29="Silver",'Prospective Project Calculation'!W13,'Prospective Project Calculation'!V13)))</f>
        <v>0</v>
      </c>
      <c r="AB13" s="12">
        <f t="shared" si="3"/>
        <v>0</v>
      </c>
      <c r="AC13" s="12"/>
      <c r="AD13" s="12"/>
    </row>
    <row r="14" spans="1:30">
      <c r="A14" s="12" t="str">
        <f>IF(ROW()&lt;='Prospective Project'!$C$17+1,A13+1,"")</f>
        <v/>
      </c>
      <c r="B14" s="100">
        <f>IF(COUNT($A14)&gt;0,(B13*(1+'Cloud Consumption'!E$20)),0)</f>
        <v>0</v>
      </c>
      <c r="C14" s="100">
        <f>IF(COUNT($A14)&gt;0,(C13*(1+'Cloud Consumption'!F$20)),0)</f>
        <v>0</v>
      </c>
      <c r="D14" s="100">
        <f>IF(COUNT($A14)&gt;0,(D13*(1+'Cloud Consumption'!G$20)),0)</f>
        <v>0</v>
      </c>
      <c r="E14" s="100">
        <f>IF(COUNT($A14)&gt;0,(E13*(1+'Cloud Consumption'!E$21)),0)</f>
        <v>0</v>
      </c>
      <c r="F14" s="100">
        <f>IF(COUNT($A14)&gt;0,(F13*(1+'Cloud Consumption'!F$21)),0)</f>
        <v>0</v>
      </c>
      <c r="G14" s="100">
        <f>IF(COUNT($A14)&gt;0,(G13*(1+'Cloud Consumption'!G$21)),0)</f>
        <v>0</v>
      </c>
      <c r="H14" s="100">
        <f>IF(COUNT($A14)&gt;0,(H13*(1+'Cloud Consumption'!E$22)),0)</f>
        <v>0</v>
      </c>
      <c r="I14" s="100">
        <f>IF(COUNT($A14)&gt;0,(I13*(1+'Cloud Consumption'!F$22)),0)</f>
        <v>0</v>
      </c>
      <c r="J14" s="100">
        <f>IF(COUNT($A14)&gt;0,(J13*(1+'Cloud Consumption'!G$22)),0)</f>
        <v>0</v>
      </c>
      <c r="K14" s="100">
        <f>IF(COUNT($A14)&gt;0,(K13*(1+'Cloud Consumption'!E$23)),0)</f>
        <v>0</v>
      </c>
      <c r="L14" s="100">
        <f>IF(COUNT($A14)&gt;0,(L13*(1+'Cloud Consumption'!F$23)),0)</f>
        <v>0</v>
      </c>
      <c r="M14" s="100">
        <f>IF(COUNT($A14)&gt;0,(M13*(1+'Cloud Consumption'!G$23)),0)</f>
        <v>0</v>
      </c>
      <c r="N14" s="12">
        <f>IF(COUNT($A14)&gt;0,(N13*(1+'Cloud Consumption'!E$24)),0)</f>
        <v>0</v>
      </c>
      <c r="O14" s="12">
        <f>IF(COUNT($A14)&gt;0,(O13*(1+'Cloud Consumption'!F$24)),0)</f>
        <v>0</v>
      </c>
      <c r="P14" s="12">
        <f>IF(COUNT($A14)&gt;0,(P13*(1+'Cloud Consumption'!G$24)),0)</f>
        <v>0</v>
      </c>
      <c r="Q14" s="14">
        <f t="shared" si="0"/>
        <v>0</v>
      </c>
      <c r="R14" s="14">
        <f t="shared" si="1"/>
        <v>0</v>
      </c>
      <c r="S14" s="14">
        <f t="shared" si="2"/>
        <v>0</v>
      </c>
      <c r="T14" s="12">
        <f>IF(COUNT($A14)&gt;0,'Other Overhead C '!$M$9,0)</f>
        <v>0</v>
      </c>
      <c r="U14" s="12">
        <f>IF(COUNT($A14)&gt;0,'Platform Cloud Costs'!$J$9,0)</f>
        <v>0</v>
      </c>
      <c r="V14" s="12">
        <f>IF(AND((COUNT($A14)&gt;0),(A14&lt;='Prospective Project'!$C$33)),'Enablement Services'!$C$35+'Enablement Services'!$C$36,0)</f>
        <v>0</v>
      </c>
      <c r="W14" s="12">
        <f>IF(AND((COUNT($A14)&gt;0),(A14&lt;='Prospective Project'!$C$33)),'Enablement Services'!$C$25+'Enablement Services'!$C$26,0)</f>
        <v>0</v>
      </c>
      <c r="X14" s="12">
        <f>IF(AND((COUNT($A14)&gt;0),(A14&lt;='Prospective Project'!$C$33)),'Enablement Services'!$C$14+'Enablement Services'!$C$15,0)</f>
        <v>0</v>
      </c>
      <c r="Y14" s="12">
        <f>IF('Prospective Project'!$C$20="High",'Prospective Project Calculation'!S14,IF('Prospective Project'!$C$20="Medium",'Prospective Project Calculation'!R14,'Prospective Project Calculation'!Q14))</f>
        <v>0</v>
      </c>
      <c r="Z14" s="12">
        <f>IF('Prospective Project'!$C$27="High",'Prospective Project Calculation'!P14,IF('Prospective Project'!$C$27="Medium",'Prospective Project Calculation'!O14,'Prospective Project Calculation'!N14))</f>
        <v>0</v>
      </c>
      <c r="AA14" s="12">
        <f>IF('Prospective Project'!$C$29="None",0,IF('Prospective Project'!$C$29="Gold",X14,IF('Prospective Project'!$C$29="Silver",'Prospective Project Calculation'!W14,'Prospective Project Calculation'!V14)))</f>
        <v>0</v>
      </c>
      <c r="AB14" s="12">
        <f t="shared" si="3"/>
        <v>0</v>
      </c>
      <c r="AC14" s="12"/>
      <c r="AD14" s="12"/>
    </row>
    <row r="15" spans="1:30">
      <c r="A15" s="12" t="str">
        <f>IF(ROW()&lt;='Prospective Project'!$C$17+1,A14+1,"")</f>
        <v/>
      </c>
      <c r="B15" s="100">
        <f>IF(COUNT($A15)&gt;0,(B14*(1+'Cloud Consumption'!E$20)),0)</f>
        <v>0</v>
      </c>
      <c r="C15" s="100">
        <f>IF(COUNT($A15)&gt;0,(C14*(1+'Cloud Consumption'!F$20)),0)</f>
        <v>0</v>
      </c>
      <c r="D15" s="100">
        <f>IF(COUNT($A15)&gt;0,(D14*(1+'Cloud Consumption'!G$20)),0)</f>
        <v>0</v>
      </c>
      <c r="E15" s="100">
        <f>IF(COUNT($A15)&gt;0,(E14*(1+'Cloud Consumption'!E$21)),0)</f>
        <v>0</v>
      </c>
      <c r="F15" s="100">
        <f>IF(COUNT($A15)&gt;0,(F14*(1+'Cloud Consumption'!F$21)),0)</f>
        <v>0</v>
      </c>
      <c r="G15" s="100">
        <f>IF(COUNT($A15)&gt;0,(G14*(1+'Cloud Consumption'!G$21)),0)</f>
        <v>0</v>
      </c>
      <c r="H15" s="100">
        <f>IF(COUNT($A15)&gt;0,(H14*(1+'Cloud Consumption'!E$22)),0)</f>
        <v>0</v>
      </c>
      <c r="I15" s="100">
        <f>IF(COUNT($A15)&gt;0,(I14*(1+'Cloud Consumption'!F$22)),0)</f>
        <v>0</v>
      </c>
      <c r="J15" s="100">
        <f>IF(COUNT($A15)&gt;0,(J14*(1+'Cloud Consumption'!G$22)),0)</f>
        <v>0</v>
      </c>
      <c r="K15" s="100">
        <f>IF(COUNT($A15)&gt;0,(K14*(1+'Cloud Consumption'!E$23)),0)</f>
        <v>0</v>
      </c>
      <c r="L15" s="100">
        <f>IF(COUNT($A15)&gt;0,(L14*(1+'Cloud Consumption'!F$23)),0)</f>
        <v>0</v>
      </c>
      <c r="M15" s="100">
        <f>IF(COUNT($A15)&gt;0,(M14*(1+'Cloud Consumption'!G$23)),0)</f>
        <v>0</v>
      </c>
      <c r="N15" s="12">
        <f>IF(COUNT($A15)&gt;0,(N14*(1+'Cloud Consumption'!E$24)),0)</f>
        <v>0</v>
      </c>
      <c r="O15" s="12">
        <f>IF(COUNT($A15)&gt;0,(O14*(1+'Cloud Consumption'!F$24)),0)</f>
        <v>0</v>
      </c>
      <c r="P15" s="12">
        <f>IF(COUNT($A15)&gt;0,(P14*(1+'Cloud Consumption'!G$24)),0)</f>
        <v>0</v>
      </c>
      <c r="Q15" s="14">
        <f t="shared" si="0"/>
        <v>0</v>
      </c>
      <c r="R15" s="14">
        <f t="shared" si="1"/>
        <v>0</v>
      </c>
      <c r="S15" s="14">
        <f t="shared" si="2"/>
        <v>0</v>
      </c>
      <c r="T15" s="12">
        <f>IF(COUNT($A15)&gt;0,'Other Overhead C '!$M$9,0)</f>
        <v>0</v>
      </c>
      <c r="U15" s="12">
        <f>IF(COUNT($A15)&gt;0,'Platform Cloud Costs'!$J$9,0)</f>
        <v>0</v>
      </c>
      <c r="V15" s="12">
        <f>IF(AND((COUNT($A15)&gt;0),(A15&lt;='Prospective Project'!$C$33)),'Enablement Services'!$C$35+'Enablement Services'!$C$36,0)</f>
        <v>0</v>
      </c>
      <c r="W15" s="12">
        <f>IF(AND((COUNT($A15)&gt;0),(A15&lt;='Prospective Project'!$C$33)),'Enablement Services'!$C$25+'Enablement Services'!$C$26,0)</f>
        <v>0</v>
      </c>
      <c r="X15" s="12">
        <f>IF(AND((COUNT($A15)&gt;0),(A15&lt;='Prospective Project'!$C$33)),'Enablement Services'!$C$14+'Enablement Services'!$C$15,0)</f>
        <v>0</v>
      </c>
      <c r="Y15" s="12">
        <f>IF('Prospective Project'!$C$20="High",'Prospective Project Calculation'!S15,IF('Prospective Project'!$C$20="Medium",'Prospective Project Calculation'!R15,'Prospective Project Calculation'!Q15))</f>
        <v>0</v>
      </c>
      <c r="Z15" s="12">
        <f>IF('Prospective Project'!$C$27="High",'Prospective Project Calculation'!P15,IF('Prospective Project'!$C$27="Medium",'Prospective Project Calculation'!O15,'Prospective Project Calculation'!N15))</f>
        <v>0</v>
      </c>
      <c r="AA15" s="12">
        <f>IF('Prospective Project'!$C$29="None",0,IF('Prospective Project'!$C$29="Gold",X15,IF('Prospective Project'!$C$29="Silver",'Prospective Project Calculation'!W15,'Prospective Project Calculation'!V15)))</f>
        <v>0</v>
      </c>
      <c r="AB15" s="12">
        <f t="shared" si="3"/>
        <v>0</v>
      </c>
      <c r="AC15" s="12"/>
      <c r="AD15" s="12"/>
    </row>
    <row r="16" spans="1:30">
      <c r="A16" s="12" t="str">
        <f>IF(ROW()&lt;='Prospective Project'!$C$17+1,A15+1,"")</f>
        <v/>
      </c>
      <c r="B16" s="100">
        <f>IF(COUNT($A16)&gt;0,(B15*(1+'Cloud Consumption'!E$20)),0)</f>
        <v>0</v>
      </c>
      <c r="C16" s="100">
        <f>IF(COUNT($A16)&gt;0,(C15*(1+'Cloud Consumption'!F$20)),0)</f>
        <v>0</v>
      </c>
      <c r="D16" s="100">
        <f>IF(COUNT($A16)&gt;0,(D15*(1+'Cloud Consumption'!G$20)),0)</f>
        <v>0</v>
      </c>
      <c r="E16" s="100">
        <f>IF(COUNT($A16)&gt;0,(E15*(1+'Cloud Consumption'!E$21)),0)</f>
        <v>0</v>
      </c>
      <c r="F16" s="100">
        <f>IF(COUNT($A16)&gt;0,(F15*(1+'Cloud Consumption'!F$21)),0)</f>
        <v>0</v>
      </c>
      <c r="G16" s="100">
        <f>IF(COUNT($A16)&gt;0,(G15*(1+'Cloud Consumption'!G$21)),0)</f>
        <v>0</v>
      </c>
      <c r="H16" s="100">
        <f>IF(COUNT($A16)&gt;0,(H15*(1+'Cloud Consumption'!E$22)),0)</f>
        <v>0</v>
      </c>
      <c r="I16" s="100">
        <f>IF(COUNT($A16)&gt;0,(I15*(1+'Cloud Consumption'!F$22)),0)</f>
        <v>0</v>
      </c>
      <c r="J16" s="100">
        <f>IF(COUNT($A16)&gt;0,(J15*(1+'Cloud Consumption'!G$22)),0)</f>
        <v>0</v>
      </c>
      <c r="K16" s="100">
        <f>IF(COUNT($A16)&gt;0,(K15*(1+'Cloud Consumption'!E$23)),0)</f>
        <v>0</v>
      </c>
      <c r="L16" s="100">
        <f>IF(COUNT($A16)&gt;0,(L15*(1+'Cloud Consumption'!F$23)),0)</f>
        <v>0</v>
      </c>
      <c r="M16" s="100">
        <f>IF(COUNT($A16)&gt;0,(M15*(1+'Cloud Consumption'!G$23)),0)</f>
        <v>0</v>
      </c>
      <c r="N16" s="12">
        <f>IF(COUNT($A16)&gt;0,(N15*(1+'Cloud Consumption'!E$24)),0)</f>
        <v>0</v>
      </c>
      <c r="O16" s="12">
        <f>IF(COUNT($A16)&gt;0,(O15*(1+'Cloud Consumption'!F$24)),0)</f>
        <v>0</v>
      </c>
      <c r="P16" s="12">
        <f>IF(COUNT($A16)&gt;0,(P15*(1+'Cloud Consumption'!G$24)),0)</f>
        <v>0</v>
      </c>
      <c r="Q16" s="14">
        <f t="shared" si="0"/>
        <v>0</v>
      </c>
      <c r="R16" s="14">
        <f t="shared" si="1"/>
        <v>0</v>
      </c>
      <c r="S16" s="14">
        <f t="shared" si="2"/>
        <v>0</v>
      </c>
      <c r="T16" s="12">
        <f>IF(COUNT($A16)&gt;0,'Other Overhead C '!$M$9,0)</f>
        <v>0</v>
      </c>
      <c r="U16" s="12">
        <f>IF(COUNT($A16)&gt;0,'Platform Cloud Costs'!$J$9,0)</f>
        <v>0</v>
      </c>
      <c r="V16" s="12">
        <f>IF(AND((COUNT($A16)&gt;0),(A16&lt;='Prospective Project'!$C$33)),'Enablement Services'!$C$35+'Enablement Services'!$C$36,0)</f>
        <v>0</v>
      </c>
      <c r="W16" s="12">
        <f>IF(AND((COUNT($A16)&gt;0),(A16&lt;='Prospective Project'!$C$33)),'Enablement Services'!$C$25+'Enablement Services'!$C$26,0)</f>
        <v>0</v>
      </c>
      <c r="X16" s="12">
        <f>IF(AND((COUNT($A16)&gt;0),(A16&lt;='Prospective Project'!$C$33)),'Enablement Services'!$C$14+'Enablement Services'!$C$15,0)</f>
        <v>0</v>
      </c>
      <c r="Y16" s="12">
        <f>IF('Prospective Project'!$C$20="High",'Prospective Project Calculation'!S16,IF('Prospective Project'!$C$20="Medium",'Prospective Project Calculation'!R16,'Prospective Project Calculation'!Q16))</f>
        <v>0</v>
      </c>
      <c r="Z16" s="12">
        <f>IF('Prospective Project'!$C$27="High",'Prospective Project Calculation'!P16,IF('Prospective Project'!$C$27="Medium",'Prospective Project Calculation'!O16,'Prospective Project Calculation'!N16))</f>
        <v>0</v>
      </c>
      <c r="AA16" s="12">
        <f>IF('Prospective Project'!$C$29="None",0,IF('Prospective Project'!$C$29="Gold",X16,IF('Prospective Project'!$C$29="Silver",'Prospective Project Calculation'!W16,'Prospective Project Calculation'!V16)))</f>
        <v>0</v>
      </c>
      <c r="AB16" s="12">
        <f t="shared" si="3"/>
        <v>0</v>
      </c>
      <c r="AC16" s="12"/>
      <c r="AD16" s="12"/>
    </row>
    <row r="17" spans="1:30">
      <c r="A17" s="12" t="str">
        <f>IF(ROW()&lt;='Prospective Project'!$C$17+1,A16+1,"")</f>
        <v/>
      </c>
      <c r="B17" s="100">
        <f>IF(COUNT($A17)&gt;0,(B16*(1+'Cloud Consumption'!E$20)),0)</f>
        <v>0</v>
      </c>
      <c r="C17" s="100">
        <f>IF(COUNT($A17)&gt;0,(C16*(1+'Cloud Consumption'!F$20)),0)</f>
        <v>0</v>
      </c>
      <c r="D17" s="100">
        <f>IF(COUNT($A17)&gt;0,(D16*(1+'Cloud Consumption'!G$20)),0)</f>
        <v>0</v>
      </c>
      <c r="E17" s="100">
        <f>IF(COUNT($A17)&gt;0,(E16*(1+'Cloud Consumption'!E$21)),0)</f>
        <v>0</v>
      </c>
      <c r="F17" s="100">
        <f>IF(COUNT($A17)&gt;0,(F16*(1+'Cloud Consumption'!F$21)),0)</f>
        <v>0</v>
      </c>
      <c r="G17" s="100">
        <f>IF(COUNT($A17)&gt;0,(G16*(1+'Cloud Consumption'!G$21)),0)</f>
        <v>0</v>
      </c>
      <c r="H17" s="100">
        <f>IF(COUNT($A17)&gt;0,(H16*(1+'Cloud Consumption'!E$22)),0)</f>
        <v>0</v>
      </c>
      <c r="I17" s="100">
        <f>IF(COUNT($A17)&gt;0,(I16*(1+'Cloud Consumption'!F$22)),0)</f>
        <v>0</v>
      </c>
      <c r="J17" s="100">
        <f>IF(COUNT($A17)&gt;0,(J16*(1+'Cloud Consumption'!G$22)),0)</f>
        <v>0</v>
      </c>
      <c r="K17" s="100">
        <f>IF(COUNT($A17)&gt;0,(K16*(1+'Cloud Consumption'!E$23)),0)</f>
        <v>0</v>
      </c>
      <c r="L17" s="100">
        <f>IF(COUNT($A17)&gt;0,(L16*(1+'Cloud Consumption'!F$23)),0)</f>
        <v>0</v>
      </c>
      <c r="M17" s="100">
        <f>IF(COUNT($A17)&gt;0,(M16*(1+'Cloud Consumption'!G$23)),0)</f>
        <v>0</v>
      </c>
      <c r="N17" s="12">
        <f>IF(COUNT($A17)&gt;0,(N16*(1+'Cloud Consumption'!E$24)),0)</f>
        <v>0</v>
      </c>
      <c r="O17" s="12">
        <f>IF(COUNT($A17)&gt;0,(O16*(1+'Cloud Consumption'!F$24)),0)</f>
        <v>0</v>
      </c>
      <c r="P17" s="12">
        <f>IF(COUNT($A17)&gt;0,(P16*(1+'Cloud Consumption'!G$24)),0)</f>
        <v>0</v>
      </c>
      <c r="Q17" s="14">
        <f t="shared" si="0"/>
        <v>0</v>
      </c>
      <c r="R17" s="14">
        <f t="shared" si="1"/>
        <v>0</v>
      </c>
      <c r="S17" s="14">
        <f t="shared" si="2"/>
        <v>0</v>
      </c>
      <c r="T17" s="12">
        <f>IF(COUNT($A17)&gt;0,'Other Overhead C '!$M$9,0)</f>
        <v>0</v>
      </c>
      <c r="U17" s="12">
        <f>IF(COUNT($A17)&gt;0,'Platform Cloud Costs'!$J$9,0)</f>
        <v>0</v>
      </c>
      <c r="V17" s="12">
        <f>IF(AND((COUNT($A17)&gt;0),(A17&lt;='Prospective Project'!$C$33)),'Enablement Services'!$C$35+'Enablement Services'!$C$36,0)</f>
        <v>0</v>
      </c>
      <c r="W17" s="12">
        <f>IF(AND((COUNT($A17)&gt;0),(A17&lt;='Prospective Project'!$C$33)),'Enablement Services'!$C$25+'Enablement Services'!$C$26,0)</f>
        <v>0</v>
      </c>
      <c r="X17" s="12">
        <f>IF(AND((COUNT($A17)&gt;0),(A17&lt;='Prospective Project'!$C$33)),'Enablement Services'!$C$14+'Enablement Services'!$C$15,0)</f>
        <v>0</v>
      </c>
      <c r="Y17" s="12">
        <f>IF('Prospective Project'!$C$20="High",'Prospective Project Calculation'!S17,IF('Prospective Project'!$C$20="Medium",'Prospective Project Calculation'!R17,'Prospective Project Calculation'!Q17))</f>
        <v>0</v>
      </c>
      <c r="Z17" s="12">
        <f>IF('Prospective Project'!$C$27="High",'Prospective Project Calculation'!P17,IF('Prospective Project'!$C$27="Medium",'Prospective Project Calculation'!O17,'Prospective Project Calculation'!N17))</f>
        <v>0</v>
      </c>
      <c r="AA17" s="12">
        <f>IF('Prospective Project'!$C$29="None",0,IF('Prospective Project'!$C$29="Gold",X17,IF('Prospective Project'!$C$29="Silver",'Prospective Project Calculation'!W17,'Prospective Project Calculation'!V17)))</f>
        <v>0</v>
      </c>
      <c r="AB17" s="12">
        <f t="shared" si="3"/>
        <v>0</v>
      </c>
      <c r="AC17" s="12"/>
      <c r="AD17" s="12"/>
    </row>
    <row r="18" spans="1:30">
      <c r="A18" s="12" t="str">
        <f>IF(ROW()&lt;='Prospective Project'!$C$17+1,A17+1,"")</f>
        <v/>
      </c>
      <c r="B18" s="100">
        <f>IF(COUNT($A18)&gt;0,(B17*(1+'Cloud Consumption'!E$20)),0)</f>
        <v>0</v>
      </c>
      <c r="C18" s="100">
        <f>IF(COUNT($A18)&gt;0,(C17*(1+'Cloud Consumption'!F$20)),0)</f>
        <v>0</v>
      </c>
      <c r="D18" s="100">
        <f>IF(COUNT($A18)&gt;0,(D17*(1+'Cloud Consumption'!G$20)),0)</f>
        <v>0</v>
      </c>
      <c r="E18" s="100">
        <f>IF(COUNT($A18)&gt;0,(E17*(1+'Cloud Consumption'!E$21)),0)</f>
        <v>0</v>
      </c>
      <c r="F18" s="100">
        <f>IF(COUNT($A18)&gt;0,(F17*(1+'Cloud Consumption'!F$21)),0)</f>
        <v>0</v>
      </c>
      <c r="G18" s="100">
        <f>IF(COUNT($A18)&gt;0,(G17*(1+'Cloud Consumption'!G$21)),0)</f>
        <v>0</v>
      </c>
      <c r="H18" s="100">
        <f>IF(COUNT($A18)&gt;0,(H17*(1+'Cloud Consumption'!E$22)),0)</f>
        <v>0</v>
      </c>
      <c r="I18" s="100">
        <f>IF(COUNT($A18)&gt;0,(I17*(1+'Cloud Consumption'!F$22)),0)</f>
        <v>0</v>
      </c>
      <c r="J18" s="100">
        <f>IF(COUNT($A18)&gt;0,(J17*(1+'Cloud Consumption'!G$22)),0)</f>
        <v>0</v>
      </c>
      <c r="K18" s="100">
        <f>IF(COUNT($A18)&gt;0,(K17*(1+'Cloud Consumption'!E$23)),0)</f>
        <v>0</v>
      </c>
      <c r="L18" s="100">
        <f>IF(COUNT($A18)&gt;0,(L17*(1+'Cloud Consumption'!F$23)),0)</f>
        <v>0</v>
      </c>
      <c r="M18" s="100">
        <f>IF(COUNT($A18)&gt;0,(M17*(1+'Cloud Consumption'!G$23)),0)</f>
        <v>0</v>
      </c>
      <c r="N18" s="12">
        <f>IF(COUNT($A18)&gt;0,(N17*(1+'Cloud Consumption'!E$24)),0)</f>
        <v>0</v>
      </c>
      <c r="O18" s="12">
        <f>IF(COUNT($A18)&gt;0,(O17*(1+'Cloud Consumption'!F$24)),0)</f>
        <v>0</v>
      </c>
      <c r="P18" s="12">
        <f>IF(COUNT($A18)&gt;0,(P17*(1+'Cloud Consumption'!G$24)),0)</f>
        <v>0</v>
      </c>
      <c r="Q18" s="14">
        <f t="shared" si="0"/>
        <v>0</v>
      </c>
      <c r="R18" s="14">
        <f t="shared" si="1"/>
        <v>0</v>
      </c>
      <c r="S18" s="14">
        <f t="shared" si="2"/>
        <v>0</v>
      </c>
      <c r="T18" s="12">
        <f>IF(COUNT($A18)&gt;0,'Other Overhead C '!$M$9,0)</f>
        <v>0</v>
      </c>
      <c r="U18" s="12">
        <f>IF(COUNT($A18)&gt;0,'Platform Cloud Costs'!$J$9,0)</f>
        <v>0</v>
      </c>
      <c r="V18" s="12">
        <f>IF(AND((COUNT($A18)&gt;0),(A18&lt;='Prospective Project'!$C$33)),'Enablement Services'!$C$35+'Enablement Services'!$C$36,0)</f>
        <v>0</v>
      </c>
      <c r="W18" s="12">
        <f>IF(AND((COUNT($A18)&gt;0),(A18&lt;='Prospective Project'!$C$33)),'Enablement Services'!$C$25+'Enablement Services'!$C$26,0)</f>
        <v>0</v>
      </c>
      <c r="X18" s="12">
        <f>IF(AND((COUNT($A18)&gt;0),(A18&lt;='Prospective Project'!$C$33)),'Enablement Services'!$C$14+'Enablement Services'!$C$15,0)</f>
        <v>0</v>
      </c>
      <c r="Y18" s="12">
        <f>IF('Prospective Project'!$C$20="High",'Prospective Project Calculation'!S18,IF('Prospective Project'!$C$20="Medium",'Prospective Project Calculation'!R18,'Prospective Project Calculation'!Q18))</f>
        <v>0</v>
      </c>
      <c r="Z18" s="12">
        <f>IF('Prospective Project'!$C$27="High",'Prospective Project Calculation'!P18,IF('Prospective Project'!$C$27="Medium",'Prospective Project Calculation'!O18,'Prospective Project Calculation'!N18))</f>
        <v>0</v>
      </c>
      <c r="AA18" s="12">
        <f>IF('Prospective Project'!$C$29="None",0,IF('Prospective Project'!$C$29="Gold",X18,IF('Prospective Project'!$C$29="Silver",'Prospective Project Calculation'!W18,'Prospective Project Calculation'!V18)))</f>
        <v>0</v>
      </c>
      <c r="AB18" s="12">
        <f t="shared" si="3"/>
        <v>0</v>
      </c>
      <c r="AC18" s="12"/>
      <c r="AD18" s="12"/>
    </row>
    <row r="19" spans="1:30">
      <c r="A19" s="12" t="str">
        <f>IF(ROW()&lt;='Prospective Project'!$C$17+1,A18+1,"")</f>
        <v/>
      </c>
      <c r="B19" s="100">
        <f>IF(COUNT($A19)&gt;0,(B18*(1+'Cloud Consumption'!E$20)),0)</f>
        <v>0</v>
      </c>
      <c r="C19" s="100">
        <f>IF(COUNT($A19)&gt;0,(C18*(1+'Cloud Consumption'!F$20)),0)</f>
        <v>0</v>
      </c>
      <c r="D19" s="100">
        <f>IF(COUNT($A19)&gt;0,(D18*(1+'Cloud Consumption'!G$20)),0)</f>
        <v>0</v>
      </c>
      <c r="E19" s="100">
        <f>IF(COUNT($A19)&gt;0,(E18*(1+'Cloud Consumption'!E$21)),0)</f>
        <v>0</v>
      </c>
      <c r="F19" s="100">
        <f>IF(COUNT($A19)&gt;0,(F18*(1+'Cloud Consumption'!F$21)),0)</f>
        <v>0</v>
      </c>
      <c r="G19" s="100">
        <f>IF(COUNT($A19)&gt;0,(G18*(1+'Cloud Consumption'!G$21)),0)</f>
        <v>0</v>
      </c>
      <c r="H19" s="100">
        <f>IF(COUNT($A19)&gt;0,(H18*(1+'Cloud Consumption'!E$22)),0)</f>
        <v>0</v>
      </c>
      <c r="I19" s="100">
        <f>IF(COUNT($A19)&gt;0,(I18*(1+'Cloud Consumption'!F$22)),0)</f>
        <v>0</v>
      </c>
      <c r="J19" s="100">
        <f>IF(COUNT($A19)&gt;0,(J18*(1+'Cloud Consumption'!G$22)),0)</f>
        <v>0</v>
      </c>
      <c r="K19" s="100">
        <f>IF(COUNT($A19)&gt;0,(K18*(1+'Cloud Consumption'!E$23)),0)</f>
        <v>0</v>
      </c>
      <c r="L19" s="100">
        <f>IF(COUNT($A19)&gt;0,(L18*(1+'Cloud Consumption'!F$23)),0)</f>
        <v>0</v>
      </c>
      <c r="M19" s="100">
        <f>IF(COUNT($A19)&gt;0,(M18*(1+'Cloud Consumption'!G$23)),0)</f>
        <v>0</v>
      </c>
      <c r="N19" s="12">
        <f>IF(COUNT($A19)&gt;0,(N18*(1+'Cloud Consumption'!E$24)),0)</f>
        <v>0</v>
      </c>
      <c r="O19" s="12">
        <f>IF(COUNT($A19)&gt;0,(O18*(1+'Cloud Consumption'!F$24)),0)</f>
        <v>0</v>
      </c>
      <c r="P19" s="12">
        <f>IF(COUNT($A19)&gt;0,(P18*(1+'Cloud Consumption'!G$24)),0)</f>
        <v>0</v>
      </c>
      <c r="Q19" s="14">
        <f t="shared" si="0"/>
        <v>0</v>
      </c>
      <c r="R19" s="14">
        <f t="shared" si="1"/>
        <v>0</v>
      </c>
      <c r="S19" s="14">
        <f t="shared" si="2"/>
        <v>0</v>
      </c>
      <c r="T19" s="12">
        <f>IF(COUNT($A19)&gt;0,'Other Overhead C '!$M$9,0)</f>
        <v>0</v>
      </c>
      <c r="U19" s="12">
        <f>IF(COUNT($A19)&gt;0,'Platform Cloud Costs'!$J$9,0)</f>
        <v>0</v>
      </c>
      <c r="V19" s="12">
        <f>IF(AND((COUNT($A19)&gt;0),(A19&lt;='Prospective Project'!$C$33)),'Enablement Services'!$C$35+'Enablement Services'!$C$36,0)</f>
        <v>0</v>
      </c>
      <c r="W19" s="12">
        <f>IF(AND((COUNT($A19)&gt;0),(A19&lt;='Prospective Project'!$C$33)),'Enablement Services'!$C$25+'Enablement Services'!$C$26,0)</f>
        <v>0</v>
      </c>
      <c r="X19" s="12">
        <f>IF(AND((COUNT($A19)&gt;0),(A19&lt;='Prospective Project'!$C$33)),'Enablement Services'!$C$14+'Enablement Services'!$C$15,0)</f>
        <v>0</v>
      </c>
      <c r="Y19" s="12">
        <f>IF('Prospective Project'!$C$20="High",'Prospective Project Calculation'!S19,IF('Prospective Project'!$C$20="Medium",'Prospective Project Calculation'!R19,'Prospective Project Calculation'!Q19))</f>
        <v>0</v>
      </c>
      <c r="Z19" s="12">
        <f>IF('Prospective Project'!$C$27="High",'Prospective Project Calculation'!P19,IF('Prospective Project'!$C$27="Medium",'Prospective Project Calculation'!O19,'Prospective Project Calculation'!N19))</f>
        <v>0</v>
      </c>
      <c r="AA19" s="12">
        <f>IF('Prospective Project'!$C$29="None",0,IF('Prospective Project'!$C$29="Gold",X19,IF('Prospective Project'!$C$29="Silver",'Prospective Project Calculation'!W19,'Prospective Project Calculation'!V19)))</f>
        <v>0</v>
      </c>
      <c r="AB19" s="12">
        <f t="shared" si="3"/>
        <v>0</v>
      </c>
      <c r="AC19" s="12"/>
      <c r="AD19" s="12"/>
    </row>
    <row r="20" spans="1:30">
      <c r="A20" s="12" t="str">
        <f>IF(ROW()&lt;='Prospective Project'!$C$17+1,A19+1,"")</f>
        <v/>
      </c>
      <c r="B20" s="100">
        <f>IF(COUNT($A20)&gt;0,(B19*(1+'Cloud Consumption'!E$20)),0)</f>
        <v>0</v>
      </c>
      <c r="C20" s="100">
        <f>IF(COUNT($A20)&gt;0,(C19*(1+'Cloud Consumption'!F$20)),0)</f>
        <v>0</v>
      </c>
      <c r="D20" s="100">
        <f>IF(COUNT($A20)&gt;0,(D19*(1+'Cloud Consumption'!G$20)),0)</f>
        <v>0</v>
      </c>
      <c r="E20" s="100">
        <f>IF(COUNT($A20)&gt;0,(E19*(1+'Cloud Consumption'!E$21)),0)</f>
        <v>0</v>
      </c>
      <c r="F20" s="100">
        <f>IF(COUNT($A20)&gt;0,(F19*(1+'Cloud Consumption'!F$21)),0)</f>
        <v>0</v>
      </c>
      <c r="G20" s="100">
        <f>IF(COUNT($A20)&gt;0,(G19*(1+'Cloud Consumption'!G$21)),0)</f>
        <v>0</v>
      </c>
      <c r="H20" s="100">
        <f>IF(COUNT($A20)&gt;0,(H19*(1+'Cloud Consumption'!E$22)),0)</f>
        <v>0</v>
      </c>
      <c r="I20" s="100">
        <f>IF(COUNT($A20)&gt;0,(I19*(1+'Cloud Consumption'!F$22)),0)</f>
        <v>0</v>
      </c>
      <c r="J20" s="100">
        <f>IF(COUNT($A20)&gt;0,(J19*(1+'Cloud Consumption'!G$22)),0)</f>
        <v>0</v>
      </c>
      <c r="K20" s="100">
        <f>IF(COUNT($A20)&gt;0,(K19*(1+'Cloud Consumption'!E$23)),0)</f>
        <v>0</v>
      </c>
      <c r="L20" s="100">
        <f>IF(COUNT($A20)&gt;0,(L19*(1+'Cloud Consumption'!F$23)),0)</f>
        <v>0</v>
      </c>
      <c r="M20" s="100">
        <f>IF(COUNT($A20)&gt;0,(M19*(1+'Cloud Consumption'!G$23)),0)</f>
        <v>0</v>
      </c>
      <c r="N20" s="12">
        <f>IF(COUNT($A20)&gt;0,(N19*(1+'Cloud Consumption'!E$24)),0)</f>
        <v>0</v>
      </c>
      <c r="O20" s="12">
        <f>IF(COUNT($A20)&gt;0,(O19*(1+'Cloud Consumption'!F$24)),0)</f>
        <v>0</v>
      </c>
      <c r="P20" s="12">
        <f>IF(COUNT($A20)&gt;0,(P19*(1+'Cloud Consumption'!G$24)),0)</f>
        <v>0</v>
      </c>
      <c r="Q20" s="14">
        <f t="shared" si="0"/>
        <v>0</v>
      </c>
      <c r="R20" s="14">
        <f t="shared" si="1"/>
        <v>0</v>
      </c>
      <c r="S20" s="14">
        <f t="shared" si="2"/>
        <v>0</v>
      </c>
      <c r="T20" s="12">
        <f>IF(COUNT($A20)&gt;0,'Other Overhead C '!$M$9,0)</f>
        <v>0</v>
      </c>
      <c r="U20" s="12">
        <f>IF(COUNT($A20)&gt;0,'Platform Cloud Costs'!$J$9,0)</f>
        <v>0</v>
      </c>
      <c r="V20" s="12">
        <f>IF(AND((COUNT($A20)&gt;0),(A20&lt;='Prospective Project'!$C$33)),'Enablement Services'!$C$35+'Enablement Services'!$C$36,0)</f>
        <v>0</v>
      </c>
      <c r="W20" s="12">
        <f>IF(AND((COUNT($A20)&gt;0),(A20&lt;='Prospective Project'!$C$33)),'Enablement Services'!$C$25+'Enablement Services'!$C$26,0)</f>
        <v>0</v>
      </c>
      <c r="X20" s="12">
        <f>IF(AND((COUNT($A20)&gt;0),(A20&lt;='Prospective Project'!$C$33)),'Enablement Services'!$C$14+'Enablement Services'!$C$15,0)</f>
        <v>0</v>
      </c>
      <c r="Y20" s="12">
        <f>IF('Prospective Project'!$C$20="High",'Prospective Project Calculation'!S20,IF('Prospective Project'!$C$20="Medium",'Prospective Project Calculation'!R20,'Prospective Project Calculation'!Q20))</f>
        <v>0</v>
      </c>
      <c r="Z20" s="12">
        <f>IF('Prospective Project'!$C$27="High",'Prospective Project Calculation'!P20,IF('Prospective Project'!$C$27="Medium",'Prospective Project Calculation'!O20,'Prospective Project Calculation'!N20))</f>
        <v>0</v>
      </c>
      <c r="AA20" s="12">
        <f>IF('Prospective Project'!$C$29="None",0,IF('Prospective Project'!$C$29="Gold",X20,IF('Prospective Project'!$C$29="Silver",'Prospective Project Calculation'!W20,'Prospective Project Calculation'!V20)))</f>
        <v>0</v>
      </c>
      <c r="AB20" s="12">
        <f t="shared" si="3"/>
        <v>0</v>
      </c>
      <c r="AC20" s="12"/>
      <c r="AD20" s="12"/>
    </row>
    <row r="21" spans="1:30">
      <c r="A21" s="12" t="str">
        <f>IF(ROW()&lt;='Prospective Project'!$C$17+1,A20+1,"")</f>
        <v/>
      </c>
      <c r="B21" s="100">
        <f>IF(COUNT($A21)&gt;0,(B20*(1+'Cloud Consumption'!E$20)),0)</f>
        <v>0</v>
      </c>
      <c r="C21" s="100">
        <f>IF(COUNT($A21)&gt;0,(C20*(1+'Cloud Consumption'!F$20)),0)</f>
        <v>0</v>
      </c>
      <c r="D21" s="100">
        <f>IF(COUNT($A21)&gt;0,(D20*(1+'Cloud Consumption'!G$20)),0)</f>
        <v>0</v>
      </c>
      <c r="E21" s="100">
        <f>IF(COUNT($A21)&gt;0,(E20*(1+'Cloud Consumption'!E$21)),0)</f>
        <v>0</v>
      </c>
      <c r="F21" s="100">
        <f>IF(COUNT($A21)&gt;0,(F20*(1+'Cloud Consumption'!F$21)),0)</f>
        <v>0</v>
      </c>
      <c r="G21" s="100">
        <f>IF(COUNT($A21)&gt;0,(G20*(1+'Cloud Consumption'!G$21)),0)</f>
        <v>0</v>
      </c>
      <c r="H21" s="100">
        <f>IF(COUNT($A21)&gt;0,(H20*(1+'Cloud Consumption'!E$22)),0)</f>
        <v>0</v>
      </c>
      <c r="I21" s="100">
        <f>IF(COUNT($A21)&gt;0,(I20*(1+'Cloud Consumption'!F$22)),0)</f>
        <v>0</v>
      </c>
      <c r="J21" s="100">
        <f>IF(COUNT($A21)&gt;0,(J20*(1+'Cloud Consumption'!G$22)),0)</f>
        <v>0</v>
      </c>
      <c r="K21" s="100">
        <f>IF(COUNT($A21)&gt;0,(K20*(1+'Cloud Consumption'!E$23)),0)</f>
        <v>0</v>
      </c>
      <c r="L21" s="100">
        <f>IF(COUNT($A21)&gt;0,(L20*(1+'Cloud Consumption'!F$23)),0)</f>
        <v>0</v>
      </c>
      <c r="M21" s="100">
        <f>IF(COUNT($A21)&gt;0,(M20*(1+'Cloud Consumption'!G$23)),0)</f>
        <v>0</v>
      </c>
      <c r="N21" s="12">
        <f>IF(COUNT($A21)&gt;0,(N20*(1+'Cloud Consumption'!E$24)),0)</f>
        <v>0</v>
      </c>
      <c r="O21" s="12">
        <f>IF(COUNT($A21)&gt;0,(O20*(1+'Cloud Consumption'!F$24)),0)</f>
        <v>0</v>
      </c>
      <c r="P21" s="12">
        <f>IF(COUNT($A21)&gt;0,(P20*(1+'Cloud Consumption'!G$24)),0)</f>
        <v>0</v>
      </c>
      <c r="Q21" s="14">
        <f t="shared" si="0"/>
        <v>0</v>
      </c>
      <c r="R21" s="14">
        <f t="shared" si="1"/>
        <v>0</v>
      </c>
      <c r="S21" s="14">
        <f t="shared" si="2"/>
        <v>0</v>
      </c>
      <c r="T21" s="12">
        <f>IF(COUNT($A21)&gt;0,'Other Overhead C '!$M$9,0)</f>
        <v>0</v>
      </c>
      <c r="U21" s="12">
        <f>IF(COUNT($A21)&gt;0,'Platform Cloud Costs'!$J$9,0)</f>
        <v>0</v>
      </c>
      <c r="V21" s="12">
        <f>IF(AND((COUNT($A21)&gt;0),(A21&lt;='Prospective Project'!$C$33)),'Enablement Services'!$C$35+'Enablement Services'!$C$36,0)</f>
        <v>0</v>
      </c>
      <c r="W21" s="12">
        <f>IF(AND((COUNT($A21)&gt;0),(A21&lt;='Prospective Project'!$C$33)),'Enablement Services'!$C$25+'Enablement Services'!$C$26,0)</f>
        <v>0</v>
      </c>
      <c r="X21" s="12">
        <f>IF(AND((COUNT($A21)&gt;0),(A21&lt;='Prospective Project'!$C$33)),'Enablement Services'!$C$14+'Enablement Services'!$C$15,0)</f>
        <v>0</v>
      </c>
      <c r="Y21" s="12">
        <f>IF('Prospective Project'!$C$20="High",'Prospective Project Calculation'!S21,IF('Prospective Project'!$C$20="Medium",'Prospective Project Calculation'!R21,'Prospective Project Calculation'!Q21))</f>
        <v>0</v>
      </c>
      <c r="Z21" s="12">
        <f>IF('Prospective Project'!$C$27="High",'Prospective Project Calculation'!P21,IF('Prospective Project'!$C$27="Medium",'Prospective Project Calculation'!O21,'Prospective Project Calculation'!N21))</f>
        <v>0</v>
      </c>
      <c r="AA21" s="12">
        <f>IF('Prospective Project'!$C$29="None",0,IF('Prospective Project'!$C$29="Gold",X21,IF('Prospective Project'!$C$29="Silver",'Prospective Project Calculation'!W21,'Prospective Project Calculation'!V21)))</f>
        <v>0</v>
      </c>
      <c r="AB21" s="12">
        <f t="shared" si="3"/>
        <v>0</v>
      </c>
      <c r="AC21" s="12"/>
      <c r="AD21" s="12"/>
    </row>
    <row r="22" spans="1:30">
      <c r="A22" s="12" t="str">
        <f>IF(ROW()&lt;='Prospective Project'!$C$17+1,A21+1,"")</f>
        <v/>
      </c>
      <c r="B22" s="100">
        <f>IF(COUNT($A22)&gt;0,(B21*(1+'Cloud Consumption'!E$20)),0)</f>
        <v>0</v>
      </c>
      <c r="C22" s="100">
        <f>IF(COUNT($A22)&gt;0,(C21*(1+'Cloud Consumption'!F$20)),0)</f>
        <v>0</v>
      </c>
      <c r="D22" s="100">
        <f>IF(COUNT($A22)&gt;0,(D21*(1+'Cloud Consumption'!G$20)),0)</f>
        <v>0</v>
      </c>
      <c r="E22" s="100">
        <f>IF(COUNT($A22)&gt;0,(E21*(1+'Cloud Consumption'!E$21)),0)</f>
        <v>0</v>
      </c>
      <c r="F22" s="100">
        <f>IF(COUNT($A22)&gt;0,(F21*(1+'Cloud Consumption'!F$21)),0)</f>
        <v>0</v>
      </c>
      <c r="G22" s="100">
        <f>IF(COUNT($A22)&gt;0,(G21*(1+'Cloud Consumption'!G$21)),0)</f>
        <v>0</v>
      </c>
      <c r="H22" s="100">
        <f>IF(COUNT($A22)&gt;0,(H21*(1+'Cloud Consumption'!E$22)),0)</f>
        <v>0</v>
      </c>
      <c r="I22" s="100">
        <f>IF(COUNT($A22)&gt;0,(I21*(1+'Cloud Consumption'!F$22)),0)</f>
        <v>0</v>
      </c>
      <c r="J22" s="100">
        <f>IF(COUNT($A22)&gt;0,(J21*(1+'Cloud Consumption'!G$22)),0)</f>
        <v>0</v>
      </c>
      <c r="K22" s="100">
        <f>IF(COUNT($A22)&gt;0,(K21*(1+'Cloud Consumption'!E$23)),0)</f>
        <v>0</v>
      </c>
      <c r="L22" s="100">
        <f>IF(COUNT($A22)&gt;0,(L21*(1+'Cloud Consumption'!F$23)),0)</f>
        <v>0</v>
      </c>
      <c r="M22" s="100">
        <f>IF(COUNT($A22)&gt;0,(M21*(1+'Cloud Consumption'!G$23)),0)</f>
        <v>0</v>
      </c>
      <c r="N22" s="12">
        <f>IF(COUNT($A22)&gt;0,(N21*(1+'Cloud Consumption'!E$24)),0)</f>
        <v>0</v>
      </c>
      <c r="O22" s="12">
        <f>IF(COUNT($A22)&gt;0,(O21*(1+'Cloud Consumption'!F$24)),0)</f>
        <v>0</v>
      </c>
      <c r="P22" s="12">
        <f>IF(COUNT($A22)&gt;0,(P21*(1+'Cloud Consumption'!G$24)),0)</f>
        <v>0</v>
      </c>
      <c r="Q22" s="14">
        <f t="shared" si="0"/>
        <v>0</v>
      </c>
      <c r="R22" s="14">
        <f t="shared" si="1"/>
        <v>0</v>
      </c>
      <c r="S22" s="14">
        <f t="shared" si="2"/>
        <v>0</v>
      </c>
      <c r="T22" s="12">
        <f>IF(COUNT($A22)&gt;0,'Other Overhead C '!$M$9,0)</f>
        <v>0</v>
      </c>
      <c r="U22" s="12">
        <f>IF(COUNT($A22)&gt;0,'Platform Cloud Costs'!$J$9,0)</f>
        <v>0</v>
      </c>
      <c r="V22" s="12">
        <f>IF(AND((COUNT($A22)&gt;0),(A22&lt;='Prospective Project'!$C$33)),'Enablement Services'!$C$35+'Enablement Services'!$C$36,0)</f>
        <v>0</v>
      </c>
      <c r="W22" s="12">
        <f>IF(AND((COUNT($A22)&gt;0),(A22&lt;='Prospective Project'!$C$33)),'Enablement Services'!$C$25+'Enablement Services'!$C$26,0)</f>
        <v>0</v>
      </c>
      <c r="X22" s="12">
        <f>IF(AND((COUNT($A22)&gt;0),(A22&lt;='Prospective Project'!$C$33)),'Enablement Services'!$C$14+'Enablement Services'!$C$15,0)</f>
        <v>0</v>
      </c>
      <c r="Y22" s="12">
        <f>IF('Prospective Project'!$C$20="High",'Prospective Project Calculation'!S22,IF('Prospective Project'!$C$20="Medium",'Prospective Project Calculation'!R22,'Prospective Project Calculation'!Q22))</f>
        <v>0</v>
      </c>
      <c r="Z22" s="12">
        <f>IF('Prospective Project'!$C$27="High",'Prospective Project Calculation'!P22,IF('Prospective Project'!$C$27="Medium",'Prospective Project Calculation'!O22,'Prospective Project Calculation'!N22))</f>
        <v>0</v>
      </c>
      <c r="AA22" s="12">
        <f>IF('Prospective Project'!$C$29="None",0,IF('Prospective Project'!$C$29="Gold",X22,IF('Prospective Project'!$C$29="Silver",'Prospective Project Calculation'!W22,'Prospective Project Calculation'!V22)))</f>
        <v>0</v>
      </c>
      <c r="AB22" s="12">
        <f t="shared" si="3"/>
        <v>0</v>
      </c>
      <c r="AC22" s="12"/>
      <c r="AD22" s="12"/>
    </row>
    <row r="23" spans="1:30">
      <c r="A23" s="12" t="str">
        <f>IF(ROW()&lt;='Prospective Project'!$C$17+1,A22+1,"")</f>
        <v/>
      </c>
      <c r="B23" s="100">
        <f>IF(COUNT($A23)&gt;0,(B22*(1+'Cloud Consumption'!E$20)),0)</f>
        <v>0</v>
      </c>
      <c r="C23" s="100">
        <f>IF(COUNT($A23)&gt;0,(C22*(1+'Cloud Consumption'!F$20)),0)</f>
        <v>0</v>
      </c>
      <c r="D23" s="100">
        <f>IF(COUNT($A23)&gt;0,(D22*(1+'Cloud Consumption'!G$20)),0)</f>
        <v>0</v>
      </c>
      <c r="E23" s="100">
        <f>IF(COUNT($A23)&gt;0,(E22*(1+'Cloud Consumption'!E$21)),0)</f>
        <v>0</v>
      </c>
      <c r="F23" s="100">
        <f>IF(COUNT($A23)&gt;0,(F22*(1+'Cloud Consumption'!F$21)),0)</f>
        <v>0</v>
      </c>
      <c r="G23" s="100">
        <f>IF(COUNT($A23)&gt;0,(G22*(1+'Cloud Consumption'!G$21)),0)</f>
        <v>0</v>
      </c>
      <c r="H23" s="100">
        <f>IF(COUNT($A23)&gt;0,(H22*(1+'Cloud Consumption'!E$22)),0)</f>
        <v>0</v>
      </c>
      <c r="I23" s="100">
        <f>IF(COUNT($A23)&gt;0,(I22*(1+'Cloud Consumption'!F$22)),0)</f>
        <v>0</v>
      </c>
      <c r="J23" s="100">
        <f>IF(COUNT($A23)&gt;0,(J22*(1+'Cloud Consumption'!G$22)),0)</f>
        <v>0</v>
      </c>
      <c r="K23" s="100">
        <f>IF(COUNT($A23)&gt;0,(K22*(1+'Cloud Consumption'!E$23)),0)</f>
        <v>0</v>
      </c>
      <c r="L23" s="100">
        <f>IF(COUNT($A23)&gt;0,(L22*(1+'Cloud Consumption'!F$23)),0)</f>
        <v>0</v>
      </c>
      <c r="M23" s="100">
        <f>IF(COUNT($A23)&gt;0,(M22*(1+'Cloud Consumption'!G$23)),0)</f>
        <v>0</v>
      </c>
      <c r="N23" s="12">
        <f>IF(COUNT($A23)&gt;0,(N22*(1+'Cloud Consumption'!E$24)),0)</f>
        <v>0</v>
      </c>
      <c r="O23" s="12">
        <f>IF(COUNT($A23)&gt;0,(O22*(1+'Cloud Consumption'!F$24)),0)</f>
        <v>0</v>
      </c>
      <c r="P23" s="12">
        <f>IF(COUNT($A23)&gt;0,(P22*(1+'Cloud Consumption'!G$24)),0)</f>
        <v>0</v>
      </c>
      <c r="Q23" s="14">
        <f t="shared" si="0"/>
        <v>0</v>
      </c>
      <c r="R23" s="14">
        <f t="shared" si="1"/>
        <v>0</v>
      </c>
      <c r="S23" s="14">
        <f t="shared" si="2"/>
        <v>0</v>
      </c>
      <c r="T23" s="12">
        <f>IF(COUNT($A23)&gt;0,'Other Overhead C '!$M$9,0)</f>
        <v>0</v>
      </c>
      <c r="U23" s="12">
        <f>IF(COUNT($A23)&gt;0,'Platform Cloud Costs'!$J$9,0)</f>
        <v>0</v>
      </c>
      <c r="V23" s="12">
        <f>IF(AND((COUNT($A23)&gt;0),(A23&lt;='Prospective Project'!$C$33)),'Enablement Services'!$C$35+'Enablement Services'!$C$36,0)</f>
        <v>0</v>
      </c>
      <c r="W23" s="12">
        <f>IF(AND((COUNT($A23)&gt;0),(A23&lt;='Prospective Project'!$C$33)),'Enablement Services'!$C$25+'Enablement Services'!$C$26,0)</f>
        <v>0</v>
      </c>
      <c r="X23" s="12">
        <f>IF(AND((COUNT($A23)&gt;0),(A23&lt;='Prospective Project'!$C$33)),'Enablement Services'!$C$14+'Enablement Services'!$C$15,0)</f>
        <v>0</v>
      </c>
      <c r="Y23" s="12">
        <f>IF('Prospective Project'!$C$20="High",'Prospective Project Calculation'!S23,IF('Prospective Project'!$C$20="Medium",'Prospective Project Calculation'!R23,'Prospective Project Calculation'!Q23))</f>
        <v>0</v>
      </c>
      <c r="Z23" s="12">
        <f>IF('Prospective Project'!$C$27="High",'Prospective Project Calculation'!P23,IF('Prospective Project'!$C$27="Medium",'Prospective Project Calculation'!O23,'Prospective Project Calculation'!N23))</f>
        <v>0</v>
      </c>
      <c r="AA23" s="12">
        <f>IF('Prospective Project'!$C$29="None",0,IF('Prospective Project'!$C$29="Gold",X23,IF('Prospective Project'!$C$29="Silver",'Prospective Project Calculation'!W23,'Prospective Project Calculation'!V23)))</f>
        <v>0</v>
      </c>
      <c r="AB23" s="12">
        <f t="shared" si="3"/>
        <v>0</v>
      </c>
      <c r="AC23" s="12"/>
      <c r="AD23" s="12"/>
    </row>
    <row r="24" spans="1:30">
      <c r="A24" s="12" t="str">
        <f>IF(ROW()&lt;='Prospective Project'!$C$17+1,A23+1,"")</f>
        <v/>
      </c>
      <c r="B24" s="100">
        <f>IF(COUNT($A24)&gt;0,(B23*(1+'Cloud Consumption'!E$20)),0)</f>
        <v>0</v>
      </c>
      <c r="C24" s="100">
        <f>IF(COUNT($A24)&gt;0,(C23*(1+'Cloud Consumption'!F$20)),0)</f>
        <v>0</v>
      </c>
      <c r="D24" s="100">
        <f>IF(COUNT($A24)&gt;0,(D23*(1+'Cloud Consumption'!G$20)),0)</f>
        <v>0</v>
      </c>
      <c r="E24" s="100">
        <f>IF(COUNT($A24)&gt;0,(E23*(1+'Cloud Consumption'!E$21)),0)</f>
        <v>0</v>
      </c>
      <c r="F24" s="100">
        <f>IF(COUNT($A24)&gt;0,(F23*(1+'Cloud Consumption'!F$21)),0)</f>
        <v>0</v>
      </c>
      <c r="G24" s="100">
        <f>IF(COUNT($A24)&gt;0,(G23*(1+'Cloud Consumption'!G$21)),0)</f>
        <v>0</v>
      </c>
      <c r="H24" s="100">
        <f>IF(COUNT($A24)&gt;0,(H23*(1+'Cloud Consumption'!E$22)),0)</f>
        <v>0</v>
      </c>
      <c r="I24" s="100">
        <f>IF(COUNT($A24)&gt;0,(I23*(1+'Cloud Consumption'!F$22)),0)</f>
        <v>0</v>
      </c>
      <c r="J24" s="100">
        <f>IF(COUNT($A24)&gt;0,(J23*(1+'Cloud Consumption'!G$22)),0)</f>
        <v>0</v>
      </c>
      <c r="K24" s="100">
        <f>IF(COUNT($A24)&gt;0,(K23*(1+'Cloud Consumption'!E$23)),0)</f>
        <v>0</v>
      </c>
      <c r="L24" s="100">
        <f>IF(COUNT($A24)&gt;0,(L23*(1+'Cloud Consumption'!F$23)),0)</f>
        <v>0</v>
      </c>
      <c r="M24" s="100">
        <f>IF(COUNT($A24)&gt;0,(M23*(1+'Cloud Consumption'!G$23)),0)</f>
        <v>0</v>
      </c>
      <c r="N24" s="12">
        <f>IF(COUNT($A24)&gt;0,(N23*(1+'Cloud Consumption'!E$24)),0)</f>
        <v>0</v>
      </c>
      <c r="O24" s="12">
        <f>IF(COUNT($A24)&gt;0,(O23*(1+'Cloud Consumption'!F$24)),0)</f>
        <v>0</v>
      </c>
      <c r="P24" s="12">
        <f>IF(COUNT($A24)&gt;0,(P23*(1+'Cloud Consumption'!G$24)),0)</f>
        <v>0</v>
      </c>
      <c r="Q24" s="14">
        <f t="shared" si="0"/>
        <v>0</v>
      </c>
      <c r="R24" s="14">
        <f t="shared" si="1"/>
        <v>0</v>
      </c>
      <c r="S24" s="14">
        <f t="shared" si="2"/>
        <v>0</v>
      </c>
      <c r="T24" s="12">
        <f>IF(COUNT($A24)&gt;0,'Other Overhead C '!$M$9,0)</f>
        <v>0</v>
      </c>
      <c r="U24" s="12">
        <f>IF(COUNT($A24)&gt;0,'Platform Cloud Costs'!$J$9,0)</f>
        <v>0</v>
      </c>
      <c r="V24" s="12">
        <f>IF(AND((COUNT($A24)&gt;0),(A24&lt;='Prospective Project'!$C$33)),'Enablement Services'!$C$35+'Enablement Services'!$C$36,0)</f>
        <v>0</v>
      </c>
      <c r="W24" s="12">
        <f>IF(AND((COUNT($A24)&gt;0),(A24&lt;='Prospective Project'!$C$33)),'Enablement Services'!$C$25+'Enablement Services'!$C$26,0)</f>
        <v>0</v>
      </c>
      <c r="X24" s="12">
        <f>IF(AND((COUNT($A24)&gt;0),(A24&lt;='Prospective Project'!$C$33)),'Enablement Services'!$C$14+'Enablement Services'!$C$15,0)</f>
        <v>0</v>
      </c>
      <c r="Y24" s="12">
        <f>IF('Prospective Project'!$C$20="High",'Prospective Project Calculation'!S24,IF('Prospective Project'!$C$20="Medium",'Prospective Project Calculation'!R24,'Prospective Project Calculation'!Q24))</f>
        <v>0</v>
      </c>
      <c r="Z24" s="12">
        <f>IF('Prospective Project'!$C$27="High",'Prospective Project Calculation'!P24,IF('Prospective Project'!$C$27="Medium",'Prospective Project Calculation'!O24,'Prospective Project Calculation'!N24))</f>
        <v>0</v>
      </c>
      <c r="AA24" s="12">
        <f>IF('Prospective Project'!$C$29="None",0,IF('Prospective Project'!$C$29="Gold",X24,IF('Prospective Project'!$C$29="Silver",'Prospective Project Calculation'!W24,'Prospective Project Calculation'!V24)))</f>
        <v>0</v>
      </c>
      <c r="AB24" s="12">
        <f t="shared" si="3"/>
        <v>0</v>
      </c>
      <c r="AC24" s="12"/>
      <c r="AD24" s="12"/>
    </row>
    <row r="25" spans="1:30">
      <c r="A25" s="12" t="str">
        <f>IF(ROW()&lt;='Prospective Project'!$C$17+1,A24+1,"")</f>
        <v/>
      </c>
      <c r="B25" s="100">
        <f>IF(COUNT($A25)&gt;0,(B24*(1+'Cloud Consumption'!E$20)),0)</f>
        <v>0</v>
      </c>
      <c r="C25" s="100">
        <f>IF(COUNT($A25)&gt;0,(C24*(1+'Cloud Consumption'!F$20)),0)</f>
        <v>0</v>
      </c>
      <c r="D25" s="100">
        <f>IF(COUNT($A25)&gt;0,(D24*(1+'Cloud Consumption'!G$20)),0)</f>
        <v>0</v>
      </c>
      <c r="E25" s="100">
        <f>IF(COUNT($A25)&gt;0,(E24*(1+'Cloud Consumption'!E$21)),0)</f>
        <v>0</v>
      </c>
      <c r="F25" s="100">
        <f>IF(COUNT($A25)&gt;0,(F24*(1+'Cloud Consumption'!F$21)),0)</f>
        <v>0</v>
      </c>
      <c r="G25" s="100">
        <f>IF(COUNT($A25)&gt;0,(G24*(1+'Cloud Consumption'!G$21)),0)</f>
        <v>0</v>
      </c>
      <c r="H25" s="100">
        <f>IF(COUNT($A25)&gt;0,(H24*(1+'Cloud Consumption'!E$22)),0)</f>
        <v>0</v>
      </c>
      <c r="I25" s="100">
        <f>IF(COUNT($A25)&gt;0,(I24*(1+'Cloud Consumption'!F$22)),0)</f>
        <v>0</v>
      </c>
      <c r="J25" s="100">
        <f>IF(COUNT($A25)&gt;0,(J24*(1+'Cloud Consumption'!G$22)),0)</f>
        <v>0</v>
      </c>
      <c r="K25" s="100">
        <f>IF(COUNT($A25)&gt;0,(K24*(1+'Cloud Consumption'!E$23)),0)</f>
        <v>0</v>
      </c>
      <c r="L25" s="100">
        <f>IF(COUNT($A25)&gt;0,(L24*(1+'Cloud Consumption'!F$23)),0)</f>
        <v>0</v>
      </c>
      <c r="M25" s="100">
        <f>IF(COUNT($A25)&gt;0,(M24*(1+'Cloud Consumption'!G$23)),0)</f>
        <v>0</v>
      </c>
      <c r="N25" s="12">
        <f>IF(COUNT($A25)&gt;0,(N24*(1+'Cloud Consumption'!E$24)),0)</f>
        <v>0</v>
      </c>
      <c r="O25" s="12">
        <f>IF(COUNT($A25)&gt;0,(O24*(1+'Cloud Consumption'!F$24)),0)</f>
        <v>0</v>
      </c>
      <c r="P25" s="12">
        <f>IF(COUNT($A25)&gt;0,(P24*(1+'Cloud Consumption'!G$24)),0)</f>
        <v>0</v>
      </c>
      <c r="Q25" s="14">
        <f t="shared" si="0"/>
        <v>0</v>
      </c>
      <c r="R25" s="14">
        <f t="shared" si="1"/>
        <v>0</v>
      </c>
      <c r="S25" s="14">
        <f t="shared" si="2"/>
        <v>0</v>
      </c>
      <c r="T25" s="12">
        <f>IF(COUNT($A25)&gt;0,'Other Overhead C '!$M$9,0)</f>
        <v>0</v>
      </c>
      <c r="U25" s="12">
        <f>IF(COUNT($A25)&gt;0,'Platform Cloud Costs'!$J$9,0)</f>
        <v>0</v>
      </c>
      <c r="V25" s="12">
        <f>IF(AND((COUNT($A25)&gt;0),(A25&lt;='Prospective Project'!$C$33)),'Enablement Services'!$C$35+'Enablement Services'!$C$36,0)</f>
        <v>0</v>
      </c>
      <c r="W25" s="12">
        <f>IF(AND((COUNT($A25)&gt;0),(A25&lt;='Prospective Project'!$C$33)),'Enablement Services'!$C$25+'Enablement Services'!$C$26,0)</f>
        <v>0</v>
      </c>
      <c r="X25" s="12">
        <f>IF(AND((COUNT($A25)&gt;0),(A25&lt;='Prospective Project'!$C$33)),'Enablement Services'!$C$14+'Enablement Services'!$C$15,0)</f>
        <v>0</v>
      </c>
      <c r="Y25" s="12">
        <f>IF('Prospective Project'!$C$20="High",'Prospective Project Calculation'!S25,IF('Prospective Project'!$C$20="Medium",'Prospective Project Calculation'!R25,'Prospective Project Calculation'!Q25))</f>
        <v>0</v>
      </c>
      <c r="Z25" s="12">
        <f>IF('Prospective Project'!$C$27="High",'Prospective Project Calculation'!P25,IF('Prospective Project'!$C$27="Medium",'Prospective Project Calculation'!O25,'Prospective Project Calculation'!N25))</f>
        <v>0</v>
      </c>
      <c r="AA25" s="12">
        <f>IF('Prospective Project'!$C$29="None",0,IF('Prospective Project'!$C$29="Gold",X25,IF('Prospective Project'!$C$29="Silver",'Prospective Project Calculation'!W25,'Prospective Project Calculation'!V25)))</f>
        <v>0</v>
      </c>
      <c r="AB25" s="12">
        <f t="shared" si="3"/>
        <v>0</v>
      </c>
      <c r="AC25" s="12"/>
      <c r="AD25" s="12"/>
    </row>
    <row r="26" spans="1:30">
      <c r="A26" s="12" t="str">
        <f>IF(ROW()&lt;='Prospective Project'!$C$17+1,A25+1,"")</f>
        <v/>
      </c>
      <c r="B26" s="100">
        <f>IF(COUNT($A26)&gt;0,(B25*(1+'Cloud Consumption'!E$20)),0)</f>
        <v>0</v>
      </c>
      <c r="C26" s="100">
        <f>IF(COUNT($A26)&gt;0,(C25*(1+'Cloud Consumption'!F$20)),0)</f>
        <v>0</v>
      </c>
      <c r="D26" s="100">
        <f>IF(COUNT($A26)&gt;0,(D25*(1+'Cloud Consumption'!G$20)),0)</f>
        <v>0</v>
      </c>
      <c r="E26" s="100">
        <f>IF(COUNT($A26)&gt;0,(E25*(1+'Cloud Consumption'!E$21)),0)</f>
        <v>0</v>
      </c>
      <c r="F26" s="100">
        <f>IF(COUNT($A26)&gt;0,(F25*(1+'Cloud Consumption'!F$21)),0)</f>
        <v>0</v>
      </c>
      <c r="G26" s="100">
        <f>IF(COUNT($A26)&gt;0,(G25*(1+'Cloud Consumption'!G$21)),0)</f>
        <v>0</v>
      </c>
      <c r="H26" s="100">
        <f>IF(COUNT($A26)&gt;0,(H25*(1+'Cloud Consumption'!E$22)),0)</f>
        <v>0</v>
      </c>
      <c r="I26" s="100">
        <f>IF(COUNT($A26)&gt;0,(I25*(1+'Cloud Consumption'!F$22)),0)</f>
        <v>0</v>
      </c>
      <c r="J26" s="100">
        <f>IF(COUNT($A26)&gt;0,(J25*(1+'Cloud Consumption'!G$22)),0)</f>
        <v>0</v>
      </c>
      <c r="K26" s="100">
        <f>IF(COUNT($A26)&gt;0,(K25*(1+'Cloud Consumption'!E$23)),0)</f>
        <v>0</v>
      </c>
      <c r="L26" s="100">
        <f>IF(COUNT($A26)&gt;0,(L25*(1+'Cloud Consumption'!F$23)),0)</f>
        <v>0</v>
      </c>
      <c r="M26" s="100">
        <f>IF(COUNT($A26)&gt;0,(M25*(1+'Cloud Consumption'!G$23)),0)</f>
        <v>0</v>
      </c>
      <c r="N26" s="12">
        <f>IF(COUNT($A26)&gt;0,(N25*(1+'Cloud Consumption'!E$24)),0)</f>
        <v>0</v>
      </c>
      <c r="O26" s="12">
        <f>IF(COUNT($A26)&gt;0,(O25*(1+'Cloud Consumption'!F$24)),0)</f>
        <v>0</v>
      </c>
      <c r="P26" s="12">
        <f>IF(COUNT($A26)&gt;0,(P25*(1+'Cloud Consumption'!G$24)),0)</f>
        <v>0</v>
      </c>
      <c r="Q26" s="14">
        <f t="shared" si="0"/>
        <v>0</v>
      </c>
      <c r="R26" s="14">
        <f t="shared" si="1"/>
        <v>0</v>
      </c>
      <c r="S26" s="14">
        <f t="shared" si="2"/>
        <v>0</v>
      </c>
      <c r="T26" s="12">
        <f>IF(COUNT($A26)&gt;0,'Other Overhead C '!$M$9,0)</f>
        <v>0</v>
      </c>
      <c r="U26" s="12">
        <f>IF(COUNT($A26)&gt;0,'Platform Cloud Costs'!$J$9,0)</f>
        <v>0</v>
      </c>
      <c r="V26" s="12">
        <f>IF(AND((COUNT($A26)&gt;0),(A26&lt;='Prospective Project'!$C$33)),'Enablement Services'!$C$35+'Enablement Services'!$C$36,0)</f>
        <v>0</v>
      </c>
      <c r="W26" s="12">
        <f>IF(AND((COUNT($A26)&gt;0),(A26&lt;='Prospective Project'!$C$33)),'Enablement Services'!$C$25+'Enablement Services'!$C$26,0)</f>
        <v>0</v>
      </c>
      <c r="X26" s="12">
        <f>IF(AND((COUNT($A26)&gt;0),(A26&lt;='Prospective Project'!$C$33)),'Enablement Services'!$C$14+'Enablement Services'!$C$15,0)</f>
        <v>0</v>
      </c>
      <c r="Y26" s="12">
        <f>IF('Prospective Project'!$C$20="High",'Prospective Project Calculation'!S26,IF('Prospective Project'!$C$20="Medium",'Prospective Project Calculation'!R26,'Prospective Project Calculation'!Q26))</f>
        <v>0</v>
      </c>
      <c r="Z26" s="12">
        <f>IF('Prospective Project'!$C$27="High",'Prospective Project Calculation'!P26,IF('Prospective Project'!$C$27="Medium",'Prospective Project Calculation'!O26,'Prospective Project Calculation'!N26))</f>
        <v>0</v>
      </c>
      <c r="AA26" s="12">
        <f>IF('Prospective Project'!$C$29="None",0,IF('Prospective Project'!$C$29="Gold",X26,IF('Prospective Project'!$C$29="Silver",'Prospective Project Calculation'!W26,'Prospective Project Calculation'!V26)))</f>
        <v>0</v>
      </c>
      <c r="AB26" s="12">
        <f t="shared" si="3"/>
        <v>0</v>
      </c>
      <c r="AC26" s="12"/>
      <c r="AD26" s="12"/>
    </row>
    <row r="27" spans="1:30">
      <c r="A27" s="12" t="str">
        <f>IF(ROW()&lt;='Prospective Project'!$C$17+1,A26+1,"")</f>
        <v/>
      </c>
      <c r="B27" s="100">
        <f>IF(COUNT($A27)&gt;0,(B26*(1+'Cloud Consumption'!E$20)),0)</f>
        <v>0</v>
      </c>
      <c r="C27" s="100">
        <f>IF(COUNT($A27)&gt;0,(C26*(1+'Cloud Consumption'!F$20)),0)</f>
        <v>0</v>
      </c>
      <c r="D27" s="100">
        <f>IF(COUNT($A27)&gt;0,(D26*(1+'Cloud Consumption'!G$20)),0)</f>
        <v>0</v>
      </c>
      <c r="E27" s="100">
        <f>IF(COUNT($A27)&gt;0,(E26*(1+'Cloud Consumption'!E$21)),0)</f>
        <v>0</v>
      </c>
      <c r="F27" s="100">
        <f>IF(COUNT($A27)&gt;0,(F26*(1+'Cloud Consumption'!F$21)),0)</f>
        <v>0</v>
      </c>
      <c r="G27" s="100">
        <f>IF(COUNT($A27)&gt;0,(G26*(1+'Cloud Consumption'!G$21)),0)</f>
        <v>0</v>
      </c>
      <c r="H27" s="100">
        <f>IF(COUNT($A27)&gt;0,(H26*(1+'Cloud Consumption'!E$22)),0)</f>
        <v>0</v>
      </c>
      <c r="I27" s="100">
        <f>IF(COUNT($A27)&gt;0,(I26*(1+'Cloud Consumption'!F$22)),0)</f>
        <v>0</v>
      </c>
      <c r="J27" s="100">
        <f>IF(COUNT($A27)&gt;0,(J26*(1+'Cloud Consumption'!G$22)),0)</f>
        <v>0</v>
      </c>
      <c r="K27" s="100">
        <f>IF(COUNT($A27)&gt;0,(K26*(1+'Cloud Consumption'!E$23)),0)</f>
        <v>0</v>
      </c>
      <c r="L27" s="100">
        <f>IF(COUNT($A27)&gt;0,(L26*(1+'Cloud Consumption'!F$23)),0)</f>
        <v>0</v>
      </c>
      <c r="M27" s="100">
        <f>IF(COUNT($A27)&gt;0,(M26*(1+'Cloud Consumption'!G$23)),0)</f>
        <v>0</v>
      </c>
      <c r="N27" s="12">
        <f>IF(COUNT($A27)&gt;0,(N26*(1+'Cloud Consumption'!E$24)),0)</f>
        <v>0</v>
      </c>
      <c r="O27" s="12">
        <f>IF(COUNT($A27)&gt;0,(O26*(1+'Cloud Consumption'!F$24)),0)</f>
        <v>0</v>
      </c>
      <c r="P27" s="12">
        <f>IF(COUNT($A27)&gt;0,(P26*(1+'Cloud Consumption'!G$24)),0)</f>
        <v>0</v>
      </c>
      <c r="Q27" s="14">
        <f t="shared" si="0"/>
        <v>0</v>
      </c>
      <c r="R27" s="14">
        <f t="shared" si="1"/>
        <v>0</v>
      </c>
      <c r="S27" s="14">
        <f t="shared" si="2"/>
        <v>0</v>
      </c>
      <c r="T27" s="12">
        <f>IF(COUNT($A27)&gt;0,'Other Overhead C '!$M$9,0)</f>
        <v>0</v>
      </c>
      <c r="U27" s="12">
        <f>IF(COUNT($A27)&gt;0,'Platform Cloud Costs'!$J$9,0)</f>
        <v>0</v>
      </c>
      <c r="V27" s="12">
        <f>IF(AND((COUNT($A27)&gt;0),(A27&lt;='Prospective Project'!$C$33)),'Enablement Services'!$C$35+'Enablement Services'!$C$36,0)</f>
        <v>0</v>
      </c>
      <c r="W27" s="12">
        <f>IF(AND((COUNT($A27)&gt;0),(A27&lt;='Prospective Project'!$C$33)),'Enablement Services'!$C$25+'Enablement Services'!$C$26,0)</f>
        <v>0</v>
      </c>
      <c r="X27" s="12">
        <f>IF(AND((COUNT($A27)&gt;0),(A27&lt;='Prospective Project'!$C$33)),'Enablement Services'!$C$14+'Enablement Services'!$C$15,0)</f>
        <v>0</v>
      </c>
      <c r="Y27" s="12">
        <f>IF('Prospective Project'!$C$20="High",'Prospective Project Calculation'!S27,IF('Prospective Project'!$C$20="Medium",'Prospective Project Calculation'!R27,'Prospective Project Calculation'!Q27))</f>
        <v>0</v>
      </c>
      <c r="Z27" s="12">
        <f>IF('Prospective Project'!$C$27="High",'Prospective Project Calculation'!P27,IF('Prospective Project'!$C$27="Medium",'Prospective Project Calculation'!O27,'Prospective Project Calculation'!N27))</f>
        <v>0</v>
      </c>
      <c r="AA27" s="12">
        <f>IF('Prospective Project'!$C$29="None",0,IF('Prospective Project'!$C$29="Gold",X27,IF('Prospective Project'!$C$29="Silver",'Prospective Project Calculation'!W27,'Prospective Project Calculation'!V27)))</f>
        <v>0</v>
      </c>
      <c r="AB27" s="12">
        <f t="shared" si="3"/>
        <v>0</v>
      </c>
      <c r="AC27" s="12"/>
      <c r="AD27" s="12"/>
    </row>
    <row r="28" spans="1:30">
      <c r="A28" s="12" t="str">
        <f>IF(ROW()&lt;='Prospective Project'!$C$17+1,A27+1,"")</f>
        <v/>
      </c>
      <c r="B28" s="100">
        <f>IF(COUNT($A28)&gt;0,(B27*(1+'Cloud Consumption'!E$20)),0)</f>
        <v>0</v>
      </c>
      <c r="C28" s="100">
        <f>IF(COUNT($A28)&gt;0,(C27*(1+'Cloud Consumption'!F$20)),0)</f>
        <v>0</v>
      </c>
      <c r="D28" s="100">
        <f>IF(COUNT($A28)&gt;0,(D27*(1+'Cloud Consumption'!G$20)),0)</f>
        <v>0</v>
      </c>
      <c r="E28" s="100">
        <f>IF(COUNT($A28)&gt;0,(E27*(1+'Cloud Consumption'!E$21)),0)</f>
        <v>0</v>
      </c>
      <c r="F28" s="100">
        <f>IF(COUNT($A28)&gt;0,(F27*(1+'Cloud Consumption'!F$21)),0)</f>
        <v>0</v>
      </c>
      <c r="G28" s="100">
        <f>IF(COUNT($A28)&gt;0,(G27*(1+'Cloud Consumption'!G$21)),0)</f>
        <v>0</v>
      </c>
      <c r="H28" s="100">
        <f>IF(COUNT($A28)&gt;0,(H27*(1+'Cloud Consumption'!E$22)),0)</f>
        <v>0</v>
      </c>
      <c r="I28" s="100">
        <f>IF(COUNT($A28)&gt;0,(I27*(1+'Cloud Consumption'!F$22)),0)</f>
        <v>0</v>
      </c>
      <c r="J28" s="100">
        <f>IF(COUNT($A28)&gt;0,(J27*(1+'Cloud Consumption'!G$22)),0)</f>
        <v>0</v>
      </c>
      <c r="K28" s="100">
        <f>IF(COUNT($A28)&gt;0,(K27*(1+'Cloud Consumption'!E$23)),0)</f>
        <v>0</v>
      </c>
      <c r="L28" s="100">
        <f>IF(COUNT($A28)&gt;0,(L27*(1+'Cloud Consumption'!F$23)),0)</f>
        <v>0</v>
      </c>
      <c r="M28" s="100">
        <f>IF(COUNT($A28)&gt;0,(M27*(1+'Cloud Consumption'!G$23)),0)</f>
        <v>0</v>
      </c>
      <c r="N28" s="12">
        <f>IF(COUNT($A28)&gt;0,(N27*(1+'Cloud Consumption'!E$24)),0)</f>
        <v>0</v>
      </c>
      <c r="O28" s="12">
        <f>IF(COUNT($A28)&gt;0,(O27*(1+'Cloud Consumption'!F$24)),0)</f>
        <v>0</v>
      </c>
      <c r="P28" s="12">
        <f>IF(COUNT($A28)&gt;0,(P27*(1+'Cloud Consumption'!G$24)),0)</f>
        <v>0</v>
      </c>
      <c r="Q28" s="14">
        <f t="shared" si="0"/>
        <v>0</v>
      </c>
      <c r="R28" s="14">
        <f t="shared" si="1"/>
        <v>0</v>
      </c>
      <c r="S28" s="14">
        <f t="shared" si="2"/>
        <v>0</v>
      </c>
      <c r="T28" s="12">
        <f>IF(COUNT($A28)&gt;0,'Other Overhead C '!$M$9,0)</f>
        <v>0</v>
      </c>
      <c r="U28" s="12">
        <f>IF(COUNT($A28)&gt;0,'Platform Cloud Costs'!$J$9,0)</f>
        <v>0</v>
      </c>
      <c r="V28" s="12">
        <f>IF(AND((COUNT($A28)&gt;0),(A28&lt;='Prospective Project'!$C$33)),'Enablement Services'!$C$35+'Enablement Services'!$C$36,0)</f>
        <v>0</v>
      </c>
      <c r="W28" s="12">
        <f>IF(AND((COUNT($A28)&gt;0),(A28&lt;='Prospective Project'!$C$33)),'Enablement Services'!$C$25+'Enablement Services'!$C$26,0)</f>
        <v>0</v>
      </c>
      <c r="X28" s="12">
        <f>IF(AND((COUNT($A28)&gt;0),(A28&lt;='Prospective Project'!$C$33)),'Enablement Services'!$C$14+'Enablement Services'!$C$15,0)</f>
        <v>0</v>
      </c>
      <c r="Y28" s="12">
        <f>IF('Prospective Project'!$C$20="High",'Prospective Project Calculation'!S28,IF('Prospective Project'!$C$20="Medium",'Prospective Project Calculation'!R28,'Prospective Project Calculation'!Q28))</f>
        <v>0</v>
      </c>
      <c r="Z28" s="12">
        <f>IF('Prospective Project'!$C$27="High",'Prospective Project Calculation'!P28,IF('Prospective Project'!$C$27="Medium",'Prospective Project Calculation'!O28,'Prospective Project Calculation'!N28))</f>
        <v>0</v>
      </c>
      <c r="AA28" s="12">
        <f>IF('Prospective Project'!$C$29="None",0,IF('Prospective Project'!$C$29="Gold",X28,IF('Prospective Project'!$C$29="Silver",'Prospective Project Calculation'!W28,'Prospective Project Calculation'!V28)))</f>
        <v>0</v>
      </c>
      <c r="AB28" s="12">
        <f t="shared" si="3"/>
        <v>0</v>
      </c>
      <c r="AC28" s="12"/>
      <c r="AD28" s="12"/>
    </row>
    <row r="29" spans="1:30">
      <c r="A29" s="12" t="str">
        <f>IF(ROW()&lt;='Prospective Project'!$C$17+1,A28+1,"")</f>
        <v/>
      </c>
      <c r="B29" s="100">
        <f>IF(COUNT($A29)&gt;0,(B28*(1+'Cloud Consumption'!E$20)),0)</f>
        <v>0</v>
      </c>
      <c r="C29" s="100">
        <f>IF(COUNT($A29)&gt;0,(C28*(1+'Cloud Consumption'!F$20)),0)</f>
        <v>0</v>
      </c>
      <c r="D29" s="100">
        <f>IF(COUNT($A29)&gt;0,(D28*(1+'Cloud Consumption'!G$20)),0)</f>
        <v>0</v>
      </c>
      <c r="E29" s="100">
        <f>IF(COUNT($A29)&gt;0,(E28*(1+'Cloud Consumption'!E$21)),0)</f>
        <v>0</v>
      </c>
      <c r="F29" s="100">
        <f>IF(COUNT($A29)&gt;0,(F28*(1+'Cloud Consumption'!F$21)),0)</f>
        <v>0</v>
      </c>
      <c r="G29" s="100">
        <f>IF(COUNT($A29)&gt;0,(G28*(1+'Cloud Consumption'!G$21)),0)</f>
        <v>0</v>
      </c>
      <c r="H29" s="100">
        <f>IF(COUNT($A29)&gt;0,(H28*(1+'Cloud Consumption'!E$22)),0)</f>
        <v>0</v>
      </c>
      <c r="I29" s="100">
        <f>IF(COUNT($A29)&gt;0,(I28*(1+'Cloud Consumption'!F$22)),0)</f>
        <v>0</v>
      </c>
      <c r="J29" s="100">
        <f>IF(COUNT($A29)&gt;0,(J28*(1+'Cloud Consumption'!G$22)),0)</f>
        <v>0</v>
      </c>
      <c r="K29" s="100">
        <f>IF(COUNT($A29)&gt;0,(K28*(1+'Cloud Consumption'!E$23)),0)</f>
        <v>0</v>
      </c>
      <c r="L29" s="100">
        <f>IF(COUNT($A29)&gt;0,(L28*(1+'Cloud Consumption'!F$23)),0)</f>
        <v>0</v>
      </c>
      <c r="M29" s="100">
        <f>IF(COUNT($A29)&gt;0,(M28*(1+'Cloud Consumption'!G$23)),0)</f>
        <v>0</v>
      </c>
      <c r="N29" s="12">
        <f>IF(COUNT($A29)&gt;0,(N28*(1+'Cloud Consumption'!E$24)),0)</f>
        <v>0</v>
      </c>
      <c r="O29" s="12">
        <f>IF(COUNT($A29)&gt;0,(O28*(1+'Cloud Consumption'!F$24)),0)</f>
        <v>0</v>
      </c>
      <c r="P29" s="12">
        <f>IF(COUNT($A29)&gt;0,(P28*(1+'Cloud Consumption'!G$24)),0)</f>
        <v>0</v>
      </c>
      <c r="Q29" s="14">
        <f t="shared" si="0"/>
        <v>0</v>
      </c>
      <c r="R29" s="14">
        <f t="shared" si="1"/>
        <v>0</v>
      </c>
      <c r="S29" s="14">
        <f t="shared" si="2"/>
        <v>0</v>
      </c>
      <c r="T29" s="12">
        <f>IF(COUNT($A29)&gt;0,'Other Overhead C '!$M$9,0)</f>
        <v>0</v>
      </c>
      <c r="U29" s="12">
        <f>IF(COUNT($A29)&gt;0,'Platform Cloud Costs'!$J$9,0)</f>
        <v>0</v>
      </c>
      <c r="V29" s="12">
        <f>IF(AND((COUNT($A29)&gt;0),(A29&lt;='Prospective Project'!$C$33)),'Enablement Services'!$C$35+'Enablement Services'!$C$36,0)</f>
        <v>0</v>
      </c>
      <c r="W29" s="12">
        <f>IF(AND((COUNT($A29)&gt;0),(A29&lt;='Prospective Project'!$C$33)),'Enablement Services'!$C$25+'Enablement Services'!$C$26,0)</f>
        <v>0</v>
      </c>
      <c r="X29" s="12">
        <f>IF(AND((COUNT($A29)&gt;0),(A29&lt;='Prospective Project'!$C$33)),'Enablement Services'!$C$14+'Enablement Services'!$C$15,0)</f>
        <v>0</v>
      </c>
      <c r="Y29" s="12">
        <f>IF('Prospective Project'!$C$20="High",'Prospective Project Calculation'!S29,IF('Prospective Project'!$C$20="Medium",'Prospective Project Calculation'!R29,'Prospective Project Calculation'!Q29))</f>
        <v>0</v>
      </c>
      <c r="Z29" s="12">
        <f>IF('Prospective Project'!$C$27="High",'Prospective Project Calculation'!P29,IF('Prospective Project'!$C$27="Medium",'Prospective Project Calculation'!O29,'Prospective Project Calculation'!N29))</f>
        <v>0</v>
      </c>
      <c r="AA29" s="12">
        <f>IF('Prospective Project'!$C$29="None",0,IF('Prospective Project'!$C$29="Gold",X29,IF('Prospective Project'!$C$29="Silver",'Prospective Project Calculation'!W29,'Prospective Project Calculation'!V29)))</f>
        <v>0</v>
      </c>
      <c r="AB29" s="12">
        <f t="shared" si="3"/>
        <v>0</v>
      </c>
      <c r="AC29" s="12"/>
      <c r="AD29" s="12"/>
    </row>
    <row r="30" spans="1:30">
      <c r="A30" s="12" t="str">
        <f>IF(ROW()&lt;='Prospective Project'!$C$17+1,A29+1,"")</f>
        <v/>
      </c>
      <c r="B30" s="100">
        <f>IF(COUNT($A30)&gt;0,(B29*(1+'Cloud Consumption'!E$20)),0)</f>
        <v>0</v>
      </c>
      <c r="C30" s="100">
        <f>IF(COUNT($A30)&gt;0,(C29*(1+'Cloud Consumption'!F$20)),0)</f>
        <v>0</v>
      </c>
      <c r="D30" s="100">
        <f>IF(COUNT($A30)&gt;0,(D29*(1+'Cloud Consumption'!G$20)),0)</f>
        <v>0</v>
      </c>
      <c r="E30" s="100">
        <f>IF(COUNT($A30)&gt;0,(E29*(1+'Cloud Consumption'!E$21)),0)</f>
        <v>0</v>
      </c>
      <c r="F30" s="100">
        <f>IF(COUNT($A30)&gt;0,(F29*(1+'Cloud Consumption'!F$21)),0)</f>
        <v>0</v>
      </c>
      <c r="G30" s="100">
        <f>IF(COUNT($A30)&gt;0,(G29*(1+'Cloud Consumption'!G$21)),0)</f>
        <v>0</v>
      </c>
      <c r="H30" s="100">
        <f>IF(COUNT($A30)&gt;0,(H29*(1+'Cloud Consumption'!E$22)),0)</f>
        <v>0</v>
      </c>
      <c r="I30" s="100">
        <f>IF(COUNT($A30)&gt;0,(I29*(1+'Cloud Consumption'!F$22)),0)</f>
        <v>0</v>
      </c>
      <c r="J30" s="100">
        <f>IF(COUNT($A30)&gt;0,(J29*(1+'Cloud Consumption'!G$22)),0)</f>
        <v>0</v>
      </c>
      <c r="K30" s="100">
        <f>IF(COUNT($A30)&gt;0,(K29*(1+'Cloud Consumption'!E$23)),0)</f>
        <v>0</v>
      </c>
      <c r="L30" s="100">
        <f>IF(COUNT($A30)&gt;0,(L29*(1+'Cloud Consumption'!F$23)),0)</f>
        <v>0</v>
      </c>
      <c r="M30" s="100">
        <f>IF(COUNT($A30)&gt;0,(M29*(1+'Cloud Consumption'!G$23)),0)</f>
        <v>0</v>
      </c>
      <c r="N30" s="12">
        <f>IF(COUNT($A30)&gt;0,(N29*(1+'Cloud Consumption'!E$24)),0)</f>
        <v>0</v>
      </c>
      <c r="O30" s="12">
        <f>IF(COUNT($A30)&gt;0,(O29*(1+'Cloud Consumption'!F$24)),0)</f>
        <v>0</v>
      </c>
      <c r="P30" s="12">
        <f>IF(COUNT($A30)&gt;0,(P29*(1+'Cloud Consumption'!G$24)),0)</f>
        <v>0</v>
      </c>
      <c r="Q30" s="14">
        <f t="shared" si="0"/>
        <v>0</v>
      </c>
      <c r="R30" s="14">
        <f t="shared" si="1"/>
        <v>0</v>
      </c>
      <c r="S30" s="14">
        <f t="shared" si="2"/>
        <v>0</v>
      </c>
      <c r="T30" s="12">
        <f>IF(COUNT($A30)&gt;0,'Other Overhead C '!$M$9,0)</f>
        <v>0</v>
      </c>
      <c r="U30" s="12">
        <f>IF(COUNT($A30)&gt;0,'Platform Cloud Costs'!$J$9,0)</f>
        <v>0</v>
      </c>
      <c r="V30" s="12">
        <f>IF(AND((COUNT($A30)&gt;0),(A30&lt;='Prospective Project'!$C$33)),'Enablement Services'!$C$35+'Enablement Services'!$C$36,0)</f>
        <v>0</v>
      </c>
      <c r="W30" s="12">
        <f>IF(AND((COUNT($A30)&gt;0),(A30&lt;='Prospective Project'!$C$33)),'Enablement Services'!$C$25+'Enablement Services'!$C$26,0)</f>
        <v>0</v>
      </c>
      <c r="X30" s="12">
        <f>IF(AND((COUNT($A30)&gt;0),(A30&lt;='Prospective Project'!$C$33)),'Enablement Services'!$C$14+'Enablement Services'!$C$15,0)</f>
        <v>0</v>
      </c>
      <c r="Y30" s="12">
        <f>IF('Prospective Project'!$C$20="High",'Prospective Project Calculation'!S30,IF('Prospective Project'!$C$20="Medium",'Prospective Project Calculation'!R30,'Prospective Project Calculation'!Q30))</f>
        <v>0</v>
      </c>
      <c r="Z30" s="12">
        <f>IF('Prospective Project'!$C$27="High",'Prospective Project Calculation'!P30,IF('Prospective Project'!$C$27="Medium",'Prospective Project Calculation'!O30,'Prospective Project Calculation'!N30))</f>
        <v>0</v>
      </c>
      <c r="AA30" s="12">
        <f>IF('Prospective Project'!$C$29="None",0,IF('Prospective Project'!$C$29="Gold",X30,IF('Prospective Project'!$C$29="Silver",'Prospective Project Calculation'!W30,'Prospective Project Calculation'!V30)))</f>
        <v>0</v>
      </c>
      <c r="AB30" s="12">
        <f t="shared" si="3"/>
        <v>0</v>
      </c>
      <c r="AC30" s="12"/>
      <c r="AD30" s="12"/>
    </row>
    <row r="31" spans="1:30">
      <c r="A31" s="12" t="str">
        <f>IF(ROW()&lt;='Prospective Project'!$C$17+1,A30+1,"")</f>
        <v/>
      </c>
      <c r="B31" s="100">
        <f>IF(COUNT($A31)&gt;0,(B30*(1+'Cloud Consumption'!E$20)),0)</f>
        <v>0</v>
      </c>
      <c r="C31" s="100">
        <f>IF(COUNT($A31)&gt;0,(C30*(1+'Cloud Consumption'!F$20)),0)</f>
        <v>0</v>
      </c>
      <c r="D31" s="100">
        <f>IF(COUNT($A31)&gt;0,(D30*(1+'Cloud Consumption'!G$20)),0)</f>
        <v>0</v>
      </c>
      <c r="E31" s="100">
        <f>IF(COUNT($A31)&gt;0,(E30*(1+'Cloud Consumption'!E$21)),0)</f>
        <v>0</v>
      </c>
      <c r="F31" s="100">
        <f>IF(COUNT($A31)&gt;0,(F30*(1+'Cloud Consumption'!F$21)),0)</f>
        <v>0</v>
      </c>
      <c r="G31" s="100">
        <f>IF(COUNT($A31)&gt;0,(G30*(1+'Cloud Consumption'!G$21)),0)</f>
        <v>0</v>
      </c>
      <c r="H31" s="100">
        <f>IF(COUNT($A31)&gt;0,(H30*(1+'Cloud Consumption'!E$22)),0)</f>
        <v>0</v>
      </c>
      <c r="I31" s="100">
        <f>IF(COUNT($A31)&gt;0,(I30*(1+'Cloud Consumption'!F$22)),0)</f>
        <v>0</v>
      </c>
      <c r="J31" s="100">
        <f>IF(COUNT($A31)&gt;0,(J30*(1+'Cloud Consumption'!G$22)),0)</f>
        <v>0</v>
      </c>
      <c r="K31" s="100">
        <f>IF(COUNT($A31)&gt;0,(K30*(1+'Cloud Consumption'!E$23)),0)</f>
        <v>0</v>
      </c>
      <c r="L31" s="100">
        <f>IF(COUNT($A31)&gt;0,(L30*(1+'Cloud Consumption'!F$23)),0)</f>
        <v>0</v>
      </c>
      <c r="M31" s="100">
        <f>IF(COUNT($A31)&gt;0,(M30*(1+'Cloud Consumption'!G$23)),0)</f>
        <v>0</v>
      </c>
      <c r="N31" s="12">
        <f>IF(COUNT($A31)&gt;0,(N30*(1+'Cloud Consumption'!E$24)),0)</f>
        <v>0</v>
      </c>
      <c r="O31" s="12">
        <f>IF(COUNT($A31)&gt;0,(O30*(1+'Cloud Consumption'!F$24)),0)</f>
        <v>0</v>
      </c>
      <c r="P31" s="12">
        <f>IF(COUNT($A31)&gt;0,(P30*(1+'Cloud Consumption'!G$24)),0)</f>
        <v>0</v>
      </c>
      <c r="Q31" s="14">
        <f t="shared" si="0"/>
        <v>0</v>
      </c>
      <c r="R31" s="14">
        <f t="shared" si="1"/>
        <v>0</v>
      </c>
      <c r="S31" s="14">
        <f t="shared" si="2"/>
        <v>0</v>
      </c>
      <c r="T31" s="12">
        <f>IF(COUNT($A31)&gt;0,'Other Overhead C '!$M$9,0)</f>
        <v>0</v>
      </c>
      <c r="U31" s="12">
        <f>IF(COUNT($A31)&gt;0,'Platform Cloud Costs'!$J$9,0)</f>
        <v>0</v>
      </c>
      <c r="V31" s="12">
        <f>IF(AND((COUNT($A31)&gt;0),(A31&lt;='Prospective Project'!$C$33)),'Enablement Services'!$C$35+'Enablement Services'!$C$36,0)</f>
        <v>0</v>
      </c>
      <c r="W31" s="12">
        <f>IF(AND((COUNT($A31)&gt;0),(A31&lt;='Prospective Project'!$C$33)),'Enablement Services'!$C$25+'Enablement Services'!$C$26,0)</f>
        <v>0</v>
      </c>
      <c r="X31" s="12">
        <f>IF(AND((COUNT($A31)&gt;0),(A31&lt;='Prospective Project'!$C$33)),'Enablement Services'!$C$14+'Enablement Services'!$C$15,0)</f>
        <v>0</v>
      </c>
      <c r="Y31" s="12">
        <f>IF('Prospective Project'!$C$20="High",'Prospective Project Calculation'!S31,IF('Prospective Project'!$C$20="Medium",'Prospective Project Calculation'!R31,'Prospective Project Calculation'!Q31))</f>
        <v>0</v>
      </c>
      <c r="Z31" s="12">
        <f>IF('Prospective Project'!$C$27="High",'Prospective Project Calculation'!P31,IF('Prospective Project'!$C$27="Medium",'Prospective Project Calculation'!O31,'Prospective Project Calculation'!N31))</f>
        <v>0</v>
      </c>
      <c r="AA31" s="12">
        <f>IF('Prospective Project'!$C$29="None",0,IF('Prospective Project'!$C$29="Gold",X31,IF('Prospective Project'!$C$29="Silver",'Prospective Project Calculation'!W31,'Prospective Project Calculation'!V31)))</f>
        <v>0</v>
      </c>
      <c r="AB31" s="12">
        <f t="shared" si="3"/>
        <v>0</v>
      </c>
      <c r="AC31" s="12"/>
      <c r="AD31" s="12"/>
    </row>
    <row r="32" spans="1:30">
      <c r="A32" s="12" t="str">
        <f>IF(ROW()&lt;='Prospective Project'!$C$17+1,A31+1,"")</f>
        <v/>
      </c>
      <c r="B32" s="100">
        <f>IF(COUNT($A32)&gt;0,(B31*(1+'Cloud Consumption'!E$20)),0)</f>
        <v>0</v>
      </c>
      <c r="C32" s="100">
        <f>IF(COUNT($A32)&gt;0,(C31*(1+'Cloud Consumption'!F$20)),0)</f>
        <v>0</v>
      </c>
      <c r="D32" s="100">
        <f>IF(COUNT($A32)&gt;0,(D31*(1+'Cloud Consumption'!G$20)),0)</f>
        <v>0</v>
      </c>
      <c r="E32" s="100">
        <f>IF(COUNT($A32)&gt;0,(E31*(1+'Cloud Consumption'!E$21)),0)</f>
        <v>0</v>
      </c>
      <c r="F32" s="100">
        <f>IF(COUNT($A32)&gt;0,(F31*(1+'Cloud Consumption'!F$21)),0)</f>
        <v>0</v>
      </c>
      <c r="G32" s="100">
        <f>IF(COUNT($A32)&gt;0,(G31*(1+'Cloud Consumption'!G$21)),0)</f>
        <v>0</v>
      </c>
      <c r="H32" s="100">
        <f>IF(COUNT($A32)&gt;0,(H31*(1+'Cloud Consumption'!E$22)),0)</f>
        <v>0</v>
      </c>
      <c r="I32" s="100">
        <f>IF(COUNT($A32)&gt;0,(I31*(1+'Cloud Consumption'!F$22)),0)</f>
        <v>0</v>
      </c>
      <c r="J32" s="100">
        <f>IF(COUNT($A32)&gt;0,(J31*(1+'Cloud Consumption'!G$22)),0)</f>
        <v>0</v>
      </c>
      <c r="K32" s="100">
        <f>IF(COUNT($A32)&gt;0,(K31*(1+'Cloud Consumption'!E$23)),0)</f>
        <v>0</v>
      </c>
      <c r="L32" s="100">
        <f>IF(COUNT($A32)&gt;0,(L31*(1+'Cloud Consumption'!F$23)),0)</f>
        <v>0</v>
      </c>
      <c r="M32" s="100">
        <f>IF(COUNT($A32)&gt;0,(M31*(1+'Cloud Consumption'!G$23)),0)</f>
        <v>0</v>
      </c>
      <c r="N32" s="12">
        <f>IF(COUNT($A32)&gt;0,(N31*(1+'Cloud Consumption'!E$24)),0)</f>
        <v>0</v>
      </c>
      <c r="O32" s="12">
        <f>IF(COUNT($A32)&gt;0,(O31*(1+'Cloud Consumption'!F$24)),0)</f>
        <v>0</v>
      </c>
      <c r="P32" s="12">
        <f>IF(COUNT($A32)&gt;0,(P31*(1+'Cloud Consumption'!G$24)),0)</f>
        <v>0</v>
      </c>
      <c r="Q32" s="14">
        <f t="shared" si="0"/>
        <v>0</v>
      </c>
      <c r="R32" s="14">
        <f t="shared" si="1"/>
        <v>0</v>
      </c>
      <c r="S32" s="14">
        <f t="shared" si="2"/>
        <v>0</v>
      </c>
      <c r="T32" s="12">
        <f>IF(COUNT($A32)&gt;0,'Other Overhead C '!$M$9,0)</f>
        <v>0</v>
      </c>
      <c r="U32" s="12">
        <f>IF(COUNT($A32)&gt;0,'Platform Cloud Costs'!$J$9,0)</f>
        <v>0</v>
      </c>
      <c r="V32" s="12">
        <f>IF(AND((COUNT($A32)&gt;0),(A32&lt;='Prospective Project'!$C$33)),'Enablement Services'!$C$35+'Enablement Services'!$C$36,0)</f>
        <v>0</v>
      </c>
      <c r="W32" s="12">
        <f>IF(AND((COUNT($A32)&gt;0),(A32&lt;='Prospective Project'!$C$33)),'Enablement Services'!$C$25+'Enablement Services'!$C$26,0)</f>
        <v>0</v>
      </c>
      <c r="X32" s="12">
        <f>IF(AND((COUNT($A32)&gt;0),(A32&lt;='Prospective Project'!$C$33)),'Enablement Services'!$C$14+'Enablement Services'!$C$15,0)</f>
        <v>0</v>
      </c>
      <c r="Y32" s="12">
        <f>IF('Prospective Project'!$C$20="High",'Prospective Project Calculation'!S32,IF('Prospective Project'!$C$20="Medium",'Prospective Project Calculation'!R32,'Prospective Project Calculation'!Q32))</f>
        <v>0</v>
      </c>
      <c r="Z32" s="12">
        <f>IF('Prospective Project'!$C$27="High",'Prospective Project Calculation'!P32,IF('Prospective Project'!$C$27="Medium",'Prospective Project Calculation'!O32,'Prospective Project Calculation'!N32))</f>
        <v>0</v>
      </c>
      <c r="AA32" s="12">
        <f>IF('Prospective Project'!$C$29="None",0,IF('Prospective Project'!$C$29="Gold",X32,IF('Prospective Project'!$C$29="Silver",'Prospective Project Calculation'!W32,'Prospective Project Calculation'!V32)))</f>
        <v>0</v>
      </c>
      <c r="AB32" s="12">
        <f t="shared" si="3"/>
        <v>0</v>
      </c>
      <c r="AC32" s="12"/>
      <c r="AD32" s="12"/>
    </row>
    <row r="33" spans="1:30">
      <c r="A33" s="12" t="str">
        <f>IF(ROW()&lt;='Prospective Project'!$C$17+1,A32+1,"")</f>
        <v/>
      </c>
      <c r="B33" s="100">
        <f>IF(COUNT($A33)&gt;0,(B32*(1+'Cloud Consumption'!E$20)),0)</f>
        <v>0</v>
      </c>
      <c r="C33" s="100">
        <f>IF(COUNT($A33)&gt;0,(C32*(1+'Cloud Consumption'!F$20)),0)</f>
        <v>0</v>
      </c>
      <c r="D33" s="100">
        <f>IF(COUNT($A33)&gt;0,(D32*(1+'Cloud Consumption'!G$20)),0)</f>
        <v>0</v>
      </c>
      <c r="E33" s="100">
        <f>IF(COUNT($A33)&gt;0,(E32*(1+'Cloud Consumption'!E$21)),0)</f>
        <v>0</v>
      </c>
      <c r="F33" s="100">
        <f>IF(COUNT($A33)&gt;0,(F32*(1+'Cloud Consumption'!F$21)),0)</f>
        <v>0</v>
      </c>
      <c r="G33" s="100">
        <f>IF(COUNT($A33)&gt;0,(G32*(1+'Cloud Consumption'!G$21)),0)</f>
        <v>0</v>
      </c>
      <c r="H33" s="100">
        <f>IF(COUNT($A33)&gt;0,(H32*(1+'Cloud Consumption'!E$22)),0)</f>
        <v>0</v>
      </c>
      <c r="I33" s="100">
        <f>IF(COUNT($A33)&gt;0,(I32*(1+'Cloud Consumption'!F$22)),0)</f>
        <v>0</v>
      </c>
      <c r="J33" s="100">
        <f>IF(COUNT($A33)&gt;0,(J32*(1+'Cloud Consumption'!G$22)),0)</f>
        <v>0</v>
      </c>
      <c r="K33" s="100">
        <f>IF(COUNT($A33)&gt;0,(K32*(1+'Cloud Consumption'!E$23)),0)</f>
        <v>0</v>
      </c>
      <c r="L33" s="100">
        <f>IF(COUNT($A33)&gt;0,(L32*(1+'Cloud Consumption'!F$23)),0)</f>
        <v>0</v>
      </c>
      <c r="M33" s="100">
        <f>IF(COUNT($A33)&gt;0,(M32*(1+'Cloud Consumption'!G$23)),0)</f>
        <v>0</v>
      </c>
      <c r="N33" s="12">
        <f>IF(COUNT($A33)&gt;0,(N32*(1+'Cloud Consumption'!E$24)),0)</f>
        <v>0</v>
      </c>
      <c r="O33" s="12">
        <f>IF(COUNT($A33)&gt;0,(O32*(1+'Cloud Consumption'!F$24)),0)</f>
        <v>0</v>
      </c>
      <c r="P33" s="12">
        <f>IF(COUNT($A33)&gt;0,(P32*(1+'Cloud Consumption'!G$24)),0)</f>
        <v>0</v>
      </c>
      <c r="Q33" s="14">
        <f t="shared" si="0"/>
        <v>0</v>
      </c>
      <c r="R33" s="14">
        <f t="shared" si="1"/>
        <v>0</v>
      </c>
      <c r="S33" s="14">
        <f t="shared" si="2"/>
        <v>0</v>
      </c>
      <c r="T33" s="12">
        <f>IF(COUNT($A33)&gt;0,'Other Overhead C '!$M$9,0)</f>
        <v>0</v>
      </c>
      <c r="U33" s="12">
        <f>IF(COUNT($A33)&gt;0,'Platform Cloud Costs'!$J$9,0)</f>
        <v>0</v>
      </c>
      <c r="V33" s="12">
        <f>IF(AND((COUNT($A33)&gt;0),(A33&lt;='Prospective Project'!$C$33)),'Enablement Services'!$C$35+'Enablement Services'!$C$36,0)</f>
        <v>0</v>
      </c>
      <c r="W33" s="12">
        <f>IF(AND((COUNT($A33)&gt;0),(A33&lt;='Prospective Project'!$C$33)),'Enablement Services'!$C$25+'Enablement Services'!$C$26,0)</f>
        <v>0</v>
      </c>
      <c r="X33" s="12">
        <f>IF(AND((COUNT($A33)&gt;0),(A33&lt;='Prospective Project'!$C$33)),'Enablement Services'!$C$14+'Enablement Services'!$C$15,0)</f>
        <v>0</v>
      </c>
      <c r="Y33" s="12">
        <f>IF('Prospective Project'!$C$20="High",'Prospective Project Calculation'!S33,IF('Prospective Project'!$C$20="Medium",'Prospective Project Calculation'!R33,'Prospective Project Calculation'!Q33))</f>
        <v>0</v>
      </c>
      <c r="Z33" s="12">
        <f>IF('Prospective Project'!$C$27="High",'Prospective Project Calculation'!P33,IF('Prospective Project'!$C$27="Medium",'Prospective Project Calculation'!O33,'Prospective Project Calculation'!N33))</f>
        <v>0</v>
      </c>
      <c r="AA33" s="12">
        <f>IF('Prospective Project'!$C$29="None",0,IF('Prospective Project'!$C$29="Gold",X33,IF('Prospective Project'!$C$29="Silver",'Prospective Project Calculation'!W33,'Prospective Project Calculation'!V33)))</f>
        <v>0</v>
      </c>
      <c r="AB33" s="12">
        <f t="shared" si="3"/>
        <v>0</v>
      </c>
      <c r="AC33" s="12"/>
      <c r="AD33" s="12"/>
    </row>
    <row r="34" spans="1:30">
      <c r="A34" s="12" t="str">
        <f>IF(ROW()&lt;='Prospective Project'!$C$17+1,A33+1,"")</f>
        <v/>
      </c>
      <c r="B34" s="100">
        <f>IF(COUNT($A34)&gt;0,(B33*(1+'Cloud Consumption'!E$20)),0)</f>
        <v>0</v>
      </c>
      <c r="C34" s="100">
        <f>IF(COUNT($A34)&gt;0,(C33*(1+'Cloud Consumption'!F$20)),0)</f>
        <v>0</v>
      </c>
      <c r="D34" s="100">
        <f>IF(COUNT($A34)&gt;0,(D33*(1+'Cloud Consumption'!G$20)),0)</f>
        <v>0</v>
      </c>
      <c r="E34" s="100">
        <f>IF(COUNT($A34)&gt;0,(E33*(1+'Cloud Consumption'!E$21)),0)</f>
        <v>0</v>
      </c>
      <c r="F34" s="100">
        <f>IF(COUNT($A34)&gt;0,(F33*(1+'Cloud Consumption'!F$21)),0)</f>
        <v>0</v>
      </c>
      <c r="G34" s="100">
        <f>IF(COUNT($A34)&gt;0,(G33*(1+'Cloud Consumption'!G$21)),0)</f>
        <v>0</v>
      </c>
      <c r="H34" s="100">
        <f>IF(COUNT($A34)&gt;0,(H33*(1+'Cloud Consumption'!E$22)),0)</f>
        <v>0</v>
      </c>
      <c r="I34" s="100">
        <f>IF(COUNT($A34)&gt;0,(I33*(1+'Cloud Consumption'!F$22)),0)</f>
        <v>0</v>
      </c>
      <c r="J34" s="100">
        <f>IF(COUNT($A34)&gt;0,(J33*(1+'Cloud Consumption'!G$22)),0)</f>
        <v>0</v>
      </c>
      <c r="K34" s="100">
        <f>IF(COUNT($A34)&gt;0,(K33*(1+'Cloud Consumption'!E$23)),0)</f>
        <v>0</v>
      </c>
      <c r="L34" s="100">
        <f>IF(COUNT($A34)&gt;0,(L33*(1+'Cloud Consumption'!F$23)),0)</f>
        <v>0</v>
      </c>
      <c r="M34" s="100">
        <f>IF(COUNT($A34)&gt;0,(M33*(1+'Cloud Consumption'!G$23)),0)</f>
        <v>0</v>
      </c>
      <c r="N34" s="12">
        <f>IF(COUNT($A34)&gt;0,(N33*(1+'Cloud Consumption'!E$24)),0)</f>
        <v>0</v>
      </c>
      <c r="O34" s="12">
        <f>IF(COUNT($A34)&gt;0,(O33*(1+'Cloud Consumption'!F$24)),0)</f>
        <v>0</v>
      </c>
      <c r="P34" s="12">
        <f>IF(COUNT($A34)&gt;0,(P33*(1+'Cloud Consumption'!G$24)),0)</f>
        <v>0</v>
      </c>
      <c r="Q34" s="14">
        <f t="shared" si="0"/>
        <v>0</v>
      </c>
      <c r="R34" s="14">
        <f t="shared" si="1"/>
        <v>0</v>
      </c>
      <c r="S34" s="14">
        <f t="shared" si="2"/>
        <v>0</v>
      </c>
      <c r="T34" s="12">
        <f>IF(COUNT($A34)&gt;0,'Other Overhead C '!$M$9,0)</f>
        <v>0</v>
      </c>
      <c r="U34" s="12">
        <f>IF(COUNT($A34)&gt;0,'Platform Cloud Costs'!$J$9,0)</f>
        <v>0</v>
      </c>
      <c r="V34" s="12">
        <f>IF(AND((COUNT($A34)&gt;0),(A34&lt;='Prospective Project'!$C$33)),'Enablement Services'!$C$35+'Enablement Services'!$C$36,0)</f>
        <v>0</v>
      </c>
      <c r="W34" s="12">
        <f>IF(AND((COUNT($A34)&gt;0),(A34&lt;='Prospective Project'!$C$33)),'Enablement Services'!$C$25+'Enablement Services'!$C$26,0)</f>
        <v>0</v>
      </c>
      <c r="X34" s="12">
        <f>IF(AND((COUNT($A34)&gt;0),(A34&lt;='Prospective Project'!$C$33)),'Enablement Services'!$C$14+'Enablement Services'!$C$15,0)</f>
        <v>0</v>
      </c>
      <c r="Y34" s="12">
        <f>IF('Prospective Project'!$C$20="High",'Prospective Project Calculation'!S34,IF('Prospective Project'!$C$20="Medium",'Prospective Project Calculation'!R34,'Prospective Project Calculation'!Q34))</f>
        <v>0</v>
      </c>
      <c r="Z34" s="12">
        <f>IF('Prospective Project'!$C$27="High",'Prospective Project Calculation'!P34,IF('Prospective Project'!$C$27="Medium",'Prospective Project Calculation'!O34,'Prospective Project Calculation'!N34))</f>
        <v>0</v>
      </c>
      <c r="AA34" s="12">
        <f>IF('Prospective Project'!$C$29="None",0,IF('Prospective Project'!$C$29="Gold",X34,IF('Prospective Project'!$C$29="Silver",'Prospective Project Calculation'!W34,'Prospective Project Calculation'!V34)))</f>
        <v>0</v>
      </c>
      <c r="AB34" s="12">
        <f t="shared" si="3"/>
        <v>0</v>
      </c>
      <c r="AC34" s="12"/>
      <c r="AD34" s="12"/>
    </row>
    <row r="35" spans="1:30">
      <c r="A35" s="12" t="str">
        <f>IF(ROW()&lt;='Prospective Project'!$C$17+1,A34+1,"")</f>
        <v/>
      </c>
      <c r="B35" s="100">
        <f>IF(COUNT($A35)&gt;0,(B34*(1+'Cloud Consumption'!E$20)),0)</f>
        <v>0</v>
      </c>
      <c r="C35" s="100">
        <f>IF(COUNT($A35)&gt;0,(C34*(1+'Cloud Consumption'!F$20)),0)</f>
        <v>0</v>
      </c>
      <c r="D35" s="100">
        <f>IF(COUNT($A35)&gt;0,(D34*(1+'Cloud Consumption'!G$20)),0)</f>
        <v>0</v>
      </c>
      <c r="E35" s="100">
        <f>IF(COUNT($A35)&gt;0,(E34*(1+'Cloud Consumption'!E$21)),0)</f>
        <v>0</v>
      </c>
      <c r="F35" s="100">
        <f>IF(COUNT($A35)&gt;0,(F34*(1+'Cloud Consumption'!F$21)),0)</f>
        <v>0</v>
      </c>
      <c r="G35" s="100">
        <f>IF(COUNT($A35)&gt;0,(G34*(1+'Cloud Consumption'!G$21)),0)</f>
        <v>0</v>
      </c>
      <c r="H35" s="100">
        <f>IF(COUNT($A35)&gt;0,(H34*(1+'Cloud Consumption'!E$22)),0)</f>
        <v>0</v>
      </c>
      <c r="I35" s="100">
        <f>IF(COUNT($A35)&gt;0,(I34*(1+'Cloud Consumption'!F$22)),0)</f>
        <v>0</v>
      </c>
      <c r="J35" s="100">
        <f>IF(COUNT($A35)&gt;0,(J34*(1+'Cloud Consumption'!G$22)),0)</f>
        <v>0</v>
      </c>
      <c r="K35" s="100">
        <f>IF(COUNT($A35)&gt;0,(K34*(1+'Cloud Consumption'!E$23)),0)</f>
        <v>0</v>
      </c>
      <c r="L35" s="100">
        <f>IF(COUNT($A35)&gt;0,(L34*(1+'Cloud Consumption'!F$23)),0)</f>
        <v>0</v>
      </c>
      <c r="M35" s="100">
        <f>IF(COUNT($A35)&gt;0,(M34*(1+'Cloud Consumption'!G$23)),0)</f>
        <v>0</v>
      </c>
      <c r="N35" s="12">
        <f>IF(COUNT($A35)&gt;0,(N34*(1+'Cloud Consumption'!E$24)),0)</f>
        <v>0</v>
      </c>
      <c r="O35" s="12">
        <f>IF(COUNT($A35)&gt;0,(O34*(1+'Cloud Consumption'!F$24)),0)</f>
        <v>0</v>
      </c>
      <c r="P35" s="12">
        <f>IF(COUNT($A35)&gt;0,(P34*(1+'Cloud Consumption'!G$24)),0)</f>
        <v>0</v>
      </c>
      <c r="Q35" s="14">
        <f t="shared" si="0"/>
        <v>0</v>
      </c>
      <c r="R35" s="14">
        <f t="shared" si="1"/>
        <v>0</v>
      </c>
      <c r="S35" s="14">
        <f t="shared" si="2"/>
        <v>0</v>
      </c>
      <c r="T35" s="12">
        <f>IF(COUNT($A35)&gt;0,'Other Overhead C '!$M$9,0)</f>
        <v>0</v>
      </c>
      <c r="U35" s="12">
        <f>IF(COUNT($A35)&gt;0,'Platform Cloud Costs'!$J$9,0)</f>
        <v>0</v>
      </c>
      <c r="V35" s="12">
        <f>IF(AND((COUNT($A35)&gt;0),(A35&lt;='Prospective Project'!$C$33)),'Enablement Services'!$C$35+'Enablement Services'!$C$36,0)</f>
        <v>0</v>
      </c>
      <c r="W35" s="12">
        <f>IF(AND((COUNT($A35)&gt;0),(A35&lt;='Prospective Project'!$C$33)),'Enablement Services'!$C$25+'Enablement Services'!$C$26,0)</f>
        <v>0</v>
      </c>
      <c r="X35" s="12">
        <f>IF(AND((COUNT($A35)&gt;0),(A35&lt;='Prospective Project'!$C$33)),'Enablement Services'!$C$14+'Enablement Services'!$C$15,0)</f>
        <v>0</v>
      </c>
      <c r="Y35" s="12">
        <f>IF('Prospective Project'!$C$20="High",'Prospective Project Calculation'!S35,IF('Prospective Project'!$C$20="Medium",'Prospective Project Calculation'!R35,'Prospective Project Calculation'!Q35))</f>
        <v>0</v>
      </c>
      <c r="Z35" s="12">
        <f>IF('Prospective Project'!$C$27="High",'Prospective Project Calculation'!P35,IF('Prospective Project'!$C$27="Medium",'Prospective Project Calculation'!O35,'Prospective Project Calculation'!N35))</f>
        <v>0</v>
      </c>
      <c r="AA35" s="12">
        <f>IF('Prospective Project'!$C$29="None",0,IF('Prospective Project'!$C$29="Gold",X35,IF('Prospective Project'!$C$29="Silver",'Prospective Project Calculation'!W35,'Prospective Project Calculation'!V35)))</f>
        <v>0</v>
      </c>
      <c r="AB35" s="12">
        <f t="shared" si="3"/>
        <v>0</v>
      </c>
      <c r="AC35" s="12"/>
      <c r="AD35" s="12"/>
    </row>
    <row r="36" spans="1:30">
      <c r="A36" s="12" t="str">
        <f>IF(ROW()&lt;='Prospective Project'!$C$17+1,A35+1,"")</f>
        <v/>
      </c>
      <c r="B36" s="100">
        <f>IF(COUNT($A36)&gt;0,(B35*(1+'Cloud Consumption'!E$20)),0)</f>
        <v>0</v>
      </c>
      <c r="C36" s="100">
        <f>IF(COUNT($A36)&gt;0,(C35*(1+'Cloud Consumption'!F$20)),0)</f>
        <v>0</v>
      </c>
      <c r="D36" s="100">
        <f>IF(COUNT($A36)&gt;0,(D35*(1+'Cloud Consumption'!G$20)),0)</f>
        <v>0</v>
      </c>
      <c r="E36" s="100">
        <f>IF(COUNT($A36)&gt;0,(E35*(1+'Cloud Consumption'!E$21)),0)</f>
        <v>0</v>
      </c>
      <c r="F36" s="100">
        <f>IF(COUNT($A36)&gt;0,(F35*(1+'Cloud Consumption'!F$21)),0)</f>
        <v>0</v>
      </c>
      <c r="G36" s="100">
        <f>IF(COUNT($A36)&gt;0,(G35*(1+'Cloud Consumption'!G$21)),0)</f>
        <v>0</v>
      </c>
      <c r="H36" s="100">
        <f>IF(COUNT($A36)&gt;0,(H35*(1+'Cloud Consumption'!E$22)),0)</f>
        <v>0</v>
      </c>
      <c r="I36" s="100">
        <f>IF(COUNT($A36)&gt;0,(I35*(1+'Cloud Consumption'!F$22)),0)</f>
        <v>0</v>
      </c>
      <c r="J36" s="100">
        <f>IF(COUNT($A36)&gt;0,(J35*(1+'Cloud Consumption'!G$22)),0)</f>
        <v>0</v>
      </c>
      <c r="K36" s="100">
        <f>IF(COUNT($A36)&gt;0,(K35*(1+'Cloud Consumption'!E$23)),0)</f>
        <v>0</v>
      </c>
      <c r="L36" s="100">
        <f>IF(COUNT($A36)&gt;0,(L35*(1+'Cloud Consumption'!F$23)),0)</f>
        <v>0</v>
      </c>
      <c r="M36" s="100">
        <f>IF(COUNT($A36)&gt;0,(M35*(1+'Cloud Consumption'!G$23)),0)</f>
        <v>0</v>
      </c>
      <c r="N36" s="12">
        <f>IF(COUNT($A36)&gt;0,(N35*(1+'Cloud Consumption'!E$24)),0)</f>
        <v>0</v>
      </c>
      <c r="O36" s="12">
        <f>IF(COUNT($A36)&gt;0,(O35*(1+'Cloud Consumption'!F$24)),0)</f>
        <v>0</v>
      </c>
      <c r="P36" s="12">
        <f>IF(COUNT($A36)&gt;0,(P35*(1+'Cloud Consumption'!G$24)),0)</f>
        <v>0</v>
      </c>
      <c r="Q36" s="14">
        <f t="shared" si="0"/>
        <v>0</v>
      </c>
      <c r="R36" s="14">
        <f t="shared" si="1"/>
        <v>0</v>
      </c>
      <c r="S36" s="14">
        <f t="shared" si="2"/>
        <v>0</v>
      </c>
      <c r="T36" s="12">
        <f>IF(COUNT($A36)&gt;0,'Other Overhead C '!$M$9,0)</f>
        <v>0</v>
      </c>
      <c r="U36" s="12">
        <f>IF(COUNT($A36)&gt;0,'Platform Cloud Costs'!$J$9,0)</f>
        <v>0</v>
      </c>
      <c r="V36" s="12">
        <f>IF(AND((COUNT($A36)&gt;0),(A36&lt;='Prospective Project'!$C$33)),'Enablement Services'!$C$35+'Enablement Services'!$C$36,0)</f>
        <v>0</v>
      </c>
      <c r="W36" s="12">
        <f>IF(AND((COUNT($A36)&gt;0),(A36&lt;='Prospective Project'!$C$33)),'Enablement Services'!$C$25+'Enablement Services'!$C$26,0)</f>
        <v>0</v>
      </c>
      <c r="X36" s="12">
        <f>IF(AND((COUNT($A36)&gt;0),(A36&lt;='Prospective Project'!$C$33)),'Enablement Services'!$C$14+'Enablement Services'!$C$15,0)</f>
        <v>0</v>
      </c>
      <c r="Y36" s="12">
        <f>IF('Prospective Project'!$C$20="High",'Prospective Project Calculation'!S36,IF('Prospective Project'!$C$20="Medium",'Prospective Project Calculation'!R36,'Prospective Project Calculation'!Q36))</f>
        <v>0</v>
      </c>
      <c r="Z36" s="12">
        <f>IF('Prospective Project'!$C$27="High",'Prospective Project Calculation'!P36,IF('Prospective Project'!$C$27="Medium",'Prospective Project Calculation'!O36,'Prospective Project Calculation'!N36))</f>
        <v>0</v>
      </c>
      <c r="AA36" s="12">
        <f>IF('Prospective Project'!$C$29="None",0,IF('Prospective Project'!$C$29="Gold",X36,IF('Prospective Project'!$C$29="Silver",'Prospective Project Calculation'!W36,'Prospective Project Calculation'!V36)))</f>
        <v>0</v>
      </c>
      <c r="AB36" s="12">
        <f t="shared" si="3"/>
        <v>0</v>
      </c>
      <c r="AC36" s="12"/>
      <c r="AD36" s="12"/>
    </row>
    <row r="37" spans="1:30">
      <c r="A37" t="s">
        <v>46</v>
      </c>
      <c r="R37">
        <f t="shared" ref="R37:AD37" si="4">SUM(R2:R36)</f>
        <v>6700.0515627310369</v>
      </c>
      <c r="S37">
        <f t="shared" si="4"/>
        <v>16847.112686719604</v>
      </c>
      <c r="T37">
        <f t="shared" si="4"/>
        <v>34474.125</v>
      </c>
      <c r="U37">
        <f t="shared" si="4"/>
        <v>8414.4038222222225</v>
      </c>
      <c r="V37">
        <f t="shared" si="4"/>
        <v>50000</v>
      </c>
      <c r="W37">
        <f t="shared" si="4"/>
        <v>72000</v>
      </c>
      <c r="X37">
        <f t="shared" si="4"/>
        <v>100000</v>
      </c>
      <c r="Y37">
        <f>SUM(Y2:Y36)</f>
        <v>3189.7083099254323</v>
      </c>
      <c r="Z37">
        <f>SUM(Z2:Z36)</f>
        <v>903.51933025766914</v>
      </c>
      <c r="AA37">
        <f>SUM(AA2:AA36)</f>
        <v>0</v>
      </c>
      <c r="AB37">
        <f>SUM(AB2:AB36)</f>
        <v>4093.2276401831014</v>
      </c>
      <c r="AD37">
        <f t="shared" si="4"/>
        <v>0</v>
      </c>
    </row>
    <row r="41" spans="1:30">
      <c r="A41" s="12"/>
      <c r="B41" s="12" t="s">
        <v>203</v>
      </c>
      <c r="C41" s="12" t="s">
        <v>13</v>
      </c>
      <c r="D41" s="12" t="s">
        <v>289</v>
      </c>
      <c r="E41" s="12" t="s">
        <v>290</v>
      </c>
      <c r="F41" s="12" t="s">
        <v>291</v>
      </c>
      <c r="G41" s="147" t="s">
        <v>13</v>
      </c>
    </row>
    <row r="42" spans="1:30">
      <c r="A42" s="12" t="s">
        <v>199</v>
      </c>
      <c r="B42" s="100">
        <f>'Platform Cloud Costs'!J7</f>
        <v>169.03936250000001</v>
      </c>
      <c r="C42" s="100">
        <f>'Other Overhead C '!M7</f>
        <v>923.4140625</v>
      </c>
      <c r="D42" s="100"/>
      <c r="E42" s="100"/>
      <c r="F42" s="100">
        <f>IF('Prospective Project'!$C$29="Gold",'Enablement Services'!E11, IF('Prospective Project'!$C$29="Silver",'Enablement Services'!E22,0))</f>
        <v>0</v>
      </c>
      <c r="G42" s="105">
        <f>B42+C42</f>
        <v>1092.4534249999999</v>
      </c>
    </row>
    <row r="43" spans="1:30">
      <c r="A43" s="12" t="s">
        <v>200</v>
      </c>
      <c r="B43" s="100">
        <f>'Platform Cloud Costs'!J8</f>
        <v>1014.2361749999999</v>
      </c>
      <c r="C43" s="100">
        <f>'Other Overhead C '!M8</f>
        <v>1</v>
      </c>
      <c r="D43" s="100"/>
      <c r="E43" s="100"/>
      <c r="F43" s="100">
        <f>IF('Prospective Project'!$C$29="Gold",'Enablement Services'!E12+'Enablement Services'!E13, IF('Prospective Project'!$C$29="Silver",'Enablement Services'!E23+'Enablement Services'!E24,IF('Prospective Project'!$C$29="Bronze",'Enablement Services'!C34,0)))</f>
        <v>0</v>
      </c>
      <c r="G43" s="105">
        <f>B43+C43</f>
        <v>1015.2361749999999</v>
      </c>
    </row>
    <row r="44" spans="1:30">
      <c r="A44" s="12" t="s">
        <v>288</v>
      </c>
      <c r="B44" s="100">
        <f>U37</f>
        <v>8414.4038222222225</v>
      </c>
      <c r="C44" s="100">
        <f>T37</f>
        <v>34474.125</v>
      </c>
      <c r="D44" s="100">
        <f>Y37</f>
        <v>3189.7083099254323</v>
      </c>
      <c r="E44" s="100">
        <f>Z37</f>
        <v>903.51933025766914</v>
      </c>
      <c r="F44" s="100">
        <f>AA37</f>
        <v>0</v>
      </c>
      <c r="G44" s="105">
        <f>B44+C44</f>
        <v>42888.528822222223</v>
      </c>
    </row>
    <row r="45" spans="1:30">
      <c r="A45" s="12" t="s">
        <v>201</v>
      </c>
      <c r="B45" s="100">
        <f>'Platform Cloud Costs'!J10</f>
        <v>676.15745000000004</v>
      </c>
      <c r="C45" s="100">
        <f>'Other Overhead C '!M10</f>
        <v>1</v>
      </c>
      <c r="D45" s="100"/>
      <c r="E45" s="100"/>
      <c r="F45" s="100"/>
      <c r="G45" s="105">
        <f>B45+C45</f>
        <v>677.15745000000004</v>
      </c>
    </row>
    <row r="48" spans="1:30">
      <c r="A48" t="s">
        <v>292</v>
      </c>
      <c r="B48" t="s">
        <v>293</v>
      </c>
    </row>
    <row r="49" spans="1:20">
      <c r="A49">
        <f ca="1">IF(A2&gt;0,A2,IF((CELL(A2)=NULL),NA(),NA()))</f>
        <v>1</v>
      </c>
      <c r="B49" s="106">
        <f>IF(Y2+Z2&gt;0,Y2+Z2,NA())</f>
        <v>560.29666666666662</v>
      </c>
    </row>
    <row r="50" spans="1:20">
      <c r="A50">
        <f ca="1">IF(A3&gt;0,A3,IF((CELL(A3)=NULL),NA(),NA()))</f>
        <v>2</v>
      </c>
      <c r="B50" s="106">
        <f t="shared" ref="B50:B83" si="5">IF(Y3+Z3&gt;0,Y3+Z3,NA())</f>
        <v>568.23296666666658</v>
      </c>
    </row>
    <row r="51" spans="1:20">
      <c r="A51">
        <f ca="1">IF(A4&gt;0,A4,IF((CELL(A4)=NULL),NA(),NA()))</f>
        <v>3</v>
      </c>
      <c r="B51" s="106">
        <f t="shared" si="5"/>
        <v>576.29529633333334</v>
      </c>
    </row>
    <row r="52" spans="1:20">
      <c r="A52">
        <f ca="1">IF(A5&gt;0,A5,IF((CELL(A5)=NULL),NA(),NA()))</f>
        <v>4</v>
      </c>
      <c r="B52" s="106">
        <f t="shared" si="5"/>
        <v>584.48584929666663</v>
      </c>
    </row>
    <row r="53" spans="1:20">
      <c r="A53">
        <f ca="1">IF(A6&gt;0,A6,IF((CELL(A6)=NULL),NA(),NA()))</f>
        <v>5</v>
      </c>
      <c r="B53" s="106">
        <f t="shared" si="5"/>
        <v>592.80685978963334</v>
      </c>
    </row>
    <row r="54" spans="1:20">
      <c r="A54">
        <f ca="1">IF(A7&gt;0,A7,IF((CELL(A7)=NULL),NA(),NA()))</f>
        <v>6</v>
      </c>
      <c r="B54" s="106">
        <f t="shared" si="5"/>
        <v>601.26060342752965</v>
      </c>
    </row>
    <row r="55" spans="1:20">
      <c r="A55">
        <f ca="1">IF(A8&gt;0,A8,IF((CELL(A8)=NULL),NA(),NA()))</f>
        <v>7</v>
      </c>
      <c r="B55" s="106">
        <f t="shared" si="5"/>
        <v>609.84939800260497</v>
      </c>
    </row>
    <row r="56" spans="1:20">
      <c r="A56" t="str">
        <f ca="1">IF(A9&gt;0,A9,IF((CELL(A9)=NULL),NA(),NA()))</f>
        <v/>
      </c>
      <c r="B56" s="106" t="e">
        <f t="shared" si="5"/>
        <v>#N/A</v>
      </c>
    </row>
    <row r="57" spans="1:20">
      <c r="A57" t="str">
        <f ca="1">IF(A10&gt;0,A10,IF((CELL(A10)=NULL),NA(),NA()))</f>
        <v/>
      </c>
      <c r="B57" s="106" t="e">
        <f t="shared" si="5"/>
        <v>#N/A</v>
      </c>
    </row>
    <row r="58" spans="1:20">
      <c r="A58" t="str">
        <f ca="1">IF(A11&gt;0,A11,IF((CELL(A11)=NULL),NA(),NA()))</f>
        <v/>
      </c>
      <c r="B58" s="106" t="e">
        <f t="shared" si="5"/>
        <v>#N/A</v>
      </c>
      <c r="T58" t="str">
        <f>IF(COUNT(A15)&gt;0,A15,"")</f>
        <v/>
      </c>
    </row>
    <row r="59" spans="1:20">
      <c r="A59" t="str">
        <f ca="1">IF(A12&gt;0,A12,IF((CELL(A12)=NULL),NA(),NA()))</f>
        <v/>
      </c>
      <c r="B59" s="106" t="e">
        <f t="shared" si="5"/>
        <v>#N/A</v>
      </c>
    </row>
    <row r="60" spans="1:20">
      <c r="A60" t="str">
        <f ca="1">IF(A13&gt;0,A13,IF((CELL(A13)=NULL),NA(),NA()))</f>
        <v/>
      </c>
      <c r="B60" s="106" t="e">
        <f t="shared" si="5"/>
        <v>#N/A</v>
      </c>
    </row>
    <row r="61" spans="1:20">
      <c r="A61" t="str">
        <f ca="1">IF(A14&gt;0,A14,IF((CELL(A14)=NULL),NA(),NA()))</f>
        <v/>
      </c>
      <c r="B61" s="106" t="e">
        <f t="shared" si="5"/>
        <v>#N/A</v>
      </c>
    </row>
    <row r="62" spans="1:20">
      <c r="A62" t="str">
        <f ca="1">IF(A15&gt;0,A15,IF((CELL(A15)=NULL),NA(),NA()))</f>
        <v/>
      </c>
      <c r="B62" s="106" t="e">
        <f t="shared" si="5"/>
        <v>#N/A</v>
      </c>
    </row>
    <row r="63" spans="1:20">
      <c r="A63" t="str">
        <f ca="1">IF(A16&gt;0,A16,IF((CELL(A16)=NULL),NA(),NA()))</f>
        <v/>
      </c>
      <c r="B63" s="106" t="e">
        <f t="shared" si="5"/>
        <v>#N/A</v>
      </c>
    </row>
    <row r="64" spans="1:20">
      <c r="A64" t="str">
        <f ca="1">IF(A17&gt;0,A17,IF((CELL(A17)=NULL),NA(),NA()))</f>
        <v/>
      </c>
      <c r="B64" s="106" t="e">
        <f t="shared" si="5"/>
        <v>#N/A</v>
      </c>
    </row>
    <row r="65" spans="1:2">
      <c r="A65" t="str">
        <f ca="1">IF(A18&gt;0,A18,IF((CELL(A18)=NULL),NA(),NA()))</f>
        <v/>
      </c>
      <c r="B65" s="106" t="e">
        <f t="shared" si="5"/>
        <v>#N/A</v>
      </c>
    </row>
    <row r="66" spans="1:2">
      <c r="A66" t="str">
        <f ca="1">IF(A19&gt;0,A19,IF((CELL(A19)=NULL),NA(),NA()))</f>
        <v/>
      </c>
      <c r="B66" s="106" t="e">
        <f t="shared" si="5"/>
        <v>#N/A</v>
      </c>
    </row>
    <row r="67" spans="1:2">
      <c r="A67" t="str">
        <f ca="1">IF(A20&gt;0,A20,IF((CELL(A20)=NULL),NA(),NA()))</f>
        <v/>
      </c>
      <c r="B67" s="106" t="e">
        <f t="shared" si="5"/>
        <v>#N/A</v>
      </c>
    </row>
    <row r="68" spans="1:2">
      <c r="A68" t="str">
        <f ca="1">IF(A21&gt;0,A21,IF((CELL(A21)=NULL),NA(),NA()))</f>
        <v/>
      </c>
      <c r="B68" s="106" t="e">
        <f t="shared" si="5"/>
        <v>#N/A</v>
      </c>
    </row>
    <row r="69" spans="1:2">
      <c r="A69" t="str">
        <f ca="1">IF(A22&gt;0,A22,IF((CELL(A22)=NULL),NA(),NA()))</f>
        <v/>
      </c>
      <c r="B69" s="106" t="e">
        <f t="shared" si="5"/>
        <v>#N/A</v>
      </c>
    </row>
    <row r="70" spans="1:2">
      <c r="A70" t="str">
        <f ca="1">IF(A23&gt;0,A23,IF((CELL(A23)=NULL),NA(),NA()))</f>
        <v/>
      </c>
      <c r="B70" s="106" t="e">
        <f t="shared" si="5"/>
        <v>#N/A</v>
      </c>
    </row>
    <row r="71" spans="1:2">
      <c r="A71" t="str">
        <f ca="1">IF(A24&gt;0,A24,IF((CELL(A24)=NULL),NA(),NA()))</f>
        <v/>
      </c>
      <c r="B71" s="106" t="e">
        <f t="shared" si="5"/>
        <v>#N/A</v>
      </c>
    </row>
    <row r="72" spans="1:2">
      <c r="A72" t="str">
        <f ca="1">IF(A25&gt;0,A25,IF((CELL(A25)=NULL),NA(),NA()))</f>
        <v/>
      </c>
      <c r="B72" s="106" t="e">
        <f t="shared" si="5"/>
        <v>#N/A</v>
      </c>
    </row>
    <row r="73" spans="1:2">
      <c r="A73" t="str">
        <f ca="1">IF(A26&gt;0,A26,IF((CELL(A26)=NULL),NA(),NA()))</f>
        <v/>
      </c>
      <c r="B73" s="106" t="e">
        <f t="shared" si="5"/>
        <v>#N/A</v>
      </c>
    </row>
    <row r="74" spans="1:2">
      <c r="A74" t="str">
        <f ca="1">IF(A27&gt;0,A27,IF((CELL(A27)=NULL),NA(),NA()))</f>
        <v/>
      </c>
      <c r="B74" s="106" t="e">
        <f t="shared" si="5"/>
        <v>#N/A</v>
      </c>
    </row>
    <row r="75" spans="1:2">
      <c r="A75" t="str">
        <f ca="1">IF(A28&gt;0,A28,IF((CELL(A28)=NULL),NA(),NA()))</f>
        <v/>
      </c>
      <c r="B75" s="106" t="e">
        <f t="shared" si="5"/>
        <v>#N/A</v>
      </c>
    </row>
    <row r="76" spans="1:2">
      <c r="A76" t="str">
        <f ca="1">IF(A29&gt;0,A29,IF((CELL(A29)=NULL),NA(),NA()))</f>
        <v/>
      </c>
      <c r="B76" s="106" t="e">
        <f t="shared" si="5"/>
        <v>#N/A</v>
      </c>
    </row>
    <row r="77" spans="1:2">
      <c r="A77" t="str">
        <f ca="1">IF(A30&gt;0,A30,IF((CELL(A30)=NULL),NA(),NA()))</f>
        <v/>
      </c>
      <c r="B77" s="106" t="e">
        <f t="shared" si="5"/>
        <v>#N/A</v>
      </c>
    </row>
    <row r="78" spans="1:2">
      <c r="A78" t="str">
        <f ca="1">IF(A31&gt;0,A31,IF((CELL(A31)=NULL),NA(),NA()))</f>
        <v/>
      </c>
      <c r="B78" s="106" t="e">
        <f t="shared" si="5"/>
        <v>#N/A</v>
      </c>
    </row>
    <row r="79" spans="1:2">
      <c r="A79" t="str">
        <f ca="1">IF(A32&gt;0,A32,IF((CELL(A32)=NULL),NA(),NA()))</f>
        <v/>
      </c>
      <c r="B79" s="106" t="e">
        <f t="shared" si="5"/>
        <v>#N/A</v>
      </c>
    </row>
    <row r="80" spans="1:2">
      <c r="A80" t="str">
        <f ca="1">IF(A33&gt;0,A33,IF((CELL(A33)=NULL),NA(),NA()))</f>
        <v/>
      </c>
      <c r="B80" s="106" t="e">
        <f t="shared" si="5"/>
        <v>#N/A</v>
      </c>
    </row>
    <row r="81" spans="1:2">
      <c r="A81" t="str">
        <f ca="1">IF(A34&gt;0,A34,IF((CELL(A34)=NULL),NA(),NA()))</f>
        <v/>
      </c>
      <c r="B81" s="106" t="e">
        <f t="shared" si="5"/>
        <v>#N/A</v>
      </c>
    </row>
    <row r="82" spans="1:2">
      <c r="A82" t="str">
        <f ca="1">IF(A35&gt;0,A35,IF((CELL(A35)=NULL),NA(),NA()))</f>
        <v/>
      </c>
      <c r="B82" s="106" t="e">
        <f t="shared" si="5"/>
        <v>#N/A</v>
      </c>
    </row>
    <row r="83" spans="1:2">
      <c r="A83" t="str">
        <f ca="1">IF(A36&gt;0,A36,IF((CELL(A36)=NULL),NA(),NA()))</f>
        <v/>
      </c>
      <c r="B83" s="106" t="e">
        <f t="shared" si="5"/>
        <v>#N/A</v>
      </c>
    </row>
    <row r="84" spans="1:2">
      <c r="A84" t="str">
        <f t="shared" ref="A84:A113" si="6">A37</f>
        <v>TOTAL</v>
      </c>
    </row>
    <row r="85" spans="1:2">
      <c r="A85">
        <f t="shared" si="6"/>
        <v>0</v>
      </c>
    </row>
    <row r="86" spans="1:2">
      <c r="A86">
        <f t="shared" si="6"/>
        <v>0</v>
      </c>
    </row>
    <row r="87" spans="1:2">
      <c r="A87">
        <f t="shared" si="6"/>
        <v>0</v>
      </c>
    </row>
    <row r="88" spans="1:2">
      <c r="A88">
        <f t="shared" si="6"/>
        <v>0</v>
      </c>
    </row>
    <row r="89" spans="1:2">
      <c r="A89" t="str">
        <f t="shared" si="6"/>
        <v>Planning and Discovery Cost</v>
      </c>
    </row>
    <row r="90" spans="1:2">
      <c r="A90" t="str">
        <f t="shared" si="6"/>
        <v>Onboarding Cost</v>
      </c>
    </row>
    <row r="91" spans="1:2">
      <c r="A91" t="str">
        <f t="shared" si="6"/>
        <v>Active Cost</v>
      </c>
    </row>
    <row r="92" spans="1:2">
      <c r="A92" t="str">
        <f t="shared" si="6"/>
        <v>Export Cost</v>
      </c>
    </row>
    <row r="93" spans="1:2">
      <c r="A93">
        <f t="shared" si="6"/>
        <v>0</v>
      </c>
    </row>
    <row r="94" spans="1:2">
      <c r="A94">
        <f t="shared" si="6"/>
        <v>0</v>
      </c>
    </row>
    <row r="95" spans="1:2">
      <c r="A95" t="str">
        <f t="shared" si="6"/>
        <v>CHART</v>
      </c>
    </row>
    <row r="96" spans="1:2">
      <c r="A96">
        <f t="shared" ca="1" si="6"/>
        <v>1</v>
      </c>
    </row>
    <row r="97" spans="1:1">
      <c r="A97">
        <f t="shared" ca="1" si="6"/>
        <v>2</v>
      </c>
    </row>
    <row r="98" spans="1:1">
      <c r="A98">
        <f t="shared" ca="1" si="6"/>
        <v>3</v>
      </c>
    </row>
    <row r="99" spans="1:1">
      <c r="A99">
        <f t="shared" ca="1" si="6"/>
        <v>4</v>
      </c>
    </row>
    <row r="100" spans="1:1">
      <c r="A100">
        <f t="shared" ca="1" si="6"/>
        <v>5</v>
      </c>
    </row>
    <row r="101" spans="1:1">
      <c r="A101">
        <f t="shared" ca="1" si="6"/>
        <v>6</v>
      </c>
    </row>
    <row r="102" spans="1:1">
      <c r="A102">
        <f t="shared" ca="1" si="6"/>
        <v>7</v>
      </c>
    </row>
    <row r="103" spans="1:1">
      <c r="A103" t="str">
        <f t="shared" ca="1" si="6"/>
        <v/>
      </c>
    </row>
    <row r="104" spans="1:1">
      <c r="A104" t="str">
        <f t="shared" ca="1" si="6"/>
        <v/>
      </c>
    </row>
    <row r="105" spans="1:1">
      <c r="A105" t="str">
        <f t="shared" ca="1" si="6"/>
        <v/>
      </c>
    </row>
    <row r="106" spans="1:1">
      <c r="A106" t="str">
        <f t="shared" ca="1" si="6"/>
        <v/>
      </c>
    </row>
    <row r="107" spans="1:1">
      <c r="A107" t="str">
        <f t="shared" ca="1" si="6"/>
        <v/>
      </c>
    </row>
    <row r="108" spans="1:1">
      <c r="A108" t="str">
        <f t="shared" ca="1" si="6"/>
        <v/>
      </c>
    </row>
    <row r="109" spans="1:1">
      <c r="A109" t="str">
        <f t="shared" ca="1" si="6"/>
        <v/>
      </c>
    </row>
    <row r="110" spans="1:1">
      <c r="A110" t="str">
        <f t="shared" ca="1" si="6"/>
        <v/>
      </c>
    </row>
    <row r="111" spans="1:1">
      <c r="A111" t="str">
        <f t="shared" ca="1" si="6"/>
        <v/>
      </c>
    </row>
    <row r="112" spans="1:1">
      <c r="A112" t="str">
        <f t="shared" ca="1" si="6"/>
        <v/>
      </c>
    </row>
    <row r="113" spans="1:1">
      <c r="A113" t="str">
        <f t="shared" ca="1" si="6"/>
        <v/>
      </c>
    </row>
    <row r="114" spans="1:1">
      <c r="A114" t="str">
        <f t="shared" ref="A114:A131" ca="1" si="7">A67</f>
        <v/>
      </c>
    </row>
    <row r="115" spans="1:1">
      <c r="A115" t="str">
        <f t="shared" ca="1" si="7"/>
        <v/>
      </c>
    </row>
    <row r="116" spans="1:1">
      <c r="A116" t="str">
        <f t="shared" ca="1" si="7"/>
        <v/>
      </c>
    </row>
    <row r="117" spans="1:1">
      <c r="A117" t="str">
        <f t="shared" ca="1" si="7"/>
        <v/>
      </c>
    </row>
    <row r="118" spans="1:1">
      <c r="A118" t="str">
        <f t="shared" ca="1" si="7"/>
        <v/>
      </c>
    </row>
    <row r="119" spans="1:1">
      <c r="A119" t="str">
        <f t="shared" ca="1" si="7"/>
        <v/>
      </c>
    </row>
    <row r="120" spans="1:1">
      <c r="A120" t="str">
        <f t="shared" ca="1" si="7"/>
        <v/>
      </c>
    </row>
    <row r="121" spans="1:1">
      <c r="A121" t="str">
        <f t="shared" ca="1" si="7"/>
        <v/>
      </c>
    </row>
    <row r="122" spans="1:1">
      <c r="A122" t="str">
        <f t="shared" ca="1" si="7"/>
        <v/>
      </c>
    </row>
    <row r="123" spans="1:1">
      <c r="A123" t="str">
        <f t="shared" ca="1" si="7"/>
        <v/>
      </c>
    </row>
    <row r="124" spans="1:1">
      <c r="A124" t="str">
        <f t="shared" ca="1" si="7"/>
        <v/>
      </c>
    </row>
    <row r="125" spans="1:1">
      <c r="A125" t="str">
        <f t="shared" ca="1" si="7"/>
        <v/>
      </c>
    </row>
    <row r="126" spans="1:1">
      <c r="A126" t="str">
        <f t="shared" ca="1" si="7"/>
        <v/>
      </c>
    </row>
    <row r="127" spans="1:1">
      <c r="A127" t="str">
        <f t="shared" ca="1" si="7"/>
        <v/>
      </c>
    </row>
    <row r="128" spans="1:1">
      <c r="A128" t="str">
        <f t="shared" ca="1" si="7"/>
        <v/>
      </c>
    </row>
    <row r="129" spans="1:1">
      <c r="A129" t="str">
        <f t="shared" ca="1" si="7"/>
        <v/>
      </c>
    </row>
    <row r="130" spans="1:1">
      <c r="A130" t="str">
        <f t="shared" ca="1" si="7"/>
        <v/>
      </c>
    </row>
    <row r="131" spans="1:1">
      <c r="A131" t="str">
        <f t="shared" si="7"/>
        <v>TOTAL</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9" tint="-0.499984740745262"/>
  </sheetPr>
  <dimension ref="A1:AE43"/>
  <sheetViews>
    <sheetView topLeftCell="A16" zoomScale="59" zoomScaleNormal="59" workbookViewId="0">
      <selection activeCell="F1" sqref="F1"/>
    </sheetView>
  </sheetViews>
  <sheetFormatPr defaultRowHeight="15"/>
  <cols>
    <col min="1" max="1" width="27.28515625" customWidth="1"/>
    <col min="2" max="2" width="19.85546875" customWidth="1"/>
    <col min="3" max="3" width="12.85546875" customWidth="1"/>
    <col min="4" max="4" width="11.85546875" customWidth="1"/>
    <col min="5" max="5" width="17.7109375" customWidth="1"/>
    <col min="8" max="8" width="9.7109375" customWidth="1"/>
    <col min="9" max="9" width="23.28515625" customWidth="1"/>
    <col min="10" max="10" width="23.140625" bestFit="1" customWidth="1"/>
    <col min="11" max="11" width="21.42578125" bestFit="1" customWidth="1"/>
    <col min="12" max="12" width="20.42578125" bestFit="1" customWidth="1"/>
    <col min="13" max="13" width="14" bestFit="1" customWidth="1"/>
    <col min="14" max="14" width="17.42578125" customWidth="1"/>
    <col min="15" max="15" width="12.42578125" hidden="1" customWidth="1"/>
    <col min="16" max="16" width="11.5703125" hidden="1" customWidth="1"/>
    <col min="17" max="17" width="13.28515625" hidden="1" customWidth="1"/>
    <col min="18" max="18" width="14" hidden="1" customWidth="1"/>
    <col min="19" max="19" width="11.140625" hidden="1" customWidth="1"/>
    <col min="20" max="21" width="13.7109375" hidden="1" customWidth="1"/>
    <col min="22" max="22" width="13.28515625" hidden="1" customWidth="1"/>
    <col min="23" max="23" width="14.7109375" hidden="1" customWidth="1"/>
    <col min="24" max="24" width="15" hidden="1" customWidth="1"/>
    <col min="25" max="25" width="12.7109375" hidden="1" customWidth="1"/>
    <col min="26" max="26" width="13" hidden="1" customWidth="1"/>
    <col min="27" max="27" width="10.5703125" hidden="1" customWidth="1"/>
    <col min="28" max="28" width="11.28515625" hidden="1" customWidth="1"/>
    <col min="29" max="29" width="15.42578125" hidden="1" customWidth="1"/>
    <col min="30" max="30" width="16" hidden="1" customWidth="1"/>
    <col min="31" max="31" width="13.42578125" bestFit="1" customWidth="1"/>
  </cols>
  <sheetData>
    <row r="1" spans="1:31">
      <c r="B1" t="s">
        <v>304</v>
      </c>
      <c r="C1" t="str">
        <f>'Active Project'!C6:H6</f>
        <v>CVP-Volpe-IE</v>
      </c>
      <c r="E1" t="s">
        <v>310</v>
      </c>
      <c r="F1" s="150">
        <f>VLOOKUP($C$1,Inputs!$A$13:$Q$30,17)</f>
        <v>0.04</v>
      </c>
      <c r="G1" s="150"/>
      <c r="H1" t="s">
        <v>312</v>
      </c>
      <c r="J1" s="15">
        <v>17</v>
      </c>
      <c r="K1" s="15"/>
      <c r="L1" s="15"/>
      <c r="M1" s="15"/>
    </row>
    <row r="2" spans="1:31">
      <c r="B2" t="s">
        <v>305</v>
      </c>
      <c r="C2">
        <f>IF('Active Project'!C8&gt;'Active Project'!H31,'Active Project'!C8,'Active Project'!H31)</f>
        <v>12</v>
      </c>
      <c r="E2" t="s">
        <v>307</v>
      </c>
      <c r="F2">
        <f>'Active Project'!C8</f>
        <v>12</v>
      </c>
      <c r="H2" t="s">
        <v>30</v>
      </c>
      <c r="J2" t="str">
        <f>'Active Project'!H27</f>
        <v>Bronze</v>
      </c>
    </row>
    <row r="3" spans="1:31">
      <c r="B3" t="s">
        <v>306</v>
      </c>
      <c r="C3">
        <f>IF('Active Project'!D23&gt;'Active Project'!H23,'Active Project'!D23,'Active Project'!H23)</f>
        <v>10</v>
      </c>
      <c r="E3" t="s">
        <v>308</v>
      </c>
      <c r="F3">
        <f>'Active Project'!D23</f>
        <v>5</v>
      </c>
      <c r="H3" t="s">
        <v>313</v>
      </c>
      <c r="J3">
        <f>'Active Project'!H28</f>
        <v>3</v>
      </c>
    </row>
    <row r="4" spans="1:31">
      <c r="B4" t="s">
        <v>167</v>
      </c>
      <c r="C4" t="str">
        <f>IF('Active Project'!C33="Yes","Yes","No")</f>
        <v>No</v>
      </c>
      <c r="D4" t="e">
        <f>IF(C4="Yes",'Active Project'!C35,NA())</f>
        <v>#N/A</v>
      </c>
    </row>
    <row r="6" spans="1:31">
      <c r="B6" s="253" t="s">
        <v>23</v>
      </c>
      <c r="C6" s="253"/>
      <c r="D6" s="253"/>
      <c r="E6" s="253"/>
      <c r="F6" s="253"/>
      <c r="G6" s="77"/>
      <c r="H6" s="253" t="s">
        <v>309</v>
      </c>
      <c r="I6" s="253"/>
      <c r="J6" s="253"/>
      <c r="K6" s="253"/>
      <c r="L6" s="253"/>
      <c r="M6" s="253"/>
      <c r="N6" s="253"/>
      <c r="O6" s="254" t="s">
        <v>318</v>
      </c>
      <c r="P6" s="254"/>
      <c r="Q6" s="254"/>
      <c r="R6" s="254"/>
      <c r="S6" s="254"/>
      <c r="T6" s="254"/>
      <c r="U6" s="254"/>
      <c r="V6" s="254"/>
      <c r="W6" s="254"/>
      <c r="X6" s="254"/>
      <c r="Y6" s="254"/>
      <c r="Z6" s="254"/>
      <c r="AA6" s="152"/>
      <c r="AB6" s="152"/>
      <c r="AC6" s="152"/>
    </row>
    <row r="7" spans="1:31" ht="60">
      <c r="B7" t="s">
        <v>180</v>
      </c>
      <c r="C7" t="s">
        <v>204</v>
      </c>
      <c r="D7" t="s">
        <v>202</v>
      </c>
      <c r="E7" t="s">
        <v>13</v>
      </c>
      <c r="H7" t="s">
        <v>319</v>
      </c>
      <c r="I7" t="s">
        <v>204</v>
      </c>
      <c r="J7" t="s">
        <v>314</v>
      </c>
      <c r="K7" t="s">
        <v>316</v>
      </c>
      <c r="L7" t="s">
        <v>315</v>
      </c>
      <c r="M7" t="s">
        <v>317</v>
      </c>
      <c r="N7" t="s">
        <v>13</v>
      </c>
      <c r="O7" s="145" t="s">
        <v>274</v>
      </c>
      <c r="P7" s="145" t="s">
        <v>273</v>
      </c>
      <c r="Q7" s="145" t="s">
        <v>272</v>
      </c>
      <c r="R7" s="145" t="s">
        <v>277</v>
      </c>
      <c r="S7" s="145" t="s">
        <v>276</v>
      </c>
      <c r="T7" s="145" t="s">
        <v>275</v>
      </c>
      <c r="U7" s="145" t="s">
        <v>280</v>
      </c>
      <c r="V7" s="145" t="s">
        <v>279</v>
      </c>
      <c r="W7" s="145" t="s">
        <v>278</v>
      </c>
      <c r="X7" s="145" t="s">
        <v>283</v>
      </c>
      <c r="Y7" s="145" t="s">
        <v>282</v>
      </c>
      <c r="Z7" s="145" t="s">
        <v>281</v>
      </c>
      <c r="AA7" s="145" t="s">
        <v>321</v>
      </c>
      <c r="AB7" s="145" t="s">
        <v>38</v>
      </c>
      <c r="AC7" s="145" t="s">
        <v>322</v>
      </c>
      <c r="AD7" s="153" t="s">
        <v>320</v>
      </c>
      <c r="AE7" s="151" t="s">
        <v>323</v>
      </c>
    </row>
    <row r="8" spans="1:31">
      <c r="A8">
        <v>1</v>
      </c>
      <c r="B8">
        <f>'Active Project'!C14</f>
        <v>20.96</v>
      </c>
      <c r="C8">
        <f>IF(COUNT(A8)&gt;0,'Active Project'!$C$16,0)</f>
        <v>0</v>
      </c>
      <c r="D8">
        <f>IF(COUNT(A8)&gt;0,'Active Project'!$C$12,0)</f>
        <v>0</v>
      </c>
      <c r="E8" s="15">
        <f>IF(COUNT(A8)&gt;0,'Active Project'!$C$18,0)</f>
        <v>6126.9326888888891</v>
      </c>
      <c r="G8">
        <v>1</v>
      </c>
      <c r="H8">
        <f>IF(COUNT(G8)&gt;0,('Active Project'!$C$14),0)</f>
        <v>20.96</v>
      </c>
      <c r="I8" s="15">
        <f>IF(COUNT(G8)&gt;0,('Active Project'!$C$16+($C$3-$F$3)*$J$1),0)</f>
        <v>85</v>
      </c>
      <c r="J8" s="15">
        <f>IF(AND((COUNT($G8)&gt;0),(G8&lt;=$J$3)),'Enablement Services'!$C$35+'Enablement Services'!$C$36+D8,D8)</f>
        <v>12500</v>
      </c>
      <c r="K8" s="15">
        <f>IF(AND((COUNT($G8)&gt;0),(G8&lt;=$J$3)),'Enablement Services'!$C$25+'Enablement Services'!$C$26+D8,D8)</f>
        <v>18000</v>
      </c>
      <c r="L8" s="15">
        <f>IF(AND((COUNT($G8)&gt;0),(G8&lt;=$J$3)),'Enablement Services'!$C$14+'Enablement Services'!$C$15+D8,D8)</f>
        <v>25000</v>
      </c>
      <c r="M8" s="15">
        <f t="shared" ref="M8:M42" si="0">IF($J$2="None",D8,IF($J$2="Gold",L8,IF($J$2="Silver",K8,J8)))</f>
        <v>12500</v>
      </c>
      <c r="N8" s="15">
        <f>IF(COUNT(G8)&gt;0,'Active Project'!$C$18,0)</f>
        <v>6126.9326888888891</v>
      </c>
      <c r="O8" s="106">
        <f>IF(COUNT($G8)&gt;0,'Cloud Consumption'!B20,0)</f>
        <v>69.39</v>
      </c>
      <c r="P8" s="106">
        <f>IF(COUNT($G8)&gt;0,'Cloud Consumption'!C20,0)</f>
        <v>121.76750000000001</v>
      </c>
      <c r="Q8" s="106">
        <f>IF(COUNT($G8)&gt;0,'Cloud Consumption'!D20,0)</f>
        <v>173.34</v>
      </c>
      <c r="R8" s="106">
        <f>IF(COUNT($G8)&gt;0,'Cloud Consumption'!B21,0)</f>
        <v>233.33333333333334</v>
      </c>
      <c r="S8" s="106">
        <f>IF(COUNT($G8)&gt;0,'Cloud Consumption'!C21,0)</f>
        <v>466.66666666666669</v>
      </c>
      <c r="T8" s="106">
        <f>IF(COUNT($G8)&gt;0,'Cloud Consumption'!D21,0)</f>
        <v>700</v>
      </c>
      <c r="U8" s="106">
        <f>IF(COUNT($G8)&gt;0,'Cloud Consumption'!B22,0)</f>
        <v>132.32</v>
      </c>
      <c r="V8" s="106">
        <f>IF(COUNT($G8)&gt;0,'Cloud Consumption'!C22,0)</f>
        <v>264.64</v>
      </c>
      <c r="W8" s="106">
        <f>IF(COUNT($G8)&gt;0,'Cloud Consumption'!D22,0)</f>
        <v>396.96</v>
      </c>
      <c r="X8" s="106">
        <f>IF(COUNT($G8)&gt;0,'Cloud Consumption'!B23,0)</f>
        <v>394.33333333333331</v>
      </c>
      <c r="Y8" s="106">
        <f>IF(COUNT($G8)&gt;0,'Cloud Consumption'!C23,0)</f>
        <v>788.66666666666663</v>
      </c>
      <c r="Z8" s="106">
        <f>IF(COUNT($G8)&gt;0,'Cloud Consumption'!D23,0)</f>
        <v>1183</v>
      </c>
      <c r="AA8" s="106">
        <f>O8+R8+U8</f>
        <v>435.04333333333335</v>
      </c>
      <c r="AB8" s="106">
        <f>P8+S8+V8</f>
        <v>853.07416666666666</v>
      </c>
      <c r="AC8" s="106">
        <f>Q8+T8+Z8</f>
        <v>2056.34</v>
      </c>
      <c r="AD8" s="106">
        <f>IF($C$4="Yes",IF($D$4="High",AC8,IF($D$4="Medium",AB8,AA8)),0)</f>
        <v>0</v>
      </c>
      <c r="AE8" s="106">
        <f>AD8+B8</f>
        <v>20.96</v>
      </c>
    </row>
    <row r="9" spans="1:31">
      <c r="A9">
        <f>IF(ROW()&lt;=$F$2+7,A8+1,"")</f>
        <v>2</v>
      </c>
      <c r="B9">
        <f>IF(COUNT(A9)&gt;0,B8*(1+$F$1),0)</f>
        <v>21.798400000000001</v>
      </c>
      <c r="C9">
        <f>IF(COUNTA(A9)&gt;0,C8*(1+$F$1),0)</f>
        <v>0</v>
      </c>
      <c r="D9">
        <f>IF(COUNT(A9)&gt;0,'Active Project'!$C$12,0)</f>
        <v>0</v>
      </c>
      <c r="E9" s="15">
        <f>IF(COUNT(A9)&gt;0,'Active Project'!$C$18,0)</f>
        <v>6126.9326888888891</v>
      </c>
      <c r="G9">
        <f>IF(ROW()&lt;=$C$2+7,G8+1,"")</f>
        <v>2</v>
      </c>
      <c r="H9">
        <f>IF(COUNT(G9)&gt;0,H8*(1+$F$1),0)</f>
        <v>21.798400000000001</v>
      </c>
      <c r="I9" s="15">
        <f t="shared" ref="I9:I42" si="1">IF(COUNT(G9)&gt;0,I8*(1+$F$1),0)</f>
        <v>88.4</v>
      </c>
      <c r="J9" s="15">
        <f>IF(AND((COUNT($G9)&gt;0),(G9&lt;=$J$3)),'Enablement Services'!$C$35+'Enablement Services'!$C$36+D9,D9)</f>
        <v>12500</v>
      </c>
      <c r="K9" s="15">
        <f>IF(AND((COUNT($G9)&gt;0),(G9&lt;=$J$3)),'Enablement Services'!$C$25+'Enablement Services'!$C$26+D9,D9)</f>
        <v>18000</v>
      </c>
      <c r="L9" s="15">
        <f>IF(AND((COUNT($G9)&gt;0),(G9&lt;=$J$3)),'Enablement Services'!$C$14+'Enablement Services'!$C$15+D9,D9)</f>
        <v>25000</v>
      </c>
      <c r="M9" s="15">
        <f t="shared" si="0"/>
        <v>12500</v>
      </c>
      <c r="N9" s="15">
        <f>IF(COUNT(G9)&gt;0,'Active Project'!$C$18,0)</f>
        <v>6126.9326888888891</v>
      </c>
      <c r="O9" s="106">
        <f>IF(COUNT($G9)&gt;0,(O8*(1+'Cloud Consumption'!E$20)),0)</f>
        <v>70.0839</v>
      </c>
      <c r="P9" s="106">
        <f>IF(COUNT($G9)&gt;0,(P8*(1+'Cloud Consumption'!F$20)),0)</f>
        <v>125.42052500000001</v>
      </c>
      <c r="Q9" s="106">
        <f>IF(COUNT($G9)&gt;0,(Q8*(1+'Cloud Consumption'!G$20)),0)</f>
        <v>182.00700000000001</v>
      </c>
      <c r="R9" s="106">
        <f>IF(COUNT($G9)&gt;0,(R8*(1+'Cloud Consumption'!E$21)),0)</f>
        <v>238</v>
      </c>
      <c r="S9" s="106">
        <f>IF(COUNT($G9)&gt;0,(S8*(1+'Cloud Consumption'!F$21)),0)</f>
        <v>490.00000000000006</v>
      </c>
      <c r="T9" s="106">
        <f>IF(COUNT($G9)&gt;0,(T8*(1+'Cloud Consumption'!G$21)),0)</f>
        <v>770.00000000000011</v>
      </c>
      <c r="U9" s="106">
        <f>IF(COUNT($G9)&gt;0,(U8*(1+'Cloud Consumption'!E$22)),0)</f>
        <v>133.64320000000001</v>
      </c>
      <c r="V9" s="106">
        <f>IF(COUNT($G9)&gt;0,(V8*(1+'Cloud Consumption'!F$22)),0)</f>
        <v>269.93279999999999</v>
      </c>
      <c r="W9" s="106">
        <f>IF(COUNT($G9)&gt;0,(W8*(1+'Cloud Consumption'!G$22)),0)</f>
        <v>408.86879999999996</v>
      </c>
      <c r="X9" s="106">
        <f>IF(COUNT($G9)&gt;0,(X8*(1+'Cloud Consumption'!E$23)),0)</f>
        <v>394.53049999999996</v>
      </c>
      <c r="Y9" s="106">
        <f>IF(COUNT($G9)&gt;0,(Y8*(1+'Cloud Consumption'!F$23)),0)</f>
        <v>796.55333333333328</v>
      </c>
      <c r="Z9" s="106">
        <f>IF(COUNT($G9)&gt;0,(Z8*(1+'Cloud Consumption'!G$23)),0)</f>
        <v>1206.6600000000001</v>
      </c>
      <c r="AA9" s="106">
        <f t="shared" ref="AA9:AA42" si="2">O9+R9+U9</f>
        <v>441.72709999999995</v>
      </c>
      <c r="AB9" s="106">
        <f t="shared" ref="AB9:AB42" si="3">P9+S9+V9</f>
        <v>885.35332500000004</v>
      </c>
      <c r="AC9" s="106">
        <f t="shared" ref="AC9:AC42" si="4">Q9+T9+Z9</f>
        <v>2158.6670000000004</v>
      </c>
      <c r="AD9" s="106">
        <f t="shared" ref="AD9:AD42" si="5">IF($C$4="Yes",IF($D$4="High",AC9,IF($D$4="Medium",AB9,AA9)),0)</f>
        <v>0</v>
      </c>
      <c r="AE9" s="106">
        <f t="shared" ref="AE9:AE42" si="6">AD9+B9</f>
        <v>21.798400000000001</v>
      </c>
    </row>
    <row r="10" spans="1:31">
      <c r="A10">
        <f t="shared" ref="A10:A42" si="7">IF(ROW()&lt;=$F$2+7,A9+1,"")</f>
        <v>3</v>
      </c>
      <c r="B10">
        <f t="shared" ref="B10:B42" si="8">IF(COUNT(A10)&gt;0,B9*(1+$F$1),0)</f>
        <v>22.670336000000002</v>
      </c>
      <c r="C10">
        <f t="shared" ref="C10:C42" si="9">IF(COUNTA(A10)&gt;0,C9*(1+$F$1),0)</f>
        <v>0</v>
      </c>
      <c r="D10">
        <f>IF(COUNT(A10)&gt;0,'Active Project'!$C$12,0)</f>
        <v>0</v>
      </c>
      <c r="E10" s="15">
        <f>IF(COUNT(A10)&gt;0,'Active Project'!$C$18,0)</f>
        <v>6126.9326888888891</v>
      </c>
      <c r="G10">
        <f t="shared" ref="G10:G42" si="10">IF(ROW()&lt;=$C$2+7,G9+1,"")</f>
        <v>3</v>
      </c>
      <c r="H10">
        <f t="shared" ref="H10:H42" si="11">IF(COUNT(G10)&gt;0,H9*(1+$F$1),0)</f>
        <v>22.670336000000002</v>
      </c>
      <c r="I10" s="15">
        <f t="shared" si="1"/>
        <v>91.936000000000007</v>
      </c>
      <c r="J10" s="15">
        <f>IF(AND((COUNT($G10)&gt;0),(G10&lt;=$J$3)),'Enablement Services'!$C$35+'Enablement Services'!$C$36+D10,D10)</f>
        <v>12500</v>
      </c>
      <c r="K10" s="15">
        <f>IF(AND((COUNT($G10)&gt;0),(G10&lt;=$J$3)),'Enablement Services'!$C$25+'Enablement Services'!$C$26+D10,D10)</f>
        <v>18000</v>
      </c>
      <c r="L10" s="15">
        <f>IF(AND((COUNT($G10)&gt;0),(G10&lt;=$J$3)),'Enablement Services'!$C$14+'Enablement Services'!$C$15+D10,D10)</f>
        <v>25000</v>
      </c>
      <c r="M10" s="15">
        <f t="shared" si="0"/>
        <v>12500</v>
      </c>
      <c r="N10" s="15">
        <f>IF(COUNT(G10)&gt;0,'Active Project'!$C$18,0)</f>
        <v>6126.9326888888891</v>
      </c>
      <c r="O10" s="106">
        <f>IF(COUNT($G10)&gt;0,(O9*(1+'Cloud Consumption'!E$20)),0)</f>
        <v>70.784739000000002</v>
      </c>
      <c r="P10" s="106">
        <f>IF(COUNT($G10)&gt;0,(P9*(1+'Cloud Consumption'!F$20)),0)</f>
        <v>129.18314075000001</v>
      </c>
      <c r="Q10" s="106">
        <f>IF(COUNT($G10)&gt;0,(Q9*(1+'Cloud Consumption'!G$20)),0)</f>
        <v>191.10735000000003</v>
      </c>
      <c r="R10" s="106">
        <f>IF(COUNT($G10)&gt;0,(R9*(1+'Cloud Consumption'!E$21)),0)</f>
        <v>242.76</v>
      </c>
      <c r="S10" s="106">
        <f>IF(COUNT($G10)&gt;0,(S9*(1+'Cloud Consumption'!F$21)),0)</f>
        <v>514.50000000000011</v>
      </c>
      <c r="T10" s="106">
        <f>IF(COUNT($G10)&gt;0,(T9*(1+'Cloud Consumption'!G$21)),0)</f>
        <v>847.00000000000023</v>
      </c>
      <c r="U10" s="106">
        <f>IF(COUNT($G10)&gt;0,(U9*(1+'Cloud Consumption'!E$22)),0)</f>
        <v>134.97963200000001</v>
      </c>
      <c r="V10" s="106">
        <f>IF(COUNT($G10)&gt;0,(V9*(1+'Cloud Consumption'!F$22)),0)</f>
        <v>275.331456</v>
      </c>
      <c r="W10" s="106">
        <f>IF(COUNT($G10)&gt;0,(W9*(1+'Cloud Consumption'!G$22)),0)</f>
        <v>421.13486399999999</v>
      </c>
      <c r="X10" s="106">
        <f>IF(COUNT($G10)&gt;0,(X9*(1+'Cloud Consumption'!E$23)),0)</f>
        <v>394.72776524999995</v>
      </c>
      <c r="Y10" s="106">
        <f>IF(COUNT($G10)&gt;0,(Y9*(1+'Cloud Consumption'!F$23)),0)</f>
        <v>804.51886666666667</v>
      </c>
      <c r="Z10" s="106">
        <f>IF(COUNT($G10)&gt;0,(Z9*(1+'Cloud Consumption'!G$23)),0)</f>
        <v>1230.7932000000001</v>
      </c>
      <c r="AA10" s="106">
        <f t="shared" si="2"/>
        <v>448.52437099999997</v>
      </c>
      <c r="AB10" s="106">
        <f t="shared" si="3"/>
        <v>919.01459675000012</v>
      </c>
      <c r="AC10" s="106">
        <f t="shared" si="4"/>
        <v>2268.9005500000003</v>
      </c>
      <c r="AD10" s="106">
        <f t="shared" si="5"/>
        <v>0</v>
      </c>
      <c r="AE10" s="106">
        <f t="shared" si="6"/>
        <v>22.670336000000002</v>
      </c>
    </row>
    <row r="11" spans="1:31">
      <c r="A11">
        <f t="shared" si="7"/>
        <v>4</v>
      </c>
      <c r="B11">
        <f t="shared" si="8"/>
        <v>23.577149440000003</v>
      </c>
      <c r="C11">
        <f t="shared" si="9"/>
        <v>0</v>
      </c>
      <c r="D11">
        <f>IF(COUNT(A11)&gt;0,'Active Project'!$C$12,0)</f>
        <v>0</v>
      </c>
      <c r="E11" s="15">
        <f>IF(COUNT(A11)&gt;0,'Active Project'!$C$18,0)</f>
        <v>6126.9326888888891</v>
      </c>
      <c r="G11">
        <f t="shared" si="10"/>
        <v>4</v>
      </c>
      <c r="H11">
        <f t="shared" si="11"/>
        <v>23.577149440000003</v>
      </c>
      <c r="I11" s="15">
        <f t="shared" si="1"/>
        <v>95.613440000000011</v>
      </c>
      <c r="J11" s="15">
        <f>IF(AND((COUNT($G11)&gt;0),(G11&lt;=$J$3)),'Enablement Services'!$C$35+'Enablement Services'!$C$36+D11,D11)</f>
        <v>0</v>
      </c>
      <c r="K11" s="15">
        <f>IF(AND((COUNT($G11)&gt;0),(G11&lt;=$J$3)),'Enablement Services'!$C$25+'Enablement Services'!$C$26+D11,D11)</f>
        <v>0</v>
      </c>
      <c r="L11" s="15">
        <f>IF(AND((COUNT($G11)&gt;0),(G11&lt;=$J$3)),'Enablement Services'!$C$14+'Enablement Services'!$C$15+D11,D11)</f>
        <v>0</v>
      </c>
      <c r="M11" s="15">
        <f t="shared" si="0"/>
        <v>0</v>
      </c>
      <c r="N11" s="15">
        <f>IF(COUNT(G11)&gt;0,'Active Project'!$C$18,0)</f>
        <v>6126.9326888888891</v>
      </c>
      <c r="O11" s="106">
        <f>IF(COUNT($G11)&gt;0,(O10*(1+'Cloud Consumption'!E$20)),0)</f>
        <v>71.49258639</v>
      </c>
      <c r="P11" s="106">
        <f>IF(COUNT($G11)&gt;0,(P10*(1+'Cloud Consumption'!F$20)),0)</f>
        <v>133.05863497250002</v>
      </c>
      <c r="Q11" s="106">
        <f>IF(COUNT($G11)&gt;0,(Q10*(1+'Cloud Consumption'!G$20)),0)</f>
        <v>200.66271750000004</v>
      </c>
      <c r="R11" s="106">
        <f>IF(COUNT($G11)&gt;0,(R10*(1+'Cloud Consumption'!E$21)),0)</f>
        <v>247.61519999999999</v>
      </c>
      <c r="S11" s="106">
        <f>IF(COUNT($G11)&gt;0,(S10*(1+'Cloud Consumption'!F$21)),0)</f>
        <v>540.22500000000014</v>
      </c>
      <c r="T11" s="106">
        <f>IF(COUNT($G11)&gt;0,(T10*(1+'Cloud Consumption'!G$21)),0)</f>
        <v>931.70000000000027</v>
      </c>
      <c r="U11" s="106">
        <f>IF(COUNT($G11)&gt;0,(U10*(1+'Cloud Consumption'!E$22)),0)</f>
        <v>136.32942832000001</v>
      </c>
      <c r="V11" s="106">
        <f>IF(COUNT($G11)&gt;0,(V10*(1+'Cloud Consumption'!F$22)),0)</f>
        <v>280.83808512000002</v>
      </c>
      <c r="W11" s="106">
        <f>IF(COUNT($G11)&gt;0,(W10*(1+'Cloud Consumption'!G$22)),0)</f>
        <v>433.76890992</v>
      </c>
      <c r="X11" s="106">
        <f>IF(COUNT($G11)&gt;0,(X10*(1+'Cloud Consumption'!E$23)),0)</f>
        <v>394.92512913262493</v>
      </c>
      <c r="Y11" s="106">
        <f>IF(COUNT($G11)&gt;0,(Y10*(1+'Cloud Consumption'!F$23)),0)</f>
        <v>812.56405533333339</v>
      </c>
      <c r="Z11" s="106">
        <f>IF(COUNT($G11)&gt;0,(Z10*(1+'Cloud Consumption'!G$23)),0)</f>
        <v>1255.4090640000002</v>
      </c>
      <c r="AA11" s="106">
        <f t="shared" si="2"/>
        <v>455.43721471000003</v>
      </c>
      <c r="AB11" s="106">
        <f t="shared" si="3"/>
        <v>954.12172009250025</v>
      </c>
      <c r="AC11" s="106">
        <f t="shared" si="4"/>
        <v>2387.7717815000005</v>
      </c>
      <c r="AD11" s="106">
        <f t="shared" si="5"/>
        <v>0</v>
      </c>
      <c r="AE11" s="106">
        <f t="shared" si="6"/>
        <v>23.577149440000003</v>
      </c>
    </row>
    <row r="12" spans="1:31">
      <c r="A12">
        <f t="shared" si="7"/>
        <v>5</v>
      </c>
      <c r="B12">
        <f t="shared" si="8"/>
        <v>24.520235417600006</v>
      </c>
      <c r="C12">
        <f t="shared" si="9"/>
        <v>0</v>
      </c>
      <c r="D12">
        <f>IF(COUNT(A12)&gt;0,'Active Project'!$C$12,0)</f>
        <v>0</v>
      </c>
      <c r="E12" s="15">
        <f>IF(COUNT(A12)&gt;0,'Active Project'!$C$18,0)</f>
        <v>6126.9326888888891</v>
      </c>
      <c r="G12">
        <f t="shared" si="10"/>
        <v>5</v>
      </c>
      <c r="H12">
        <f t="shared" si="11"/>
        <v>24.520235417600006</v>
      </c>
      <c r="I12" s="15">
        <f t="shared" si="1"/>
        <v>99.437977600000011</v>
      </c>
      <c r="J12" s="15">
        <f>IF(AND((COUNT($G12)&gt;0),(G12&lt;=$J$3)),'Enablement Services'!$C$35+'Enablement Services'!$C$36+D12,D12)</f>
        <v>0</v>
      </c>
      <c r="K12" s="15">
        <f>IF(AND((COUNT($G12)&gt;0),(G12&lt;=$J$3)),'Enablement Services'!$C$25+'Enablement Services'!$C$26+D12,D12)</f>
        <v>0</v>
      </c>
      <c r="L12" s="15">
        <f>IF(AND((COUNT($G12)&gt;0),(G12&lt;=$J$3)),'Enablement Services'!$C$14+'Enablement Services'!$C$15+D12,D12)</f>
        <v>0</v>
      </c>
      <c r="M12" s="15">
        <f t="shared" si="0"/>
        <v>0</v>
      </c>
      <c r="N12" s="15">
        <f>IF(COUNT(G12)&gt;0,'Active Project'!$C$18,0)</f>
        <v>6126.9326888888891</v>
      </c>
      <c r="O12" s="106">
        <f>IF(COUNT($G12)&gt;0,(O11*(1+'Cloud Consumption'!E$20)),0)</f>
        <v>72.207512253900006</v>
      </c>
      <c r="P12" s="106">
        <f>IF(COUNT($G12)&gt;0,(P11*(1+'Cloud Consumption'!F$20)),0)</f>
        <v>137.05039402167503</v>
      </c>
      <c r="Q12" s="106">
        <f>IF(COUNT($G12)&gt;0,(Q11*(1+'Cloud Consumption'!G$20)),0)</f>
        <v>210.69585337500004</v>
      </c>
      <c r="R12" s="106">
        <f>IF(COUNT($G12)&gt;0,(R11*(1+'Cloud Consumption'!E$21)),0)</f>
        <v>252.56750399999999</v>
      </c>
      <c r="S12" s="106">
        <f>IF(COUNT($G12)&gt;0,(S11*(1+'Cloud Consumption'!F$21)),0)</f>
        <v>567.23625000000015</v>
      </c>
      <c r="T12" s="106">
        <f>IF(COUNT($G12)&gt;0,(T11*(1+'Cloud Consumption'!G$21)),0)</f>
        <v>1024.8700000000003</v>
      </c>
      <c r="U12" s="106">
        <f>IF(COUNT($G12)&gt;0,(U11*(1+'Cloud Consumption'!E$22)),0)</f>
        <v>137.6927226032</v>
      </c>
      <c r="V12" s="106">
        <f>IF(COUNT($G12)&gt;0,(V11*(1+'Cloud Consumption'!F$22)),0)</f>
        <v>286.45484682240004</v>
      </c>
      <c r="W12" s="106">
        <f>IF(COUNT($G12)&gt;0,(W11*(1+'Cloud Consumption'!G$22)),0)</f>
        <v>446.7819772176</v>
      </c>
      <c r="X12" s="106">
        <f>IF(COUNT($G12)&gt;0,(X11*(1+'Cloud Consumption'!E$23)),0)</f>
        <v>395.12259169719124</v>
      </c>
      <c r="Y12" s="106">
        <f>IF(COUNT($G12)&gt;0,(Y11*(1+'Cloud Consumption'!F$23)),0)</f>
        <v>820.68969588666675</v>
      </c>
      <c r="Z12" s="106">
        <f>IF(COUNT($G12)&gt;0,(Z11*(1+'Cloud Consumption'!G$23)),0)</f>
        <v>1280.5172452800002</v>
      </c>
      <c r="AA12" s="106">
        <f t="shared" si="2"/>
        <v>462.46773885710002</v>
      </c>
      <c r="AB12" s="106">
        <f t="shared" si="3"/>
        <v>990.74149084407532</v>
      </c>
      <c r="AC12" s="106">
        <f t="shared" si="4"/>
        <v>2516.0830986550009</v>
      </c>
      <c r="AD12" s="106">
        <f t="shared" si="5"/>
        <v>0</v>
      </c>
      <c r="AE12" s="106">
        <f t="shared" si="6"/>
        <v>24.520235417600006</v>
      </c>
    </row>
    <row r="13" spans="1:31">
      <c r="A13">
        <f t="shared" si="7"/>
        <v>6</v>
      </c>
      <c r="B13">
        <f t="shared" si="8"/>
        <v>25.501044834304007</v>
      </c>
      <c r="C13">
        <f t="shared" si="9"/>
        <v>0</v>
      </c>
      <c r="D13">
        <f>IF(COUNT(A13)&gt;0,'Active Project'!$C$12,0)</f>
        <v>0</v>
      </c>
      <c r="E13" s="15">
        <f>IF(COUNT(A13)&gt;0,'Active Project'!$C$18,0)</f>
        <v>6126.9326888888891</v>
      </c>
      <c r="G13">
        <f t="shared" si="10"/>
        <v>6</v>
      </c>
      <c r="H13">
        <f t="shared" si="11"/>
        <v>25.501044834304007</v>
      </c>
      <c r="I13" s="15">
        <f t="shared" si="1"/>
        <v>103.41549670400002</v>
      </c>
      <c r="J13" s="15">
        <f>IF(AND((COUNT($G13)&gt;0),(G13&lt;=$J$3)),'Enablement Services'!$C$35+'Enablement Services'!$C$36+D13,D13)</f>
        <v>0</v>
      </c>
      <c r="K13" s="15">
        <f>IF(AND((COUNT($G13)&gt;0),(G13&lt;=$J$3)),'Enablement Services'!$C$25+'Enablement Services'!$C$26+D13,D13)</f>
        <v>0</v>
      </c>
      <c r="L13" s="15">
        <f>IF(AND((COUNT($G13)&gt;0),(G13&lt;=$J$3)),'Enablement Services'!$C$14+'Enablement Services'!$C$15+D13,D13)</f>
        <v>0</v>
      </c>
      <c r="M13" s="15">
        <f t="shared" si="0"/>
        <v>0</v>
      </c>
      <c r="N13" s="15">
        <f>IF(COUNT(G13)&gt;0,'Active Project'!$C$18,0)</f>
        <v>6126.9326888888891</v>
      </c>
      <c r="O13" s="106">
        <f>IF(COUNT($G13)&gt;0,(O12*(1+'Cloud Consumption'!E$20)),0)</f>
        <v>72.929587376439002</v>
      </c>
      <c r="P13" s="106">
        <f>IF(COUNT($G13)&gt;0,(P12*(1+'Cloud Consumption'!F$20)),0)</f>
        <v>141.1619058423253</v>
      </c>
      <c r="Q13" s="106">
        <f>IF(COUNT($G13)&gt;0,(Q12*(1+'Cloud Consumption'!G$20)),0)</f>
        <v>221.23064604375006</v>
      </c>
      <c r="R13" s="106">
        <f>IF(COUNT($G13)&gt;0,(R12*(1+'Cloud Consumption'!E$21)),0)</f>
        <v>257.61885408000001</v>
      </c>
      <c r="S13" s="106">
        <f>IF(COUNT($G13)&gt;0,(S12*(1+'Cloud Consumption'!F$21)),0)</f>
        <v>595.5980625000002</v>
      </c>
      <c r="T13" s="106">
        <f>IF(COUNT($G13)&gt;0,(T12*(1+'Cloud Consumption'!G$21)),0)</f>
        <v>1127.3570000000004</v>
      </c>
      <c r="U13" s="106">
        <f>IF(COUNT($G13)&gt;0,(U12*(1+'Cloud Consumption'!E$22)),0)</f>
        <v>139.06964982923199</v>
      </c>
      <c r="V13" s="106">
        <f>IF(COUNT($G13)&gt;0,(V12*(1+'Cloud Consumption'!F$22)),0)</f>
        <v>292.18394375884805</v>
      </c>
      <c r="W13" s="106">
        <f>IF(COUNT($G13)&gt;0,(W12*(1+'Cloud Consumption'!G$22)),0)</f>
        <v>460.18543653412803</v>
      </c>
      <c r="X13" s="106">
        <f>IF(COUNT($G13)&gt;0,(X12*(1+'Cloud Consumption'!E$23)),0)</f>
        <v>395.32015299303981</v>
      </c>
      <c r="Y13" s="106">
        <f>IF(COUNT($G13)&gt;0,(Y12*(1+'Cloud Consumption'!F$23)),0)</f>
        <v>828.89659284553341</v>
      </c>
      <c r="Z13" s="106">
        <f>IF(COUNT($G13)&gt;0,(Z12*(1+'Cloud Consumption'!G$23)),0)</f>
        <v>1306.1275901856002</v>
      </c>
      <c r="AA13" s="106">
        <f t="shared" si="2"/>
        <v>469.61809128567103</v>
      </c>
      <c r="AB13" s="106">
        <f t="shared" si="3"/>
        <v>1028.9439121011735</v>
      </c>
      <c r="AC13" s="106">
        <f t="shared" si="4"/>
        <v>2654.7152362293509</v>
      </c>
      <c r="AD13" s="106">
        <f t="shared" si="5"/>
        <v>0</v>
      </c>
      <c r="AE13" s="106">
        <f t="shared" si="6"/>
        <v>25.501044834304007</v>
      </c>
    </row>
    <row r="14" spans="1:31">
      <c r="A14">
        <f t="shared" si="7"/>
        <v>7</v>
      </c>
      <c r="B14">
        <f t="shared" si="8"/>
        <v>26.521086627676169</v>
      </c>
      <c r="C14">
        <f t="shared" si="9"/>
        <v>0</v>
      </c>
      <c r="D14">
        <f>IF(COUNT(A14)&gt;0,'Active Project'!$C$12,0)</f>
        <v>0</v>
      </c>
      <c r="E14" s="15">
        <f>IF(COUNT(A14)&gt;0,'Active Project'!$C$18,0)</f>
        <v>6126.9326888888891</v>
      </c>
      <c r="G14">
        <f t="shared" si="10"/>
        <v>7</v>
      </c>
      <c r="H14">
        <f t="shared" si="11"/>
        <v>26.521086627676169</v>
      </c>
      <c r="I14" s="15">
        <f t="shared" si="1"/>
        <v>107.55211657216003</v>
      </c>
      <c r="J14" s="15">
        <f>IF(AND((COUNT($G14)&gt;0),(G14&lt;=$J$3)),'Enablement Services'!$C$35+'Enablement Services'!$C$36+D14,D14)</f>
        <v>0</v>
      </c>
      <c r="K14" s="15">
        <f>IF(AND((COUNT($G14)&gt;0),(G14&lt;=$J$3)),'Enablement Services'!$C$25+'Enablement Services'!$C$26+D14,D14)</f>
        <v>0</v>
      </c>
      <c r="L14" s="15">
        <f>IF(AND((COUNT($G14)&gt;0),(G14&lt;=$J$3)),'Enablement Services'!$C$14+'Enablement Services'!$C$15+D14,D14)</f>
        <v>0</v>
      </c>
      <c r="M14" s="15">
        <f t="shared" si="0"/>
        <v>0</v>
      </c>
      <c r="N14" s="15">
        <f>IF(COUNT(G14)&gt;0,'Active Project'!$C$18,0)</f>
        <v>6126.9326888888891</v>
      </c>
      <c r="O14" s="106">
        <f>IF(COUNT($G14)&gt;0,(O13*(1+'Cloud Consumption'!E$20)),0)</f>
        <v>73.658883250203388</v>
      </c>
      <c r="P14" s="106">
        <f>IF(COUNT($G14)&gt;0,(P13*(1+'Cloud Consumption'!F$20)),0)</f>
        <v>145.39676301759505</v>
      </c>
      <c r="Q14" s="106">
        <f>IF(COUNT($G14)&gt;0,(Q13*(1+'Cloud Consumption'!G$20)),0)</f>
        <v>232.29217834593757</v>
      </c>
      <c r="R14" s="106">
        <f>IF(COUNT($G14)&gt;0,(R13*(1+'Cloud Consumption'!E$21)),0)</f>
        <v>262.77123116159999</v>
      </c>
      <c r="S14" s="106">
        <f>IF(COUNT($G14)&gt;0,(S13*(1+'Cloud Consumption'!F$21)),0)</f>
        <v>625.37796562500023</v>
      </c>
      <c r="T14" s="106">
        <f>IF(COUNT($G14)&gt;0,(T13*(1+'Cloud Consumption'!G$21)),0)</f>
        <v>1240.0927000000006</v>
      </c>
      <c r="U14" s="106">
        <f>IF(COUNT($G14)&gt;0,(U13*(1+'Cloud Consumption'!E$22)),0)</f>
        <v>140.46034632752432</v>
      </c>
      <c r="V14" s="106">
        <f>IF(COUNT($G14)&gt;0,(V13*(1+'Cloud Consumption'!F$22)),0)</f>
        <v>298.02762263402502</v>
      </c>
      <c r="W14" s="106">
        <f>IF(COUNT($G14)&gt;0,(W13*(1+'Cloud Consumption'!G$22)),0)</f>
        <v>473.99099963015186</v>
      </c>
      <c r="X14" s="106">
        <f>IF(COUNT($G14)&gt;0,(X13*(1+'Cloud Consumption'!E$23)),0)</f>
        <v>395.51781306953632</v>
      </c>
      <c r="Y14" s="106">
        <f>IF(COUNT($G14)&gt;0,(Y13*(1+'Cloud Consumption'!F$23)),0)</f>
        <v>837.18555877398876</v>
      </c>
      <c r="Z14" s="106">
        <f>IF(COUNT($G14)&gt;0,(Z13*(1+'Cloud Consumption'!G$23)),0)</f>
        <v>1332.2501419893122</v>
      </c>
      <c r="AA14" s="106">
        <f t="shared" si="2"/>
        <v>476.89046073932775</v>
      </c>
      <c r="AB14" s="106">
        <f t="shared" si="3"/>
        <v>1068.8023512766204</v>
      </c>
      <c r="AC14" s="106">
        <f t="shared" si="4"/>
        <v>2804.6350203352504</v>
      </c>
      <c r="AD14" s="106">
        <f t="shared" si="5"/>
        <v>0</v>
      </c>
      <c r="AE14" s="106">
        <f t="shared" si="6"/>
        <v>26.521086627676169</v>
      </c>
    </row>
    <row r="15" spans="1:31">
      <c r="A15">
        <f t="shared" si="7"/>
        <v>8</v>
      </c>
      <c r="B15">
        <f t="shared" si="8"/>
        <v>27.581930092783217</v>
      </c>
      <c r="C15">
        <f t="shared" si="9"/>
        <v>0</v>
      </c>
      <c r="D15">
        <f>IF(COUNT(A15)&gt;0,'Active Project'!$C$12,0)</f>
        <v>0</v>
      </c>
      <c r="E15" s="15">
        <f>IF(COUNT(A15)&gt;0,'Active Project'!$C$18,0)</f>
        <v>6126.9326888888891</v>
      </c>
      <c r="G15">
        <f t="shared" si="10"/>
        <v>8</v>
      </c>
      <c r="H15">
        <f t="shared" si="11"/>
        <v>27.581930092783217</v>
      </c>
      <c r="I15" s="15">
        <f t="shared" si="1"/>
        <v>111.85420123504643</v>
      </c>
      <c r="J15" s="15">
        <f>IF(AND((COUNT($G15)&gt;0),(G15&lt;=$J$3)),'Enablement Services'!$C$35+'Enablement Services'!$C$36+D15,D15)</f>
        <v>0</v>
      </c>
      <c r="K15" s="15">
        <f>IF(AND((COUNT($G15)&gt;0),(G15&lt;=$J$3)),'Enablement Services'!$C$25+'Enablement Services'!$C$26+D15,D15)</f>
        <v>0</v>
      </c>
      <c r="L15" s="15">
        <f>IF(AND((COUNT($G15)&gt;0),(G15&lt;=$J$3)),'Enablement Services'!$C$14+'Enablement Services'!$C$15+D15,D15)</f>
        <v>0</v>
      </c>
      <c r="M15" s="15">
        <f t="shared" si="0"/>
        <v>0</v>
      </c>
      <c r="N15" s="15">
        <f>IF(COUNT(G15)&gt;0,'Active Project'!$C$18,0)</f>
        <v>6126.9326888888891</v>
      </c>
      <c r="O15" s="106">
        <f>IF(COUNT($G15)&gt;0,(O14*(1+'Cloud Consumption'!E$20)),0)</f>
        <v>74.395472082705425</v>
      </c>
      <c r="P15" s="106">
        <f>IF(COUNT($G15)&gt;0,(P14*(1+'Cloud Consumption'!F$20)),0)</f>
        <v>149.75866590812291</v>
      </c>
      <c r="Q15" s="106">
        <f>IF(COUNT($G15)&gt;0,(Q14*(1+'Cloud Consumption'!G$20)),0)</f>
        <v>243.90678726323446</v>
      </c>
      <c r="R15" s="106">
        <f>IF(COUNT($G15)&gt;0,(R14*(1+'Cloud Consumption'!E$21)),0)</f>
        <v>268.02665578483197</v>
      </c>
      <c r="S15" s="106">
        <f>IF(COUNT($G15)&gt;0,(S14*(1+'Cloud Consumption'!F$21)),0)</f>
        <v>656.64686390625025</v>
      </c>
      <c r="T15" s="106">
        <f>IF(COUNT($G15)&gt;0,(T14*(1+'Cloud Consumption'!G$21)),0)</f>
        <v>1364.1019700000008</v>
      </c>
      <c r="U15" s="106">
        <f>IF(COUNT($G15)&gt;0,(U14*(1+'Cloud Consumption'!E$22)),0)</f>
        <v>141.86494979079956</v>
      </c>
      <c r="V15" s="106">
        <f>IF(COUNT($G15)&gt;0,(V14*(1+'Cloud Consumption'!F$22)),0)</f>
        <v>303.98817508670555</v>
      </c>
      <c r="W15" s="106">
        <f>IF(COUNT($G15)&gt;0,(W14*(1+'Cloud Consumption'!G$22)),0)</f>
        <v>488.21072961905645</v>
      </c>
      <c r="X15" s="106">
        <f>IF(COUNT($G15)&gt;0,(X14*(1+'Cloud Consumption'!E$23)),0)</f>
        <v>395.71557197607109</v>
      </c>
      <c r="Y15" s="106">
        <f>IF(COUNT($G15)&gt;0,(Y14*(1+'Cloud Consumption'!F$23)),0)</f>
        <v>845.55741436172866</v>
      </c>
      <c r="Z15" s="106">
        <f>IF(COUNT($G15)&gt;0,(Z14*(1+'Cloud Consumption'!G$23)),0)</f>
        <v>1358.8951448290984</v>
      </c>
      <c r="AA15" s="106">
        <f t="shared" si="2"/>
        <v>484.2870776583369</v>
      </c>
      <c r="AB15" s="106">
        <f t="shared" si="3"/>
        <v>1110.3937049010788</v>
      </c>
      <c r="AC15" s="106">
        <f t="shared" si="4"/>
        <v>2966.9039020923337</v>
      </c>
      <c r="AD15" s="106">
        <f t="shared" si="5"/>
        <v>0</v>
      </c>
      <c r="AE15" s="106">
        <f t="shared" si="6"/>
        <v>27.581930092783217</v>
      </c>
    </row>
    <row r="16" spans="1:31">
      <c r="A16">
        <f t="shared" si="7"/>
        <v>9</v>
      </c>
      <c r="B16">
        <f t="shared" si="8"/>
        <v>28.685207296494546</v>
      </c>
      <c r="C16">
        <f t="shared" si="9"/>
        <v>0</v>
      </c>
      <c r="D16">
        <f>IF(COUNT(A16)&gt;0,'Active Project'!$C$12,0)</f>
        <v>0</v>
      </c>
      <c r="E16" s="15">
        <f>IF(COUNT(A16)&gt;0,'Active Project'!$C$18,0)</f>
        <v>6126.9326888888891</v>
      </c>
      <c r="G16">
        <f t="shared" si="10"/>
        <v>9</v>
      </c>
      <c r="H16">
        <f t="shared" si="11"/>
        <v>28.685207296494546</v>
      </c>
      <c r="I16" s="15">
        <f t="shared" si="1"/>
        <v>116.3283692844483</v>
      </c>
      <c r="J16" s="15">
        <f>IF(AND((COUNT($G16)&gt;0),(G16&lt;=$J$3)),'Enablement Services'!$C$35+'Enablement Services'!$C$36+D16,D16)</f>
        <v>0</v>
      </c>
      <c r="K16" s="15">
        <f>IF(AND((COUNT($G16)&gt;0),(G16&lt;=$J$3)),'Enablement Services'!$C$25+'Enablement Services'!$C$26+D16,D16)</f>
        <v>0</v>
      </c>
      <c r="L16" s="15">
        <f>IF(AND((COUNT($G16)&gt;0),(G16&lt;=$J$3)),'Enablement Services'!$C$14+'Enablement Services'!$C$15+D16,D16)</f>
        <v>0</v>
      </c>
      <c r="M16" s="15">
        <f t="shared" si="0"/>
        <v>0</v>
      </c>
      <c r="N16" s="15">
        <f>IF(COUNT(G16)&gt;0,'Active Project'!$C$18,0)</f>
        <v>6126.9326888888891</v>
      </c>
      <c r="O16" s="106">
        <f>IF(COUNT($G16)&gt;0,(O15*(1+'Cloud Consumption'!E$20)),0)</f>
        <v>75.139426803532473</v>
      </c>
      <c r="P16" s="106">
        <f>IF(COUNT($G16)&gt;0,(P15*(1+'Cloud Consumption'!F$20)),0)</f>
        <v>154.25142588536659</v>
      </c>
      <c r="Q16" s="106">
        <f>IF(COUNT($G16)&gt;0,(Q15*(1+'Cloud Consumption'!G$20)),0)</f>
        <v>256.10212662639617</v>
      </c>
      <c r="R16" s="106">
        <f>IF(COUNT($G16)&gt;0,(R15*(1+'Cloud Consumption'!E$21)),0)</f>
        <v>273.3871889005286</v>
      </c>
      <c r="S16" s="106">
        <f>IF(COUNT($G16)&gt;0,(S15*(1+'Cloud Consumption'!F$21)),0)</f>
        <v>689.47920710156279</v>
      </c>
      <c r="T16" s="106">
        <f>IF(COUNT($G16)&gt;0,(T15*(1+'Cloud Consumption'!G$21)),0)</f>
        <v>1500.512167000001</v>
      </c>
      <c r="U16" s="106">
        <f>IF(COUNT($G16)&gt;0,(U15*(1+'Cloud Consumption'!E$22)),0)</f>
        <v>143.28359928870756</v>
      </c>
      <c r="V16" s="106">
        <f>IF(COUNT($G16)&gt;0,(V15*(1+'Cloud Consumption'!F$22)),0)</f>
        <v>310.06793858843969</v>
      </c>
      <c r="W16" s="106">
        <f>IF(COUNT($G16)&gt;0,(W15*(1+'Cloud Consumption'!G$22)),0)</f>
        <v>502.85705150762817</v>
      </c>
      <c r="X16" s="106">
        <f>IF(COUNT($G16)&gt;0,(X15*(1+'Cloud Consumption'!E$23)),0)</f>
        <v>395.91342976205908</v>
      </c>
      <c r="Y16" s="106">
        <f>IF(COUNT($G16)&gt;0,(Y15*(1+'Cloud Consumption'!F$23)),0)</f>
        <v>854.0129885053459</v>
      </c>
      <c r="Z16" s="106">
        <f>IF(COUNT($G16)&gt;0,(Z15*(1+'Cloud Consumption'!G$23)),0)</f>
        <v>1386.0730477256805</v>
      </c>
      <c r="AA16" s="106">
        <f t="shared" si="2"/>
        <v>491.81021499276869</v>
      </c>
      <c r="AB16" s="106">
        <f t="shared" si="3"/>
        <v>1153.7985715753689</v>
      </c>
      <c r="AC16" s="106">
        <f t="shared" si="4"/>
        <v>3142.687341352078</v>
      </c>
      <c r="AD16" s="106">
        <f t="shared" si="5"/>
        <v>0</v>
      </c>
      <c r="AE16" s="106">
        <f t="shared" si="6"/>
        <v>28.685207296494546</v>
      </c>
    </row>
    <row r="17" spans="1:31">
      <c r="A17">
        <f t="shared" si="7"/>
        <v>10</v>
      </c>
      <c r="B17">
        <f t="shared" si="8"/>
        <v>29.832615588354329</v>
      </c>
      <c r="C17">
        <f t="shared" si="9"/>
        <v>0</v>
      </c>
      <c r="D17">
        <f>IF(COUNT(A17)&gt;0,'Active Project'!$C$12,0)</f>
        <v>0</v>
      </c>
      <c r="E17" s="15">
        <f>IF(COUNT(A17)&gt;0,'Active Project'!$C$18,0)</f>
        <v>6126.9326888888891</v>
      </c>
      <c r="G17">
        <f t="shared" si="10"/>
        <v>10</v>
      </c>
      <c r="H17">
        <f t="shared" si="11"/>
        <v>29.832615588354329</v>
      </c>
      <c r="I17" s="15">
        <f t="shared" si="1"/>
        <v>120.98150405582624</v>
      </c>
      <c r="J17" s="15">
        <f>IF(AND((COUNT($G17)&gt;0),(G17&lt;=$J$3)),'Enablement Services'!$C$35+'Enablement Services'!$C$36+D17,D17)</f>
        <v>0</v>
      </c>
      <c r="K17" s="15">
        <f>IF(AND((COUNT($G17)&gt;0),(G17&lt;=$J$3)),'Enablement Services'!$C$25+'Enablement Services'!$C$26+D17,D17)</f>
        <v>0</v>
      </c>
      <c r="L17" s="15">
        <f>IF(AND((COUNT($G17)&gt;0),(G17&lt;=$J$3)),'Enablement Services'!$C$14+'Enablement Services'!$C$15+D17,D17)</f>
        <v>0</v>
      </c>
      <c r="M17" s="15">
        <f t="shared" si="0"/>
        <v>0</v>
      </c>
      <c r="N17" s="15">
        <f>IF(COUNT(G17)&gt;0,'Active Project'!$C$18,0)</f>
        <v>6126.9326888888891</v>
      </c>
      <c r="O17" s="106">
        <f>IF(COUNT($G17)&gt;0,(O16*(1+'Cloud Consumption'!E$20)),0)</f>
        <v>75.8908210715678</v>
      </c>
      <c r="P17" s="106">
        <f>IF(COUNT($G17)&gt;0,(P16*(1+'Cloud Consumption'!F$20)),0)</f>
        <v>158.87896866192759</v>
      </c>
      <c r="Q17" s="106">
        <f>IF(COUNT($G17)&gt;0,(Q16*(1+'Cloud Consumption'!G$20)),0)</f>
        <v>268.90723295771602</v>
      </c>
      <c r="R17" s="106">
        <f>IF(COUNT($G17)&gt;0,(R16*(1+'Cloud Consumption'!E$21)),0)</f>
        <v>278.85493267853917</v>
      </c>
      <c r="S17" s="106">
        <f>IF(COUNT($G17)&gt;0,(S16*(1+'Cloud Consumption'!F$21)),0)</f>
        <v>723.95316745664093</v>
      </c>
      <c r="T17" s="106">
        <f>IF(COUNT($G17)&gt;0,(T16*(1+'Cloud Consumption'!G$21)),0)</f>
        <v>1650.5633837000012</v>
      </c>
      <c r="U17" s="106">
        <f>IF(COUNT($G17)&gt;0,(U16*(1+'Cloud Consumption'!E$22)),0)</f>
        <v>144.71643528159464</v>
      </c>
      <c r="V17" s="106">
        <f>IF(COUNT($G17)&gt;0,(V16*(1+'Cloud Consumption'!F$22)),0)</f>
        <v>316.2692973602085</v>
      </c>
      <c r="W17" s="106">
        <f>IF(COUNT($G17)&gt;0,(W16*(1+'Cloud Consumption'!G$22)),0)</f>
        <v>517.942763052857</v>
      </c>
      <c r="X17" s="106">
        <f>IF(COUNT($G17)&gt;0,(X16*(1+'Cloud Consumption'!E$23)),0)</f>
        <v>396.11138647694008</v>
      </c>
      <c r="Y17" s="106">
        <f>IF(COUNT($G17)&gt;0,(Y16*(1+'Cloud Consumption'!F$23)),0)</f>
        <v>862.55311839039939</v>
      </c>
      <c r="Z17" s="106">
        <f>IF(COUNT($G17)&gt;0,(Z16*(1+'Cloud Consumption'!G$23)),0)</f>
        <v>1413.794508680194</v>
      </c>
      <c r="AA17" s="106">
        <f t="shared" si="2"/>
        <v>499.46218903170166</v>
      </c>
      <c r="AB17" s="106">
        <f t="shared" si="3"/>
        <v>1199.1014334787769</v>
      </c>
      <c r="AC17" s="106">
        <f t="shared" si="4"/>
        <v>3333.2651253379108</v>
      </c>
      <c r="AD17" s="106">
        <f t="shared" si="5"/>
        <v>0</v>
      </c>
      <c r="AE17" s="106">
        <f t="shared" si="6"/>
        <v>29.832615588354329</v>
      </c>
    </row>
    <row r="18" spans="1:31">
      <c r="A18">
        <f t="shared" si="7"/>
        <v>11</v>
      </c>
      <c r="B18">
        <f t="shared" si="8"/>
        <v>31.025920211888504</v>
      </c>
      <c r="C18">
        <f t="shared" si="9"/>
        <v>0</v>
      </c>
      <c r="D18">
        <f>IF(COUNT(A18)&gt;0,'Active Project'!$C$12,0)</f>
        <v>0</v>
      </c>
      <c r="E18" s="15">
        <f>IF(COUNT(A18)&gt;0,'Active Project'!$C$18,0)</f>
        <v>6126.9326888888891</v>
      </c>
      <c r="G18">
        <f t="shared" si="10"/>
        <v>11</v>
      </c>
      <c r="H18">
        <f t="shared" si="11"/>
        <v>31.025920211888504</v>
      </c>
      <c r="I18" s="15">
        <f t="shared" si="1"/>
        <v>125.8207642180593</v>
      </c>
      <c r="J18" s="15">
        <f>IF(AND((COUNT($G18)&gt;0),(G18&lt;=$J$3)),'Enablement Services'!$C$35+'Enablement Services'!$C$36+D18,D18)</f>
        <v>0</v>
      </c>
      <c r="K18" s="15">
        <f>IF(AND((COUNT($G18)&gt;0),(G18&lt;=$J$3)),'Enablement Services'!$C$25+'Enablement Services'!$C$26+D18,D18)</f>
        <v>0</v>
      </c>
      <c r="L18" s="15">
        <f>IF(AND((COUNT($G18)&gt;0),(G18&lt;=$J$3)),'Enablement Services'!$C$14+'Enablement Services'!$C$15+D18,D18)</f>
        <v>0</v>
      </c>
      <c r="M18" s="15">
        <f t="shared" si="0"/>
        <v>0</v>
      </c>
      <c r="N18" s="15">
        <f>IF(COUNT(G18)&gt;0,'Active Project'!$C$18,0)</f>
        <v>6126.9326888888891</v>
      </c>
      <c r="O18" s="106">
        <f>IF(COUNT($G18)&gt;0,(O17*(1+'Cloud Consumption'!E$20)),0)</f>
        <v>76.649729282283474</v>
      </c>
      <c r="P18" s="106">
        <f>IF(COUNT($G18)&gt;0,(P17*(1+'Cloud Consumption'!F$20)),0)</f>
        <v>163.64533772178541</v>
      </c>
      <c r="Q18" s="106">
        <f>IF(COUNT($G18)&gt;0,(Q17*(1+'Cloud Consumption'!G$20)),0)</f>
        <v>282.35259460560184</v>
      </c>
      <c r="R18" s="106">
        <f>IF(COUNT($G18)&gt;0,(R17*(1+'Cloud Consumption'!E$21)),0)</f>
        <v>284.43203133210994</v>
      </c>
      <c r="S18" s="106">
        <f>IF(COUNT($G18)&gt;0,(S17*(1+'Cloud Consumption'!F$21)),0)</f>
        <v>760.15082582947298</v>
      </c>
      <c r="T18" s="106">
        <f>IF(COUNT($G18)&gt;0,(T17*(1+'Cloud Consumption'!G$21)),0)</f>
        <v>1815.6197220700014</v>
      </c>
      <c r="U18" s="106">
        <f>IF(COUNT($G18)&gt;0,(U17*(1+'Cloud Consumption'!E$22)),0)</f>
        <v>146.16359963441059</v>
      </c>
      <c r="V18" s="106">
        <f>IF(COUNT($G18)&gt;0,(V17*(1+'Cloud Consumption'!F$22)),0)</f>
        <v>322.59468330741265</v>
      </c>
      <c r="W18" s="106">
        <f>IF(COUNT($G18)&gt;0,(W17*(1+'Cloud Consumption'!G$22)),0)</f>
        <v>533.48104594444271</v>
      </c>
      <c r="X18" s="106">
        <f>IF(COUNT($G18)&gt;0,(X17*(1+'Cloud Consumption'!E$23)),0)</f>
        <v>396.30944217017856</v>
      </c>
      <c r="Y18" s="106">
        <f>IF(COUNT($G18)&gt;0,(Y17*(1+'Cloud Consumption'!F$23)),0)</f>
        <v>871.17864957430334</v>
      </c>
      <c r="Z18" s="106">
        <f>IF(COUNT($G18)&gt;0,(Z17*(1+'Cloud Consumption'!G$23)),0)</f>
        <v>1442.070398853798</v>
      </c>
      <c r="AA18" s="106">
        <f t="shared" si="2"/>
        <v>507.24536024880399</v>
      </c>
      <c r="AB18" s="106">
        <f t="shared" si="3"/>
        <v>1246.390846858671</v>
      </c>
      <c r="AC18" s="106">
        <f t="shared" si="4"/>
        <v>3540.0427155294014</v>
      </c>
      <c r="AD18" s="106">
        <f t="shared" si="5"/>
        <v>0</v>
      </c>
      <c r="AE18" s="106">
        <f t="shared" si="6"/>
        <v>31.025920211888504</v>
      </c>
    </row>
    <row r="19" spans="1:31">
      <c r="A19">
        <f t="shared" si="7"/>
        <v>12</v>
      </c>
      <c r="B19">
        <f t="shared" si="8"/>
        <v>32.266957020364046</v>
      </c>
      <c r="C19">
        <f t="shared" si="9"/>
        <v>0</v>
      </c>
      <c r="D19">
        <f>IF(COUNT(A19)&gt;0,'Active Project'!$C$12,0)</f>
        <v>0</v>
      </c>
      <c r="E19" s="15">
        <f>IF(COUNT(A19)&gt;0,'Active Project'!$C$18,0)</f>
        <v>6126.9326888888891</v>
      </c>
      <c r="G19">
        <f t="shared" si="10"/>
        <v>12</v>
      </c>
      <c r="H19">
        <f t="shared" si="11"/>
        <v>32.266957020364046</v>
      </c>
      <c r="I19" s="15">
        <f t="shared" si="1"/>
        <v>130.85359478678168</v>
      </c>
      <c r="J19" s="15">
        <f>IF(AND((COUNT($G19)&gt;0),(G19&lt;=$J$3)),'Enablement Services'!$C$35+'Enablement Services'!$C$36+D19,D19)</f>
        <v>0</v>
      </c>
      <c r="K19" s="15">
        <f>IF(AND((COUNT($G19)&gt;0),(G19&lt;=$J$3)),'Enablement Services'!$C$25+'Enablement Services'!$C$26+D19,D19)</f>
        <v>0</v>
      </c>
      <c r="L19" s="15">
        <f>IF(AND((COUNT($G19)&gt;0),(G19&lt;=$J$3)),'Enablement Services'!$C$14+'Enablement Services'!$C$15+D19,D19)</f>
        <v>0</v>
      </c>
      <c r="M19" s="15">
        <f t="shared" si="0"/>
        <v>0</v>
      </c>
      <c r="N19" s="15">
        <f>IF(COUNT(G19)&gt;0,'Active Project'!$C$18,0)</f>
        <v>6126.9326888888891</v>
      </c>
      <c r="O19" s="106">
        <f>IF(COUNT($G19)&gt;0,(O18*(1+'Cloud Consumption'!E$20)),0)</f>
        <v>77.416226575106307</v>
      </c>
      <c r="P19" s="106">
        <f>IF(COUNT($G19)&gt;0,(P18*(1+'Cloud Consumption'!F$20)),0)</f>
        <v>168.55469785343897</v>
      </c>
      <c r="Q19" s="106">
        <f>IF(COUNT($G19)&gt;0,(Q18*(1+'Cloud Consumption'!G$20)),0)</f>
        <v>296.47022433588194</v>
      </c>
      <c r="R19" s="106">
        <f>IF(COUNT($G19)&gt;0,(R18*(1+'Cloud Consumption'!E$21)),0)</f>
        <v>290.12067195875215</v>
      </c>
      <c r="S19" s="106">
        <f>IF(COUNT($G19)&gt;0,(S18*(1+'Cloud Consumption'!F$21)),0)</f>
        <v>798.15836712094665</v>
      </c>
      <c r="T19" s="106">
        <f>IF(COUNT($G19)&gt;0,(T18*(1+'Cloud Consumption'!G$21)),0)</f>
        <v>1997.1816942770017</v>
      </c>
      <c r="U19" s="106">
        <f>IF(COUNT($G19)&gt;0,(U18*(1+'Cloud Consumption'!E$22)),0)</f>
        <v>147.6252356307547</v>
      </c>
      <c r="V19" s="106">
        <f>IF(COUNT($G19)&gt;0,(V18*(1+'Cloud Consumption'!F$22)),0)</f>
        <v>329.04657697356089</v>
      </c>
      <c r="W19" s="106">
        <f>IF(COUNT($G19)&gt;0,(W18*(1+'Cloud Consumption'!G$22)),0)</f>
        <v>549.48547732277598</v>
      </c>
      <c r="X19" s="106">
        <f>IF(COUNT($G19)&gt;0,(X18*(1+'Cloud Consumption'!E$23)),0)</f>
        <v>396.50759689126363</v>
      </c>
      <c r="Y19" s="106">
        <f>IF(COUNT($G19)&gt;0,(Y18*(1+'Cloud Consumption'!F$23)),0)</f>
        <v>879.89043607004635</v>
      </c>
      <c r="Z19" s="106">
        <f>IF(COUNT($G19)&gt;0,(Z18*(1+'Cloud Consumption'!G$23)),0)</f>
        <v>1470.911806830874</v>
      </c>
      <c r="AA19" s="106">
        <f t="shared" si="2"/>
        <v>515.16213416461312</v>
      </c>
      <c r="AB19" s="106">
        <f t="shared" si="3"/>
        <v>1295.7596419479464</v>
      </c>
      <c r="AC19" s="106">
        <f t="shared" si="4"/>
        <v>3764.5637254437574</v>
      </c>
      <c r="AD19" s="106">
        <f t="shared" si="5"/>
        <v>0</v>
      </c>
      <c r="AE19" s="106">
        <f t="shared" si="6"/>
        <v>32.266957020364046</v>
      </c>
    </row>
    <row r="20" spans="1:31">
      <c r="A20" t="str">
        <f t="shared" si="7"/>
        <v/>
      </c>
      <c r="B20">
        <f t="shared" si="8"/>
        <v>0</v>
      </c>
      <c r="C20">
        <f t="shared" si="9"/>
        <v>0</v>
      </c>
      <c r="D20">
        <f>IF(COUNT(A20)&gt;0,'Active Project'!$C$12,0)</f>
        <v>0</v>
      </c>
      <c r="E20" s="15">
        <f>IF(COUNT(A20)&gt;0,'Active Project'!$C$18,0)</f>
        <v>0</v>
      </c>
      <c r="G20" t="str">
        <f t="shared" si="10"/>
        <v/>
      </c>
      <c r="H20">
        <f t="shared" si="11"/>
        <v>0</v>
      </c>
      <c r="I20" s="15">
        <f t="shared" si="1"/>
        <v>0</v>
      </c>
      <c r="J20" s="15">
        <f>IF(AND((COUNT($G20)&gt;0),(G20&lt;=$J$3)),'Enablement Services'!$C$35+'Enablement Services'!$C$36+D20,D20)</f>
        <v>0</v>
      </c>
      <c r="K20" s="15">
        <f>IF(AND((COUNT($G20)&gt;0),(G20&lt;=$J$3)),'Enablement Services'!$C$25+'Enablement Services'!$C$26+D20,D20)</f>
        <v>0</v>
      </c>
      <c r="L20" s="15">
        <f>IF(AND((COUNT($G20)&gt;0),(G20&lt;=$J$3)),'Enablement Services'!$C$14+'Enablement Services'!$C$15+D20,D20)</f>
        <v>0</v>
      </c>
      <c r="M20" s="15">
        <f t="shared" si="0"/>
        <v>0</v>
      </c>
      <c r="N20" s="15">
        <f>IF(COUNT(G20)&gt;0,'Active Project'!$C$18,0)</f>
        <v>0</v>
      </c>
      <c r="O20" s="106">
        <f>IF(COUNT($G20)&gt;0,(O19*(1+'Cloud Consumption'!E$20)),0)</f>
        <v>0</v>
      </c>
      <c r="P20" s="106">
        <f>IF(COUNT($G20)&gt;0,(P19*(1+'Cloud Consumption'!F$20)),0)</f>
        <v>0</v>
      </c>
      <c r="Q20" s="106">
        <f>IF(COUNT($G20)&gt;0,(Q19*(1+'Cloud Consumption'!G$20)),0)</f>
        <v>0</v>
      </c>
      <c r="R20" s="106">
        <f>IF(COUNT($G20)&gt;0,(R19*(1+'Cloud Consumption'!E$21)),0)</f>
        <v>0</v>
      </c>
      <c r="S20" s="106">
        <f>IF(COUNT($G20)&gt;0,(S19*(1+'Cloud Consumption'!F$21)),0)</f>
        <v>0</v>
      </c>
      <c r="T20" s="106">
        <f>IF(COUNT($G20)&gt;0,(T19*(1+'Cloud Consumption'!G$21)),0)</f>
        <v>0</v>
      </c>
      <c r="U20" s="106">
        <f>IF(COUNT($G20)&gt;0,(U19*(1+'Cloud Consumption'!E$22)),0)</f>
        <v>0</v>
      </c>
      <c r="V20" s="106">
        <f>IF(COUNT($G20)&gt;0,(V19*(1+'Cloud Consumption'!F$22)),0)</f>
        <v>0</v>
      </c>
      <c r="W20" s="106">
        <f>IF(COUNT($G20)&gt;0,(W19*(1+'Cloud Consumption'!G$22)),0)</f>
        <v>0</v>
      </c>
      <c r="X20" s="106">
        <f>IF(COUNT($G20)&gt;0,(X19*(1+'Cloud Consumption'!E$23)),0)</f>
        <v>0</v>
      </c>
      <c r="Y20" s="106">
        <f>IF(COUNT($G20)&gt;0,(Y19*(1+'Cloud Consumption'!F$23)),0)</f>
        <v>0</v>
      </c>
      <c r="Z20" s="106">
        <f>IF(COUNT($G20)&gt;0,(Z19*(1+'Cloud Consumption'!G$23)),0)</f>
        <v>0</v>
      </c>
      <c r="AA20" s="106">
        <f t="shared" si="2"/>
        <v>0</v>
      </c>
      <c r="AB20" s="106">
        <f t="shared" si="3"/>
        <v>0</v>
      </c>
      <c r="AC20" s="106">
        <f t="shared" si="4"/>
        <v>0</v>
      </c>
      <c r="AD20" s="106">
        <f t="shared" si="5"/>
        <v>0</v>
      </c>
      <c r="AE20" s="106">
        <f t="shared" si="6"/>
        <v>0</v>
      </c>
    </row>
    <row r="21" spans="1:31">
      <c r="A21" t="str">
        <f t="shared" si="7"/>
        <v/>
      </c>
      <c r="B21">
        <f t="shared" si="8"/>
        <v>0</v>
      </c>
      <c r="C21">
        <f t="shared" si="9"/>
        <v>0</v>
      </c>
      <c r="D21">
        <f>IF(COUNT(A21)&gt;0,'Active Project'!$C$12,0)</f>
        <v>0</v>
      </c>
      <c r="E21" s="15">
        <f>IF(COUNT(A21)&gt;0,'Active Project'!$C$18,0)</f>
        <v>0</v>
      </c>
      <c r="G21" t="str">
        <f t="shared" si="10"/>
        <v/>
      </c>
      <c r="H21">
        <f t="shared" si="11"/>
        <v>0</v>
      </c>
      <c r="I21" s="15">
        <f t="shared" si="1"/>
        <v>0</v>
      </c>
      <c r="J21" s="15">
        <f>IF(AND((COUNT($G21)&gt;0),(G21&lt;=$J$3)),'Enablement Services'!$C$35+'Enablement Services'!$C$36+D21,D21)</f>
        <v>0</v>
      </c>
      <c r="K21" s="15">
        <f>IF(AND((COUNT($G21)&gt;0),(G21&lt;=$J$3)),'Enablement Services'!$C$25+'Enablement Services'!$C$26+D21,D21)</f>
        <v>0</v>
      </c>
      <c r="L21" s="15">
        <f>IF(AND((COUNT($G21)&gt;0),(G21&lt;=$J$3)),'Enablement Services'!$C$14+'Enablement Services'!$C$15+D21,D21)</f>
        <v>0</v>
      </c>
      <c r="M21" s="15">
        <f t="shared" si="0"/>
        <v>0</v>
      </c>
      <c r="N21" s="15">
        <f>IF(COUNT(G21)&gt;0,'Active Project'!$C$18,0)</f>
        <v>0</v>
      </c>
      <c r="O21" s="106">
        <f>IF(COUNT($G21)&gt;0,(O20*(1+'Cloud Consumption'!E$20)),0)</f>
        <v>0</v>
      </c>
      <c r="P21" s="106">
        <f>IF(COUNT($G21)&gt;0,(P20*(1+'Cloud Consumption'!F$20)),0)</f>
        <v>0</v>
      </c>
      <c r="Q21" s="106">
        <f>IF(COUNT($G21)&gt;0,(Q20*(1+'Cloud Consumption'!G$20)),0)</f>
        <v>0</v>
      </c>
      <c r="R21" s="106">
        <f>IF(COUNT($G21)&gt;0,(R20*(1+'Cloud Consumption'!E$21)),0)</f>
        <v>0</v>
      </c>
      <c r="S21" s="106">
        <f>IF(COUNT($G21)&gt;0,(S20*(1+'Cloud Consumption'!F$21)),0)</f>
        <v>0</v>
      </c>
      <c r="T21" s="106">
        <f>IF(COUNT($G21)&gt;0,(T20*(1+'Cloud Consumption'!G$21)),0)</f>
        <v>0</v>
      </c>
      <c r="U21" s="106">
        <f>IF(COUNT($G21)&gt;0,(U20*(1+'Cloud Consumption'!E$22)),0)</f>
        <v>0</v>
      </c>
      <c r="V21" s="106">
        <f>IF(COUNT($G21)&gt;0,(V20*(1+'Cloud Consumption'!F$22)),0)</f>
        <v>0</v>
      </c>
      <c r="W21" s="106">
        <f>IF(COUNT($G21)&gt;0,(W20*(1+'Cloud Consumption'!G$22)),0)</f>
        <v>0</v>
      </c>
      <c r="X21" s="106">
        <f>IF(COUNT($G21)&gt;0,(X20*(1+'Cloud Consumption'!E$23)),0)</f>
        <v>0</v>
      </c>
      <c r="Y21" s="106">
        <f>IF(COUNT($G21)&gt;0,(Y20*(1+'Cloud Consumption'!F$23)),0)</f>
        <v>0</v>
      </c>
      <c r="Z21" s="106">
        <f>IF(COUNT($G21)&gt;0,(Z20*(1+'Cloud Consumption'!G$23)),0)</f>
        <v>0</v>
      </c>
      <c r="AA21" s="106">
        <f t="shared" si="2"/>
        <v>0</v>
      </c>
      <c r="AB21" s="106">
        <f t="shared" si="3"/>
        <v>0</v>
      </c>
      <c r="AC21" s="106">
        <f t="shared" si="4"/>
        <v>0</v>
      </c>
      <c r="AD21" s="106">
        <f t="shared" si="5"/>
        <v>0</v>
      </c>
      <c r="AE21" s="106">
        <f t="shared" si="6"/>
        <v>0</v>
      </c>
    </row>
    <row r="22" spans="1:31">
      <c r="A22" t="str">
        <f t="shared" si="7"/>
        <v/>
      </c>
      <c r="B22">
        <f t="shared" si="8"/>
        <v>0</v>
      </c>
      <c r="C22">
        <f t="shared" si="9"/>
        <v>0</v>
      </c>
      <c r="D22">
        <f>IF(COUNT(A22)&gt;0,'Active Project'!$C$12,0)</f>
        <v>0</v>
      </c>
      <c r="E22" s="15">
        <f>IF(COUNT(A22)&gt;0,'Active Project'!$C$18,0)</f>
        <v>0</v>
      </c>
      <c r="G22" t="str">
        <f t="shared" si="10"/>
        <v/>
      </c>
      <c r="H22">
        <f t="shared" si="11"/>
        <v>0</v>
      </c>
      <c r="I22" s="15">
        <f t="shared" si="1"/>
        <v>0</v>
      </c>
      <c r="J22" s="15">
        <f>IF(AND((COUNT($G22)&gt;0),(G22&lt;=$J$3)),'Enablement Services'!$C$35+'Enablement Services'!$C$36+D22,D22)</f>
        <v>0</v>
      </c>
      <c r="K22" s="15">
        <f>IF(AND((COUNT($G22)&gt;0),(G22&lt;=$J$3)),'Enablement Services'!$C$25+'Enablement Services'!$C$26+D22,D22)</f>
        <v>0</v>
      </c>
      <c r="L22" s="15">
        <f>IF(AND((COUNT($G22)&gt;0),(G22&lt;=$J$3)),'Enablement Services'!$C$14+'Enablement Services'!$C$15+D22,D22)</f>
        <v>0</v>
      </c>
      <c r="M22" s="15">
        <f t="shared" si="0"/>
        <v>0</v>
      </c>
      <c r="N22" s="15">
        <f>IF(COUNT(G22)&gt;0,'Active Project'!$C$18,0)</f>
        <v>0</v>
      </c>
      <c r="O22" s="106">
        <f>IF(COUNT($G22)&gt;0,(O21*(1+'Cloud Consumption'!E$20)),0)</f>
        <v>0</v>
      </c>
      <c r="P22" s="106">
        <f>IF(COUNT($G22)&gt;0,(P21*(1+'Cloud Consumption'!F$20)),0)</f>
        <v>0</v>
      </c>
      <c r="Q22" s="106">
        <f>IF(COUNT($G22)&gt;0,(Q21*(1+'Cloud Consumption'!G$20)),0)</f>
        <v>0</v>
      </c>
      <c r="R22" s="106">
        <f>IF(COUNT($G22)&gt;0,(R21*(1+'Cloud Consumption'!E$21)),0)</f>
        <v>0</v>
      </c>
      <c r="S22" s="106">
        <f>IF(COUNT($G22)&gt;0,(S21*(1+'Cloud Consumption'!F$21)),0)</f>
        <v>0</v>
      </c>
      <c r="T22" s="106">
        <f>IF(COUNT($G22)&gt;0,(T21*(1+'Cloud Consumption'!G$21)),0)</f>
        <v>0</v>
      </c>
      <c r="U22" s="106">
        <f>IF(COUNT($G22)&gt;0,(U21*(1+'Cloud Consumption'!E$22)),0)</f>
        <v>0</v>
      </c>
      <c r="V22" s="106">
        <f>IF(COUNT($G22)&gt;0,(V21*(1+'Cloud Consumption'!F$22)),0)</f>
        <v>0</v>
      </c>
      <c r="W22" s="106">
        <f>IF(COUNT($G22)&gt;0,(W21*(1+'Cloud Consumption'!G$22)),0)</f>
        <v>0</v>
      </c>
      <c r="X22" s="106">
        <f>IF(COUNT($G22)&gt;0,(X21*(1+'Cloud Consumption'!E$23)),0)</f>
        <v>0</v>
      </c>
      <c r="Y22" s="106">
        <f>IF(COUNT($G22)&gt;0,(Y21*(1+'Cloud Consumption'!F$23)),0)</f>
        <v>0</v>
      </c>
      <c r="Z22" s="106">
        <f>IF(COUNT($G22)&gt;0,(Z21*(1+'Cloud Consumption'!G$23)),0)</f>
        <v>0</v>
      </c>
      <c r="AA22" s="106">
        <f t="shared" si="2"/>
        <v>0</v>
      </c>
      <c r="AB22" s="106">
        <f t="shared" si="3"/>
        <v>0</v>
      </c>
      <c r="AC22" s="106">
        <f t="shared" si="4"/>
        <v>0</v>
      </c>
      <c r="AD22" s="106">
        <f t="shared" si="5"/>
        <v>0</v>
      </c>
      <c r="AE22" s="106">
        <f t="shared" si="6"/>
        <v>0</v>
      </c>
    </row>
    <row r="23" spans="1:31">
      <c r="A23" t="str">
        <f t="shared" si="7"/>
        <v/>
      </c>
      <c r="B23">
        <f t="shared" si="8"/>
        <v>0</v>
      </c>
      <c r="C23">
        <f t="shared" si="9"/>
        <v>0</v>
      </c>
      <c r="D23">
        <f>IF(COUNT(A23)&gt;0,'Active Project'!$C$12,0)</f>
        <v>0</v>
      </c>
      <c r="E23" s="15">
        <f>IF(COUNT(A23)&gt;0,'Active Project'!$C$18,0)</f>
        <v>0</v>
      </c>
      <c r="G23" t="str">
        <f t="shared" si="10"/>
        <v/>
      </c>
      <c r="H23">
        <f t="shared" si="11"/>
        <v>0</v>
      </c>
      <c r="I23" s="15">
        <f t="shared" si="1"/>
        <v>0</v>
      </c>
      <c r="J23" s="15">
        <f>IF(AND((COUNT($G23)&gt;0),(G23&lt;=$J$3)),'Enablement Services'!$C$35+'Enablement Services'!$C$36+D23,D23)</f>
        <v>0</v>
      </c>
      <c r="K23" s="15">
        <f>IF(AND((COUNT($G23)&gt;0),(G23&lt;=$J$3)),'Enablement Services'!$C$25+'Enablement Services'!$C$26+D23,D23)</f>
        <v>0</v>
      </c>
      <c r="L23" s="15">
        <f>IF(AND((COUNT($G23)&gt;0),(G23&lt;=$J$3)),'Enablement Services'!$C$14+'Enablement Services'!$C$15+D23,D23)</f>
        <v>0</v>
      </c>
      <c r="M23" s="15">
        <f t="shared" si="0"/>
        <v>0</v>
      </c>
      <c r="N23" s="15">
        <f>IF(COUNT(G23)&gt;0,'Active Project'!$C$18,0)</f>
        <v>0</v>
      </c>
      <c r="O23" s="106">
        <f>IF(COUNT($G23)&gt;0,(O22*(1+'Cloud Consumption'!E$20)),0)</f>
        <v>0</v>
      </c>
      <c r="P23" s="106">
        <f>IF(COUNT($G23)&gt;0,(P22*(1+'Cloud Consumption'!F$20)),0)</f>
        <v>0</v>
      </c>
      <c r="Q23" s="106">
        <f>IF(COUNT($G23)&gt;0,(Q22*(1+'Cloud Consumption'!G$20)),0)</f>
        <v>0</v>
      </c>
      <c r="R23" s="106">
        <f>IF(COUNT($G23)&gt;0,(R22*(1+'Cloud Consumption'!E$21)),0)</f>
        <v>0</v>
      </c>
      <c r="S23" s="106">
        <f>IF(COUNT($G23)&gt;0,(S22*(1+'Cloud Consumption'!F$21)),0)</f>
        <v>0</v>
      </c>
      <c r="T23" s="106">
        <f>IF(COUNT($G23)&gt;0,(T22*(1+'Cloud Consumption'!G$21)),0)</f>
        <v>0</v>
      </c>
      <c r="U23" s="106">
        <f>IF(COUNT($G23)&gt;0,(U22*(1+'Cloud Consumption'!E$22)),0)</f>
        <v>0</v>
      </c>
      <c r="V23" s="106">
        <f>IF(COUNT($G23)&gt;0,(V22*(1+'Cloud Consumption'!F$22)),0)</f>
        <v>0</v>
      </c>
      <c r="W23" s="106">
        <f>IF(COUNT($G23)&gt;0,(W22*(1+'Cloud Consumption'!G$22)),0)</f>
        <v>0</v>
      </c>
      <c r="X23" s="106">
        <f>IF(COUNT($G23)&gt;0,(X22*(1+'Cloud Consumption'!E$23)),0)</f>
        <v>0</v>
      </c>
      <c r="Y23" s="106">
        <f>IF(COUNT($G23)&gt;0,(Y22*(1+'Cloud Consumption'!F$23)),0)</f>
        <v>0</v>
      </c>
      <c r="Z23" s="106">
        <f>IF(COUNT($G23)&gt;0,(Z22*(1+'Cloud Consumption'!G$23)),0)</f>
        <v>0</v>
      </c>
      <c r="AA23" s="106">
        <f t="shared" si="2"/>
        <v>0</v>
      </c>
      <c r="AB23" s="106">
        <f t="shared" si="3"/>
        <v>0</v>
      </c>
      <c r="AC23" s="106">
        <f t="shared" si="4"/>
        <v>0</v>
      </c>
      <c r="AD23" s="106">
        <f t="shared" si="5"/>
        <v>0</v>
      </c>
      <c r="AE23" s="106">
        <f t="shared" si="6"/>
        <v>0</v>
      </c>
    </row>
    <row r="24" spans="1:31">
      <c r="A24" t="str">
        <f t="shared" si="7"/>
        <v/>
      </c>
      <c r="B24">
        <f t="shared" si="8"/>
        <v>0</v>
      </c>
      <c r="C24">
        <f t="shared" si="9"/>
        <v>0</v>
      </c>
      <c r="D24">
        <f>IF(COUNT(A24)&gt;0,'Active Project'!$C$12,0)</f>
        <v>0</v>
      </c>
      <c r="E24" s="15">
        <f>IF(COUNT(A24)&gt;0,'Active Project'!$C$18,0)</f>
        <v>0</v>
      </c>
      <c r="G24" t="str">
        <f t="shared" si="10"/>
        <v/>
      </c>
      <c r="H24">
        <f t="shared" si="11"/>
        <v>0</v>
      </c>
      <c r="I24" s="15">
        <f t="shared" si="1"/>
        <v>0</v>
      </c>
      <c r="J24" s="15">
        <f>IF(AND((COUNT($G24)&gt;0),(G24&lt;=$J$3)),'Enablement Services'!$C$35+'Enablement Services'!$C$36+D24,D24)</f>
        <v>0</v>
      </c>
      <c r="K24" s="15">
        <f>IF(AND((COUNT($G24)&gt;0),(G24&lt;=$J$3)),'Enablement Services'!$C$25+'Enablement Services'!$C$26+D24,D24)</f>
        <v>0</v>
      </c>
      <c r="L24" s="15">
        <f>IF(AND((COUNT($G24)&gt;0),(G24&lt;=$J$3)),'Enablement Services'!$C$14+'Enablement Services'!$C$15+D24,D24)</f>
        <v>0</v>
      </c>
      <c r="M24" s="15">
        <f t="shared" si="0"/>
        <v>0</v>
      </c>
      <c r="N24" s="15">
        <f>IF(COUNT(G24)&gt;0,'Active Project'!$C$18,0)</f>
        <v>0</v>
      </c>
      <c r="O24" s="106">
        <f>IF(COUNT($G24)&gt;0,(O23*(1+'Cloud Consumption'!E$20)),0)</f>
        <v>0</v>
      </c>
      <c r="P24" s="106">
        <f>IF(COUNT($G24)&gt;0,(P23*(1+'Cloud Consumption'!F$20)),0)</f>
        <v>0</v>
      </c>
      <c r="Q24" s="106">
        <f>IF(COUNT($G24)&gt;0,(Q23*(1+'Cloud Consumption'!G$20)),0)</f>
        <v>0</v>
      </c>
      <c r="R24" s="106">
        <f>IF(COUNT($G24)&gt;0,(R23*(1+'Cloud Consumption'!E$21)),0)</f>
        <v>0</v>
      </c>
      <c r="S24" s="106">
        <f>IF(COUNT($G24)&gt;0,(S23*(1+'Cloud Consumption'!F$21)),0)</f>
        <v>0</v>
      </c>
      <c r="T24" s="106">
        <f>IF(COUNT($G24)&gt;0,(T23*(1+'Cloud Consumption'!G$21)),0)</f>
        <v>0</v>
      </c>
      <c r="U24" s="106">
        <f>IF(COUNT($G24)&gt;0,(U23*(1+'Cloud Consumption'!E$22)),0)</f>
        <v>0</v>
      </c>
      <c r="V24" s="106">
        <f>IF(COUNT($G24)&gt;0,(V23*(1+'Cloud Consumption'!F$22)),0)</f>
        <v>0</v>
      </c>
      <c r="W24" s="106">
        <f>IF(COUNT($G24)&gt;0,(W23*(1+'Cloud Consumption'!G$22)),0)</f>
        <v>0</v>
      </c>
      <c r="X24" s="106">
        <f>IF(COUNT($G24)&gt;0,(X23*(1+'Cloud Consumption'!E$23)),0)</f>
        <v>0</v>
      </c>
      <c r="Y24" s="106">
        <f>IF(COUNT($G24)&gt;0,(Y23*(1+'Cloud Consumption'!F$23)),0)</f>
        <v>0</v>
      </c>
      <c r="Z24" s="106">
        <f>IF(COUNT($G24)&gt;0,(Z23*(1+'Cloud Consumption'!G$23)),0)</f>
        <v>0</v>
      </c>
      <c r="AA24" s="106">
        <f t="shared" si="2"/>
        <v>0</v>
      </c>
      <c r="AB24" s="106">
        <f t="shared" si="3"/>
        <v>0</v>
      </c>
      <c r="AC24" s="106">
        <f t="shared" si="4"/>
        <v>0</v>
      </c>
      <c r="AD24" s="106">
        <f t="shared" si="5"/>
        <v>0</v>
      </c>
      <c r="AE24" s="106">
        <f t="shared" si="6"/>
        <v>0</v>
      </c>
    </row>
    <row r="25" spans="1:31">
      <c r="A25" t="str">
        <f t="shared" si="7"/>
        <v/>
      </c>
      <c r="B25">
        <f t="shared" si="8"/>
        <v>0</v>
      </c>
      <c r="C25">
        <f t="shared" si="9"/>
        <v>0</v>
      </c>
      <c r="D25">
        <f>IF(COUNT(A25)&gt;0,'Active Project'!$C$12,0)</f>
        <v>0</v>
      </c>
      <c r="E25" s="15">
        <f>IF(COUNT(A25)&gt;0,'Active Project'!$C$18,0)</f>
        <v>0</v>
      </c>
      <c r="G25" t="str">
        <f t="shared" si="10"/>
        <v/>
      </c>
      <c r="H25">
        <f t="shared" si="11"/>
        <v>0</v>
      </c>
      <c r="I25" s="15">
        <f t="shared" si="1"/>
        <v>0</v>
      </c>
      <c r="J25" s="15">
        <f>IF(AND((COUNT($G25)&gt;0),(G25&lt;=$J$3)),'Enablement Services'!$C$35+'Enablement Services'!$C$36+D25,D25)</f>
        <v>0</v>
      </c>
      <c r="K25" s="15">
        <f>IF(AND((COUNT($G25)&gt;0),(G25&lt;=$J$3)),'Enablement Services'!$C$25+'Enablement Services'!$C$26+D25,D25)</f>
        <v>0</v>
      </c>
      <c r="L25" s="15">
        <f>IF(AND((COUNT($G25)&gt;0),(G25&lt;=$J$3)),'Enablement Services'!$C$14+'Enablement Services'!$C$15+D25,D25)</f>
        <v>0</v>
      </c>
      <c r="M25" s="15">
        <f t="shared" si="0"/>
        <v>0</v>
      </c>
      <c r="N25" s="15">
        <f>IF(COUNT(G25)&gt;0,'Active Project'!$C$18,0)</f>
        <v>0</v>
      </c>
      <c r="O25" s="106">
        <f>IF(COUNT($G25)&gt;0,(O24*(1+'Cloud Consumption'!E$20)),0)</f>
        <v>0</v>
      </c>
      <c r="P25" s="106">
        <f>IF(COUNT($G25)&gt;0,(P24*(1+'Cloud Consumption'!F$20)),0)</f>
        <v>0</v>
      </c>
      <c r="Q25" s="106">
        <f>IF(COUNT($G25)&gt;0,(Q24*(1+'Cloud Consumption'!G$20)),0)</f>
        <v>0</v>
      </c>
      <c r="R25" s="106">
        <f>IF(COUNT($G25)&gt;0,(R24*(1+'Cloud Consumption'!E$21)),0)</f>
        <v>0</v>
      </c>
      <c r="S25" s="106">
        <f>IF(COUNT($G25)&gt;0,(S24*(1+'Cloud Consumption'!F$21)),0)</f>
        <v>0</v>
      </c>
      <c r="T25" s="106">
        <f>IF(COUNT($G25)&gt;0,(T24*(1+'Cloud Consumption'!G$21)),0)</f>
        <v>0</v>
      </c>
      <c r="U25" s="106">
        <f>IF(COUNT($G25)&gt;0,(U24*(1+'Cloud Consumption'!E$22)),0)</f>
        <v>0</v>
      </c>
      <c r="V25" s="106">
        <f>IF(COUNT($G25)&gt;0,(V24*(1+'Cloud Consumption'!F$22)),0)</f>
        <v>0</v>
      </c>
      <c r="W25" s="106">
        <f>IF(COUNT($G25)&gt;0,(W24*(1+'Cloud Consumption'!G$22)),0)</f>
        <v>0</v>
      </c>
      <c r="X25" s="106">
        <f>IF(COUNT($G25)&gt;0,(X24*(1+'Cloud Consumption'!E$23)),0)</f>
        <v>0</v>
      </c>
      <c r="Y25" s="106">
        <f>IF(COUNT($G25)&gt;0,(Y24*(1+'Cloud Consumption'!F$23)),0)</f>
        <v>0</v>
      </c>
      <c r="Z25" s="106">
        <f>IF(COUNT($G25)&gt;0,(Z24*(1+'Cloud Consumption'!G$23)),0)</f>
        <v>0</v>
      </c>
      <c r="AA25" s="106">
        <f t="shared" si="2"/>
        <v>0</v>
      </c>
      <c r="AB25" s="106">
        <f t="shared" si="3"/>
        <v>0</v>
      </c>
      <c r="AC25" s="106">
        <f t="shared" si="4"/>
        <v>0</v>
      </c>
      <c r="AD25" s="106">
        <f t="shared" si="5"/>
        <v>0</v>
      </c>
      <c r="AE25" s="106">
        <f t="shared" si="6"/>
        <v>0</v>
      </c>
    </row>
    <row r="26" spans="1:31">
      <c r="A26" t="str">
        <f t="shared" si="7"/>
        <v/>
      </c>
      <c r="B26">
        <f t="shared" si="8"/>
        <v>0</v>
      </c>
      <c r="C26">
        <f t="shared" si="9"/>
        <v>0</v>
      </c>
      <c r="D26">
        <f>IF(COUNT(A26)&gt;0,'Active Project'!$C$12,0)</f>
        <v>0</v>
      </c>
      <c r="E26" s="15">
        <f>IF(COUNT(A26)&gt;0,'Active Project'!$C$18,0)</f>
        <v>0</v>
      </c>
      <c r="G26" t="str">
        <f t="shared" si="10"/>
        <v/>
      </c>
      <c r="H26">
        <f t="shared" si="11"/>
        <v>0</v>
      </c>
      <c r="I26" s="15">
        <f t="shared" si="1"/>
        <v>0</v>
      </c>
      <c r="J26" s="15">
        <f>IF(AND((COUNT($G26)&gt;0),(G26&lt;=$J$3)),'Enablement Services'!$C$35+'Enablement Services'!$C$36+D26,D26)</f>
        <v>0</v>
      </c>
      <c r="K26" s="15">
        <f>IF(AND((COUNT($G26)&gt;0),(G26&lt;=$J$3)),'Enablement Services'!$C$25+'Enablement Services'!$C$26+D26,D26)</f>
        <v>0</v>
      </c>
      <c r="L26" s="15">
        <f>IF(AND((COUNT($G26)&gt;0),(G26&lt;=$J$3)),'Enablement Services'!$C$14+'Enablement Services'!$C$15+D26,D26)</f>
        <v>0</v>
      </c>
      <c r="M26" s="15">
        <f t="shared" si="0"/>
        <v>0</v>
      </c>
      <c r="N26" s="15">
        <f>IF(COUNT(G26)&gt;0,'Active Project'!$C$18,0)</f>
        <v>0</v>
      </c>
      <c r="O26" s="106">
        <f>IF(COUNT($G26)&gt;0,(O25*(1+'Cloud Consumption'!E$20)),0)</f>
        <v>0</v>
      </c>
      <c r="P26" s="106">
        <f>IF(COUNT($G26)&gt;0,(P25*(1+'Cloud Consumption'!F$20)),0)</f>
        <v>0</v>
      </c>
      <c r="Q26" s="106">
        <f>IF(COUNT($G26)&gt;0,(Q25*(1+'Cloud Consumption'!G$20)),0)</f>
        <v>0</v>
      </c>
      <c r="R26" s="106">
        <f>IF(COUNT($G26)&gt;0,(R25*(1+'Cloud Consumption'!E$21)),0)</f>
        <v>0</v>
      </c>
      <c r="S26" s="106">
        <f>IF(COUNT($G26)&gt;0,(S25*(1+'Cloud Consumption'!F$21)),0)</f>
        <v>0</v>
      </c>
      <c r="T26" s="106">
        <f>IF(COUNT($G26)&gt;0,(T25*(1+'Cloud Consumption'!G$21)),0)</f>
        <v>0</v>
      </c>
      <c r="U26" s="106">
        <f>IF(COUNT($G26)&gt;0,(U25*(1+'Cloud Consumption'!E$22)),0)</f>
        <v>0</v>
      </c>
      <c r="V26" s="106">
        <f>IF(COUNT($G26)&gt;0,(V25*(1+'Cloud Consumption'!F$22)),0)</f>
        <v>0</v>
      </c>
      <c r="W26" s="106">
        <f>IF(COUNT($G26)&gt;0,(W25*(1+'Cloud Consumption'!G$22)),0)</f>
        <v>0</v>
      </c>
      <c r="X26" s="106">
        <f>IF(COUNT($G26)&gt;0,(X25*(1+'Cloud Consumption'!E$23)),0)</f>
        <v>0</v>
      </c>
      <c r="Y26" s="106">
        <f>IF(COUNT($G26)&gt;0,(Y25*(1+'Cloud Consumption'!F$23)),0)</f>
        <v>0</v>
      </c>
      <c r="Z26" s="106">
        <f>IF(COUNT($G26)&gt;0,(Z25*(1+'Cloud Consumption'!G$23)),0)</f>
        <v>0</v>
      </c>
      <c r="AA26" s="106">
        <f t="shared" si="2"/>
        <v>0</v>
      </c>
      <c r="AB26" s="106">
        <f t="shared" si="3"/>
        <v>0</v>
      </c>
      <c r="AC26" s="106">
        <f t="shared" si="4"/>
        <v>0</v>
      </c>
      <c r="AD26" s="106">
        <f t="shared" si="5"/>
        <v>0</v>
      </c>
      <c r="AE26" s="106">
        <f t="shared" si="6"/>
        <v>0</v>
      </c>
    </row>
    <row r="27" spans="1:31">
      <c r="A27" t="str">
        <f t="shared" si="7"/>
        <v/>
      </c>
      <c r="B27">
        <f t="shared" si="8"/>
        <v>0</v>
      </c>
      <c r="C27">
        <f t="shared" si="9"/>
        <v>0</v>
      </c>
      <c r="D27">
        <f>IF(COUNT(A27)&gt;0,'Active Project'!$C$12,0)</f>
        <v>0</v>
      </c>
      <c r="E27" s="15">
        <f>IF(COUNT(A27)&gt;0,'Active Project'!$C$18,0)</f>
        <v>0</v>
      </c>
      <c r="G27" t="str">
        <f t="shared" si="10"/>
        <v/>
      </c>
      <c r="H27">
        <f t="shared" si="11"/>
        <v>0</v>
      </c>
      <c r="I27" s="15">
        <f t="shared" si="1"/>
        <v>0</v>
      </c>
      <c r="J27" s="15">
        <f>IF(AND((COUNT($G27)&gt;0),(G27&lt;=$J$3)),'Enablement Services'!$C$35+'Enablement Services'!$C$36+D27,D27)</f>
        <v>0</v>
      </c>
      <c r="K27" s="15">
        <f>IF(AND((COUNT($G27)&gt;0),(G27&lt;=$J$3)),'Enablement Services'!$C$25+'Enablement Services'!$C$26+D27,D27)</f>
        <v>0</v>
      </c>
      <c r="L27" s="15">
        <f>IF(AND((COUNT($G27)&gt;0),(G27&lt;=$J$3)),'Enablement Services'!$C$14+'Enablement Services'!$C$15+D27,D27)</f>
        <v>0</v>
      </c>
      <c r="M27" s="15">
        <f t="shared" si="0"/>
        <v>0</v>
      </c>
      <c r="N27" s="15">
        <f>IF(COUNT(G27)&gt;0,'Active Project'!$C$18,0)</f>
        <v>0</v>
      </c>
      <c r="O27" s="106">
        <f>IF(COUNT($G27)&gt;0,(O26*(1+'Cloud Consumption'!E$20)),0)</f>
        <v>0</v>
      </c>
      <c r="P27" s="106">
        <f>IF(COUNT($G27)&gt;0,(P26*(1+'Cloud Consumption'!F$20)),0)</f>
        <v>0</v>
      </c>
      <c r="Q27" s="106">
        <f>IF(COUNT($G27)&gt;0,(Q26*(1+'Cloud Consumption'!G$20)),0)</f>
        <v>0</v>
      </c>
      <c r="R27" s="106">
        <f>IF(COUNT($G27)&gt;0,(R26*(1+'Cloud Consumption'!E$21)),0)</f>
        <v>0</v>
      </c>
      <c r="S27" s="106">
        <f>IF(COUNT($G27)&gt;0,(S26*(1+'Cloud Consumption'!F$21)),0)</f>
        <v>0</v>
      </c>
      <c r="T27" s="106">
        <f>IF(COUNT($G27)&gt;0,(T26*(1+'Cloud Consumption'!G$21)),0)</f>
        <v>0</v>
      </c>
      <c r="U27" s="106">
        <f>IF(COUNT($G27)&gt;0,(U26*(1+'Cloud Consumption'!E$22)),0)</f>
        <v>0</v>
      </c>
      <c r="V27" s="106">
        <f>IF(COUNT($G27)&gt;0,(V26*(1+'Cloud Consumption'!F$22)),0)</f>
        <v>0</v>
      </c>
      <c r="W27" s="106">
        <f>IF(COUNT($G27)&gt;0,(W26*(1+'Cloud Consumption'!G$22)),0)</f>
        <v>0</v>
      </c>
      <c r="X27" s="106">
        <f>IF(COUNT($G27)&gt;0,(X26*(1+'Cloud Consumption'!E$23)),0)</f>
        <v>0</v>
      </c>
      <c r="Y27" s="106">
        <f>IF(COUNT($G27)&gt;0,(Y26*(1+'Cloud Consumption'!F$23)),0)</f>
        <v>0</v>
      </c>
      <c r="Z27" s="106">
        <f>IF(COUNT($G27)&gt;0,(Z26*(1+'Cloud Consumption'!G$23)),0)</f>
        <v>0</v>
      </c>
      <c r="AA27" s="106">
        <f t="shared" si="2"/>
        <v>0</v>
      </c>
      <c r="AB27" s="106">
        <f t="shared" si="3"/>
        <v>0</v>
      </c>
      <c r="AC27" s="106">
        <f t="shared" si="4"/>
        <v>0</v>
      </c>
      <c r="AD27" s="106">
        <f t="shared" si="5"/>
        <v>0</v>
      </c>
      <c r="AE27" s="106">
        <f t="shared" si="6"/>
        <v>0</v>
      </c>
    </row>
    <row r="28" spans="1:31">
      <c r="A28" t="str">
        <f t="shared" si="7"/>
        <v/>
      </c>
      <c r="B28">
        <f t="shared" si="8"/>
        <v>0</v>
      </c>
      <c r="C28">
        <f t="shared" si="9"/>
        <v>0</v>
      </c>
      <c r="D28">
        <f>IF(COUNT(A28)&gt;0,'Active Project'!$C$12,0)</f>
        <v>0</v>
      </c>
      <c r="E28" s="15">
        <f>IF(COUNT(A28)&gt;0,'Active Project'!$C$18,0)</f>
        <v>0</v>
      </c>
      <c r="G28" t="str">
        <f t="shared" si="10"/>
        <v/>
      </c>
      <c r="H28">
        <f t="shared" si="11"/>
        <v>0</v>
      </c>
      <c r="I28" s="15">
        <f t="shared" si="1"/>
        <v>0</v>
      </c>
      <c r="J28" s="15">
        <f>IF(AND((COUNT($G28)&gt;0),(G28&lt;=$J$3)),'Enablement Services'!$C$35+'Enablement Services'!$C$36+D28,D28)</f>
        <v>0</v>
      </c>
      <c r="K28" s="15">
        <f>IF(AND((COUNT($G28)&gt;0),(G28&lt;=$J$3)),'Enablement Services'!$C$25+'Enablement Services'!$C$26+D28,D28)</f>
        <v>0</v>
      </c>
      <c r="L28" s="15">
        <f>IF(AND((COUNT($G28)&gt;0),(G28&lt;=$J$3)),'Enablement Services'!$C$14+'Enablement Services'!$C$15+D28,D28)</f>
        <v>0</v>
      </c>
      <c r="M28" s="15">
        <f t="shared" si="0"/>
        <v>0</v>
      </c>
      <c r="N28" s="15">
        <f>IF(COUNT(G28)&gt;0,'Active Project'!$C$18,0)</f>
        <v>0</v>
      </c>
      <c r="O28" s="106">
        <f>IF(COUNT($G28)&gt;0,(O27*(1+'Cloud Consumption'!E$20)),0)</f>
        <v>0</v>
      </c>
      <c r="P28" s="106">
        <f>IF(COUNT($G28)&gt;0,(P27*(1+'Cloud Consumption'!F$20)),0)</f>
        <v>0</v>
      </c>
      <c r="Q28" s="106">
        <f>IF(COUNT($G28)&gt;0,(Q27*(1+'Cloud Consumption'!G$20)),0)</f>
        <v>0</v>
      </c>
      <c r="R28" s="106">
        <f>IF(COUNT($G28)&gt;0,(R27*(1+'Cloud Consumption'!E$21)),0)</f>
        <v>0</v>
      </c>
      <c r="S28" s="106">
        <f>IF(COUNT($G28)&gt;0,(S27*(1+'Cloud Consumption'!F$21)),0)</f>
        <v>0</v>
      </c>
      <c r="T28" s="106">
        <f>IF(COUNT($G28)&gt;0,(T27*(1+'Cloud Consumption'!G$21)),0)</f>
        <v>0</v>
      </c>
      <c r="U28" s="106">
        <f>IF(COUNT($G28)&gt;0,(U27*(1+'Cloud Consumption'!E$22)),0)</f>
        <v>0</v>
      </c>
      <c r="V28" s="106">
        <f>IF(COUNT($G28)&gt;0,(V27*(1+'Cloud Consumption'!F$22)),0)</f>
        <v>0</v>
      </c>
      <c r="W28" s="106">
        <f>IF(COUNT($G28)&gt;0,(W27*(1+'Cloud Consumption'!G$22)),0)</f>
        <v>0</v>
      </c>
      <c r="X28" s="106">
        <f>IF(COUNT($G28)&gt;0,(X27*(1+'Cloud Consumption'!E$23)),0)</f>
        <v>0</v>
      </c>
      <c r="Y28" s="106">
        <f>IF(COUNT($G28)&gt;0,(Y27*(1+'Cloud Consumption'!F$23)),0)</f>
        <v>0</v>
      </c>
      <c r="Z28" s="106">
        <f>IF(COUNT($G28)&gt;0,(Z27*(1+'Cloud Consumption'!G$23)),0)</f>
        <v>0</v>
      </c>
      <c r="AA28" s="106">
        <f t="shared" si="2"/>
        <v>0</v>
      </c>
      <c r="AB28" s="106">
        <f t="shared" si="3"/>
        <v>0</v>
      </c>
      <c r="AC28" s="106">
        <f t="shared" si="4"/>
        <v>0</v>
      </c>
      <c r="AD28" s="106">
        <f t="shared" si="5"/>
        <v>0</v>
      </c>
      <c r="AE28" s="106">
        <f t="shared" si="6"/>
        <v>0</v>
      </c>
    </row>
    <row r="29" spans="1:31">
      <c r="A29" t="str">
        <f t="shared" si="7"/>
        <v/>
      </c>
      <c r="B29">
        <f t="shared" si="8"/>
        <v>0</v>
      </c>
      <c r="C29">
        <f t="shared" si="9"/>
        <v>0</v>
      </c>
      <c r="D29">
        <f>IF(COUNT(A29)&gt;0,'Active Project'!$C$12,0)</f>
        <v>0</v>
      </c>
      <c r="E29" s="15">
        <f>IF(COUNT(A29)&gt;0,'Active Project'!$C$18,0)</f>
        <v>0</v>
      </c>
      <c r="G29" t="str">
        <f t="shared" si="10"/>
        <v/>
      </c>
      <c r="H29">
        <f t="shared" si="11"/>
        <v>0</v>
      </c>
      <c r="I29" s="15">
        <f t="shared" si="1"/>
        <v>0</v>
      </c>
      <c r="J29" s="15">
        <f>IF(AND((COUNT($G29)&gt;0),(G29&lt;=$J$3)),'Enablement Services'!$C$35+'Enablement Services'!$C$36+D29,D29)</f>
        <v>0</v>
      </c>
      <c r="K29" s="15">
        <f>IF(AND((COUNT($G29)&gt;0),(G29&lt;=$J$3)),'Enablement Services'!$C$25+'Enablement Services'!$C$26+D29,D29)</f>
        <v>0</v>
      </c>
      <c r="L29" s="15">
        <f>IF(AND((COUNT($G29)&gt;0),(G29&lt;=$J$3)),'Enablement Services'!$C$14+'Enablement Services'!$C$15+D29,D29)</f>
        <v>0</v>
      </c>
      <c r="M29" s="15">
        <f t="shared" si="0"/>
        <v>0</v>
      </c>
      <c r="N29" s="15">
        <f>IF(COUNT(G29)&gt;0,'Active Project'!$C$18,0)</f>
        <v>0</v>
      </c>
      <c r="O29" s="106">
        <f>IF(COUNT($G29)&gt;0,(O28*(1+'Cloud Consumption'!E$20)),0)</f>
        <v>0</v>
      </c>
      <c r="P29" s="106">
        <f>IF(COUNT($G29)&gt;0,(P28*(1+'Cloud Consumption'!F$20)),0)</f>
        <v>0</v>
      </c>
      <c r="Q29" s="106">
        <f>IF(COUNT($G29)&gt;0,(Q28*(1+'Cloud Consumption'!G$20)),0)</f>
        <v>0</v>
      </c>
      <c r="R29" s="106">
        <f>IF(COUNT($G29)&gt;0,(R28*(1+'Cloud Consumption'!E$21)),0)</f>
        <v>0</v>
      </c>
      <c r="S29" s="106">
        <f>IF(COUNT($G29)&gt;0,(S28*(1+'Cloud Consumption'!F$21)),0)</f>
        <v>0</v>
      </c>
      <c r="T29" s="106">
        <f>IF(COUNT($G29)&gt;0,(T28*(1+'Cloud Consumption'!G$21)),0)</f>
        <v>0</v>
      </c>
      <c r="U29" s="106">
        <f>IF(COUNT($G29)&gt;0,(U28*(1+'Cloud Consumption'!E$22)),0)</f>
        <v>0</v>
      </c>
      <c r="V29" s="106">
        <f>IF(COUNT($G29)&gt;0,(V28*(1+'Cloud Consumption'!F$22)),0)</f>
        <v>0</v>
      </c>
      <c r="W29" s="106">
        <f>IF(COUNT($G29)&gt;0,(W28*(1+'Cloud Consumption'!G$22)),0)</f>
        <v>0</v>
      </c>
      <c r="X29" s="106">
        <f>IF(COUNT($G29)&gt;0,(X28*(1+'Cloud Consumption'!E$23)),0)</f>
        <v>0</v>
      </c>
      <c r="Y29" s="106">
        <f>IF(COUNT($G29)&gt;0,(Y28*(1+'Cloud Consumption'!F$23)),0)</f>
        <v>0</v>
      </c>
      <c r="Z29" s="106">
        <f>IF(COUNT($G29)&gt;0,(Z28*(1+'Cloud Consumption'!G$23)),0)</f>
        <v>0</v>
      </c>
      <c r="AA29" s="106">
        <f t="shared" si="2"/>
        <v>0</v>
      </c>
      <c r="AB29" s="106">
        <f t="shared" si="3"/>
        <v>0</v>
      </c>
      <c r="AC29" s="106">
        <f t="shared" si="4"/>
        <v>0</v>
      </c>
      <c r="AD29" s="106">
        <f t="shared" si="5"/>
        <v>0</v>
      </c>
      <c r="AE29" s="106">
        <f t="shared" si="6"/>
        <v>0</v>
      </c>
    </row>
    <row r="30" spans="1:31">
      <c r="A30" t="str">
        <f t="shared" si="7"/>
        <v/>
      </c>
      <c r="B30">
        <f t="shared" si="8"/>
        <v>0</v>
      </c>
      <c r="C30">
        <f t="shared" si="9"/>
        <v>0</v>
      </c>
      <c r="D30">
        <f>IF(COUNT(A30)&gt;0,'Active Project'!$C$12,0)</f>
        <v>0</v>
      </c>
      <c r="E30" s="15">
        <f>IF(COUNT(A30)&gt;0,'Active Project'!$C$18,0)</f>
        <v>0</v>
      </c>
      <c r="G30" t="str">
        <f t="shared" si="10"/>
        <v/>
      </c>
      <c r="H30">
        <f t="shared" si="11"/>
        <v>0</v>
      </c>
      <c r="I30" s="15">
        <f t="shared" si="1"/>
        <v>0</v>
      </c>
      <c r="J30" s="15">
        <f>IF(AND((COUNT($G30)&gt;0),(G30&lt;=$J$3)),'Enablement Services'!$C$35+'Enablement Services'!$C$36+D30,D30)</f>
        <v>0</v>
      </c>
      <c r="K30" s="15">
        <f>IF(AND((COUNT($G30)&gt;0),(G30&lt;=$J$3)),'Enablement Services'!$C$25+'Enablement Services'!$C$26+D30,D30)</f>
        <v>0</v>
      </c>
      <c r="L30" s="15">
        <f>IF(AND((COUNT($G30)&gt;0),(G30&lt;=$J$3)),'Enablement Services'!$C$14+'Enablement Services'!$C$15+D30,D30)</f>
        <v>0</v>
      </c>
      <c r="M30" s="15">
        <f t="shared" si="0"/>
        <v>0</v>
      </c>
      <c r="N30" s="15">
        <f>IF(COUNT(G30)&gt;0,'Active Project'!$C$18,0)</f>
        <v>0</v>
      </c>
      <c r="O30" s="106">
        <f>IF(COUNT($G30)&gt;0,(O29*(1+'Cloud Consumption'!E$20)),0)</f>
        <v>0</v>
      </c>
      <c r="P30" s="106">
        <f>IF(COUNT($G30)&gt;0,(P29*(1+'Cloud Consumption'!F$20)),0)</f>
        <v>0</v>
      </c>
      <c r="Q30" s="106">
        <f>IF(COUNT($G30)&gt;0,(Q29*(1+'Cloud Consumption'!G$20)),0)</f>
        <v>0</v>
      </c>
      <c r="R30" s="106">
        <f>IF(COUNT($G30)&gt;0,(R29*(1+'Cloud Consumption'!E$21)),0)</f>
        <v>0</v>
      </c>
      <c r="S30" s="106">
        <f>IF(COUNT($G30)&gt;0,(S29*(1+'Cloud Consumption'!F$21)),0)</f>
        <v>0</v>
      </c>
      <c r="T30" s="106">
        <f>IF(COUNT($G30)&gt;0,(T29*(1+'Cloud Consumption'!G$21)),0)</f>
        <v>0</v>
      </c>
      <c r="U30" s="106">
        <f>IF(COUNT($G30)&gt;0,(U29*(1+'Cloud Consumption'!E$22)),0)</f>
        <v>0</v>
      </c>
      <c r="V30" s="106">
        <f>IF(COUNT($G30)&gt;0,(V29*(1+'Cloud Consumption'!F$22)),0)</f>
        <v>0</v>
      </c>
      <c r="W30" s="106">
        <f>IF(COUNT($G30)&gt;0,(W29*(1+'Cloud Consumption'!G$22)),0)</f>
        <v>0</v>
      </c>
      <c r="X30" s="106">
        <f>IF(COUNT($G30)&gt;0,(X29*(1+'Cloud Consumption'!E$23)),0)</f>
        <v>0</v>
      </c>
      <c r="Y30" s="106">
        <f>IF(COUNT($G30)&gt;0,(Y29*(1+'Cloud Consumption'!F$23)),0)</f>
        <v>0</v>
      </c>
      <c r="Z30" s="106">
        <f>IF(COUNT($G30)&gt;0,(Z29*(1+'Cloud Consumption'!G$23)),0)</f>
        <v>0</v>
      </c>
      <c r="AA30" s="106">
        <f t="shared" si="2"/>
        <v>0</v>
      </c>
      <c r="AB30" s="106">
        <f t="shared" si="3"/>
        <v>0</v>
      </c>
      <c r="AC30" s="106">
        <f t="shared" si="4"/>
        <v>0</v>
      </c>
      <c r="AD30" s="106">
        <f t="shared" si="5"/>
        <v>0</v>
      </c>
      <c r="AE30" s="106">
        <f t="shared" si="6"/>
        <v>0</v>
      </c>
    </row>
    <row r="31" spans="1:31">
      <c r="A31" t="str">
        <f t="shared" si="7"/>
        <v/>
      </c>
      <c r="B31">
        <f t="shared" si="8"/>
        <v>0</v>
      </c>
      <c r="C31">
        <f t="shared" si="9"/>
        <v>0</v>
      </c>
      <c r="D31">
        <f>IF(COUNT(A31)&gt;0,'Active Project'!$C$12,0)</f>
        <v>0</v>
      </c>
      <c r="E31" s="15">
        <f>IF(COUNT(A31)&gt;0,'Active Project'!$C$18,0)</f>
        <v>0</v>
      </c>
      <c r="G31" t="str">
        <f t="shared" si="10"/>
        <v/>
      </c>
      <c r="H31">
        <f t="shared" si="11"/>
        <v>0</v>
      </c>
      <c r="I31" s="15">
        <f t="shared" si="1"/>
        <v>0</v>
      </c>
      <c r="J31" s="15">
        <f>IF(AND((COUNT($G31)&gt;0),(G31&lt;=$J$3)),'Enablement Services'!$C$35+'Enablement Services'!$C$36+D31,D31)</f>
        <v>0</v>
      </c>
      <c r="K31" s="15">
        <f>IF(AND((COUNT($G31)&gt;0),(G31&lt;=$J$3)),'Enablement Services'!$C$25+'Enablement Services'!$C$26+D31,D31)</f>
        <v>0</v>
      </c>
      <c r="L31" s="15">
        <f>IF(AND((COUNT($G31)&gt;0),(G31&lt;=$J$3)),'Enablement Services'!$C$14+'Enablement Services'!$C$15+D31,D31)</f>
        <v>0</v>
      </c>
      <c r="M31" s="15">
        <f t="shared" si="0"/>
        <v>0</v>
      </c>
      <c r="N31" s="15">
        <f>IF(COUNT(G31)&gt;0,'Active Project'!$C$18,0)</f>
        <v>0</v>
      </c>
      <c r="O31" s="106">
        <f>IF(COUNT($G31)&gt;0,(O30*(1+'Cloud Consumption'!E$20)),0)</f>
        <v>0</v>
      </c>
      <c r="P31" s="106">
        <f>IF(COUNT($G31)&gt;0,(P30*(1+'Cloud Consumption'!F$20)),0)</f>
        <v>0</v>
      </c>
      <c r="Q31" s="106">
        <f>IF(COUNT($G31)&gt;0,(Q30*(1+'Cloud Consumption'!G$20)),0)</f>
        <v>0</v>
      </c>
      <c r="R31" s="106">
        <f>IF(COUNT($G31)&gt;0,(R30*(1+'Cloud Consumption'!E$21)),0)</f>
        <v>0</v>
      </c>
      <c r="S31" s="106">
        <f>IF(COUNT($G31)&gt;0,(S30*(1+'Cloud Consumption'!F$21)),0)</f>
        <v>0</v>
      </c>
      <c r="T31" s="106">
        <f>IF(COUNT($G31)&gt;0,(T30*(1+'Cloud Consumption'!G$21)),0)</f>
        <v>0</v>
      </c>
      <c r="U31" s="106">
        <f>IF(COUNT($G31)&gt;0,(U30*(1+'Cloud Consumption'!E$22)),0)</f>
        <v>0</v>
      </c>
      <c r="V31" s="106">
        <f>IF(COUNT($G31)&gt;0,(V30*(1+'Cloud Consumption'!F$22)),0)</f>
        <v>0</v>
      </c>
      <c r="W31" s="106">
        <f>IF(COUNT($G31)&gt;0,(W30*(1+'Cloud Consumption'!G$22)),0)</f>
        <v>0</v>
      </c>
      <c r="X31" s="106">
        <f>IF(COUNT($G31)&gt;0,(X30*(1+'Cloud Consumption'!E$23)),0)</f>
        <v>0</v>
      </c>
      <c r="Y31" s="106">
        <f>IF(COUNT($G31)&gt;0,(Y30*(1+'Cloud Consumption'!F$23)),0)</f>
        <v>0</v>
      </c>
      <c r="Z31" s="106">
        <f>IF(COUNT($G31)&gt;0,(Z30*(1+'Cloud Consumption'!G$23)),0)</f>
        <v>0</v>
      </c>
      <c r="AA31" s="106">
        <f t="shared" si="2"/>
        <v>0</v>
      </c>
      <c r="AB31" s="106">
        <f t="shared" si="3"/>
        <v>0</v>
      </c>
      <c r="AC31" s="106">
        <f t="shared" si="4"/>
        <v>0</v>
      </c>
      <c r="AD31" s="106">
        <f t="shared" si="5"/>
        <v>0</v>
      </c>
      <c r="AE31" s="106">
        <f t="shared" si="6"/>
        <v>0</v>
      </c>
    </row>
    <row r="32" spans="1:31">
      <c r="A32" t="str">
        <f t="shared" si="7"/>
        <v/>
      </c>
      <c r="B32">
        <f t="shared" si="8"/>
        <v>0</v>
      </c>
      <c r="C32">
        <f t="shared" si="9"/>
        <v>0</v>
      </c>
      <c r="D32">
        <f>IF(COUNT(A32)&gt;0,'Active Project'!$C$12,0)</f>
        <v>0</v>
      </c>
      <c r="E32" s="15">
        <f>IF(COUNT(A32)&gt;0,'Active Project'!$C$18,0)</f>
        <v>0</v>
      </c>
      <c r="G32" t="str">
        <f t="shared" si="10"/>
        <v/>
      </c>
      <c r="H32">
        <f t="shared" si="11"/>
        <v>0</v>
      </c>
      <c r="I32" s="15">
        <f t="shared" si="1"/>
        <v>0</v>
      </c>
      <c r="J32" s="15">
        <f>IF(AND((COUNT($G32)&gt;0),(G32&lt;=$J$3)),'Enablement Services'!$C$35+'Enablement Services'!$C$36+D32,D32)</f>
        <v>0</v>
      </c>
      <c r="K32" s="15">
        <f>IF(AND((COUNT($G32)&gt;0),(G32&lt;=$J$3)),'Enablement Services'!$C$25+'Enablement Services'!$C$26+D32,D32)</f>
        <v>0</v>
      </c>
      <c r="L32" s="15">
        <f>IF(AND((COUNT($G32)&gt;0),(G32&lt;=$J$3)),'Enablement Services'!$C$14+'Enablement Services'!$C$15+D32,D32)</f>
        <v>0</v>
      </c>
      <c r="M32" s="15">
        <f t="shared" si="0"/>
        <v>0</v>
      </c>
      <c r="N32" s="15">
        <f>IF(COUNT(G32)&gt;0,'Active Project'!$C$18,0)</f>
        <v>0</v>
      </c>
      <c r="O32" s="106">
        <f>IF(COUNT($G32)&gt;0,(O31*(1+'Cloud Consumption'!E$20)),0)</f>
        <v>0</v>
      </c>
      <c r="P32" s="106">
        <f>IF(COUNT($G32)&gt;0,(P31*(1+'Cloud Consumption'!F$20)),0)</f>
        <v>0</v>
      </c>
      <c r="Q32" s="106">
        <f>IF(COUNT($G32)&gt;0,(Q31*(1+'Cloud Consumption'!G$20)),0)</f>
        <v>0</v>
      </c>
      <c r="R32" s="106">
        <f>IF(COUNT($G32)&gt;0,(R31*(1+'Cloud Consumption'!E$21)),0)</f>
        <v>0</v>
      </c>
      <c r="S32" s="106">
        <f>IF(COUNT($G32)&gt;0,(S31*(1+'Cloud Consumption'!F$21)),0)</f>
        <v>0</v>
      </c>
      <c r="T32" s="106">
        <f>IF(COUNT($G32)&gt;0,(T31*(1+'Cloud Consumption'!G$21)),0)</f>
        <v>0</v>
      </c>
      <c r="U32" s="106">
        <f>IF(COUNT($G32)&gt;0,(U31*(1+'Cloud Consumption'!E$22)),0)</f>
        <v>0</v>
      </c>
      <c r="V32" s="106">
        <f>IF(COUNT($G32)&gt;0,(V31*(1+'Cloud Consumption'!F$22)),0)</f>
        <v>0</v>
      </c>
      <c r="W32" s="106">
        <f>IF(COUNT($G32)&gt;0,(W31*(1+'Cloud Consumption'!G$22)),0)</f>
        <v>0</v>
      </c>
      <c r="X32" s="106">
        <f>IF(COUNT($G32)&gt;0,(X31*(1+'Cloud Consumption'!E$23)),0)</f>
        <v>0</v>
      </c>
      <c r="Y32" s="106">
        <f>IF(COUNT($G32)&gt;0,(Y31*(1+'Cloud Consumption'!F$23)),0)</f>
        <v>0</v>
      </c>
      <c r="Z32" s="106">
        <f>IF(COUNT($G32)&gt;0,(Z31*(1+'Cloud Consumption'!G$23)),0)</f>
        <v>0</v>
      </c>
      <c r="AA32" s="106">
        <f t="shared" si="2"/>
        <v>0</v>
      </c>
      <c r="AB32" s="106">
        <f t="shared" si="3"/>
        <v>0</v>
      </c>
      <c r="AC32" s="106">
        <f t="shared" si="4"/>
        <v>0</v>
      </c>
      <c r="AD32" s="106">
        <f t="shared" si="5"/>
        <v>0</v>
      </c>
      <c r="AE32" s="106">
        <f t="shared" si="6"/>
        <v>0</v>
      </c>
    </row>
    <row r="33" spans="1:31">
      <c r="A33" t="str">
        <f t="shared" si="7"/>
        <v/>
      </c>
      <c r="B33">
        <f t="shared" si="8"/>
        <v>0</v>
      </c>
      <c r="C33">
        <f t="shared" si="9"/>
        <v>0</v>
      </c>
      <c r="D33">
        <f>IF(COUNT(A33)&gt;0,'Active Project'!$C$12,0)</f>
        <v>0</v>
      </c>
      <c r="E33" s="15">
        <f>IF(COUNT(A33)&gt;0,'Active Project'!$C$18,0)</f>
        <v>0</v>
      </c>
      <c r="G33" t="str">
        <f t="shared" si="10"/>
        <v/>
      </c>
      <c r="H33">
        <f t="shared" si="11"/>
        <v>0</v>
      </c>
      <c r="I33" s="15">
        <f t="shared" si="1"/>
        <v>0</v>
      </c>
      <c r="J33" s="15">
        <f>IF(AND((COUNT($G33)&gt;0),(G33&lt;=$J$3)),'Enablement Services'!$C$35+'Enablement Services'!$C$36+D33,D33)</f>
        <v>0</v>
      </c>
      <c r="K33" s="15">
        <f>IF(AND((COUNT($G33)&gt;0),(G33&lt;=$J$3)),'Enablement Services'!$C$25+'Enablement Services'!$C$26+D33,D33)</f>
        <v>0</v>
      </c>
      <c r="L33" s="15">
        <f>IF(AND((COUNT($G33)&gt;0),(G33&lt;=$J$3)),'Enablement Services'!$C$14+'Enablement Services'!$C$15+D33,D33)</f>
        <v>0</v>
      </c>
      <c r="M33" s="15">
        <f t="shared" si="0"/>
        <v>0</v>
      </c>
      <c r="N33" s="15">
        <f>IF(COUNT(G33)&gt;0,'Active Project'!$C$18,0)</f>
        <v>0</v>
      </c>
      <c r="O33" s="106">
        <f>IF(COUNT($G33)&gt;0,(O32*(1+'Cloud Consumption'!E$20)),0)</f>
        <v>0</v>
      </c>
      <c r="P33" s="106">
        <f>IF(COUNT($G33)&gt;0,(P32*(1+'Cloud Consumption'!F$20)),0)</f>
        <v>0</v>
      </c>
      <c r="Q33" s="106">
        <f>IF(COUNT($G33)&gt;0,(Q32*(1+'Cloud Consumption'!G$20)),0)</f>
        <v>0</v>
      </c>
      <c r="R33" s="106">
        <f>IF(COUNT($G33)&gt;0,(R32*(1+'Cloud Consumption'!E$21)),0)</f>
        <v>0</v>
      </c>
      <c r="S33" s="106">
        <f>IF(COUNT($G33)&gt;0,(S32*(1+'Cloud Consumption'!F$21)),0)</f>
        <v>0</v>
      </c>
      <c r="T33" s="106">
        <f>IF(COUNT($G33)&gt;0,(T32*(1+'Cloud Consumption'!G$21)),0)</f>
        <v>0</v>
      </c>
      <c r="U33" s="106">
        <f>IF(COUNT($G33)&gt;0,(U32*(1+'Cloud Consumption'!E$22)),0)</f>
        <v>0</v>
      </c>
      <c r="V33" s="106">
        <f>IF(COUNT($G33)&gt;0,(V32*(1+'Cloud Consumption'!F$22)),0)</f>
        <v>0</v>
      </c>
      <c r="W33" s="106">
        <f>IF(COUNT($G33)&gt;0,(W32*(1+'Cloud Consumption'!G$22)),0)</f>
        <v>0</v>
      </c>
      <c r="X33" s="106">
        <f>IF(COUNT($G33)&gt;0,(X32*(1+'Cloud Consumption'!E$23)),0)</f>
        <v>0</v>
      </c>
      <c r="Y33" s="106">
        <f>IF(COUNT($G33)&gt;0,(Y32*(1+'Cloud Consumption'!F$23)),0)</f>
        <v>0</v>
      </c>
      <c r="Z33" s="106">
        <f>IF(COUNT($G33)&gt;0,(Z32*(1+'Cloud Consumption'!G$23)),0)</f>
        <v>0</v>
      </c>
      <c r="AA33" s="106">
        <f t="shared" si="2"/>
        <v>0</v>
      </c>
      <c r="AB33" s="106">
        <f t="shared" si="3"/>
        <v>0</v>
      </c>
      <c r="AC33" s="106">
        <f t="shared" si="4"/>
        <v>0</v>
      </c>
      <c r="AD33" s="106">
        <f t="shared" si="5"/>
        <v>0</v>
      </c>
      <c r="AE33" s="106">
        <f t="shared" si="6"/>
        <v>0</v>
      </c>
    </row>
    <row r="34" spans="1:31">
      <c r="A34" t="str">
        <f t="shared" si="7"/>
        <v/>
      </c>
      <c r="B34">
        <f t="shared" si="8"/>
        <v>0</v>
      </c>
      <c r="C34">
        <f t="shared" si="9"/>
        <v>0</v>
      </c>
      <c r="D34">
        <f>IF(COUNT(A34)&gt;0,'Active Project'!$C$12,0)</f>
        <v>0</v>
      </c>
      <c r="E34" s="15">
        <f>IF(COUNT(A34)&gt;0,'Active Project'!$C$18,0)</f>
        <v>0</v>
      </c>
      <c r="G34" t="str">
        <f t="shared" si="10"/>
        <v/>
      </c>
      <c r="H34">
        <f t="shared" si="11"/>
        <v>0</v>
      </c>
      <c r="I34" s="15">
        <f t="shared" si="1"/>
        <v>0</v>
      </c>
      <c r="J34" s="15">
        <f>IF(AND((COUNT($G34)&gt;0),(G34&lt;=$J$3)),'Enablement Services'!$C$35+'Enablement Services'!$C$36+D34,D34)</f>
        <v>0</v>
      </c>
      <c r="K34" s="15">
        <f>IF(AND((COUNT($G34)&gt;0),(G34&lt;=$J$3)),'Enablement Services'!$C$25+'Enablement Services'!$C$26+D34,D34)</f>
        <v>0</v>
      </c>
      <c r="L34" s="15">
        <f>IF(AND((COUNT($G34)&gt;0),(G34&lt;=$J$3)),'Enablement Services'!$C$14+'Enablement Services'!$C$15+D34,D34)</f>
        <v>0</v>
      </c>
      <c r="M34" s="15">
        <f t="shared" si="0"/>
        <v>0</v>
      </c>
      <c r="N34" s="15">
        <f>IF(COUNT(G34)&gt;0,'Active Project'!$C$18,0)</f>
        <v>0</v>
      </c>
      <c r="O34" s="106">
        <f>IF(COUNT($G34)&gt;0,(O33*(1+'Cloud Consumption'!E$20)),0)</f>
        <v>0</v>
      </c>
      <c r="P34" s="106">
        <f>IF(COUNT($G34)&gt;0,(P33*(1+'Cloud Consumption'!F$20)),0)</f>
        <v>0</v>
      </c>
      <c r="Q34" s="106">
        <f>IF(COUNT($G34)&gt;0,(Q33*(1+'Cloud Consumption'!G$20)),0)</f>
        <v>0</v>
      </c>
      <c r="R34" s="106">
        <f>IF(COUNT($G34)&gt;0,(R33*(1+'Cloud Consumption'!E$21)),0)</f>
        <v>0</v>
      </c>
      <c r="S34" s="106">
        <f>IF(COUNT($G34)&gt;0,(S33*(1+'Cloud Consumption'!F$21)),0)</f>
        <v>0</v>
      </c>
      <c r="T34" s="106">
        <f>IF(COUNT($G34)&gt;0,(T33*(1+'Cloud Consumption'!G$21)),0)</f>
        <v>0</v>
      </c>
      <c r="U34" s="106">
        <f>IF(COUNT($G34)&gt;0,(U33*(1+'Cloud Consumption'!E$22)),0)</f>
        <v>0</v>
      </c>
      <c r="V34" s="106">
        <f>IF(COUNT($G34)&gt;0,(V33*(1+'Cloud Consumption'!F$22)),0)</f>
        <v>0</v>
      </c>
      <c r="W34" s="106">
        <f>IF(COUNT($G34)&gt;0,(W33*(1+'Cloud Consumption'!G$22)),0)</f>
        <v>0</v>
      </c>
      <c r="X34" s="106">
        <f>IF(COUNT($G34)&gt;0,(X33*(1+'Cloud Consumption'!E$23)),0)</f>
        <v>0</v>
      </c>
      <c r="Y34" s="106">
        <f>IF(COUNT($G34)&gt;0,(Y33*(1+'Cloud Consumption'!F$23)),0)</f>
        <v>0</v>
      </c>
      <c r="Z34" s="106">
        <f>IF(COUNT($G34)&gt;0,(Z33*(1+'Cloud Consumption'!G$23)),0)</f>
        <v>0</v>
      </c>
      <c r="AA34" s="106">
        <f t="shared" si="2"/>
        <v>0</v>
      </c>
      <c r="AB34" s="106">
        <f t="shared" si="3"/>
        <v>0</v>
      </c>
      <c r="AC34" s="106">
        <f t="shared" si="4"/>
        <v>0</v>
      </c>
      <c r="AD34" s="106">
        <f t="shared" si="5"/>
        <v>0</v>
      </c>
      <c r="AE34" s="106">
        <f t="shared" si="6"/>
        <v>0</v>
      </c>
    </row>
    <row r="35" spans="1:31">
      <c r="A35" t="str">
        <f t="shared" si="7"/>
        <v/>
      </c>
      <c r="B35">
        <f t="shared" si="8"/>
        <v>0</v>
      </c>
      <c r="C35">
        <f t="shared" si="9"/>
        <v>0</v>
      </c>
      <c r="D35">
        <f>IF(COUNT(A35)&gt;0,'Active Project'!$C$12,0)</f>
        <v>0</v>
      </c>
      <c r="E35" s="15">
        <f>IF(COUNT(A35)&gt;0,'Active Project'!$C$18,0)</f>
        <v>0</v>
      </c>
      <c r="G35" t="str">
        <f t="shared" si="10"/>
        <v/>
      </c>
      <c r="H35">
        <f t="shared" si="11"/>
        <v>0</v>
      </c>
      <c r="I35" s="15">
        <f t="shared" si="1"/>
        <v>0</v>
      </c>
      <c r="J35" s="15">
        <f>IF(AND((COUNT($G35)&gt;0),(G35&lt;=$J$3)),'Enablement Services'!$C$35+'Enablement Services'!$C$36+D35,D35)</f>
        <v>0</v>
      </c>
      <c r="K35" s="15">
        <f>IF(AND((COUNT($G35)&gt;0),(G35&lt;=$J$3)),'Enablement Services'!$C$25+'Enablement Services'!$C$26+D35,D35)</f>
        <v>0</v>
      </c>
      <c r="L35" s="15">
        <f>IF(AND((COUNT($G35)&gt;0),(G35&lt;=$J$3)),'Enablement Services'!$C$14+'Enablement Services'!$C$15+D35,D35)</f>
        <v>0</v>
      </c>
      <c r="M35" s="15">
        <f t="shared" si="0"/>
        <v>0</v>
      </c>
      <c r="N35" s="15">
        <f>IF(COUNT(G35)&gt;0,'Active Project'!$C$18,0)</f>
        <v>0</v>
      </c>
      <c r="O35" s="106">
        <f>IF(COUNT($G35)&gt;0,(O34*(1+'Cloud Consumption'!E$20)),0)</f>
        <v>0</v>
      </c>
      <c r="P35" s="106">
        <f>IF(COUNT($G35)&gt;0,(P34*(1+'Cloud Consumption'!F$20)),0)</f>
        <v>0</v>
      </c>
      <c r="Q35" s="106">
        <f>IF(COUNT($G35)&gt;0,(Q34*(1+'Cloud Consumption'!G$20)),0)</f>
        <v>0</v>
      </c>
      <c r="R35" s="106">
        <f>IF(COUNT($G35)&gt;0,(R34*(1+'Cloud Consumption'!E$21)),0)</f>
        <v>0</v>
      </c>
      <c r="S35" s="106">
        <f>IF(COUNT($G35)&gt;0,(S34*(1+'Cloud Consumption'!F$21)),0)</f>
        <v>0</v>
      </c>
      <c r="T35" s="106">
        <f>IF(COUNT($G35)&gt;0,(T34*(1+'Cloud Consumption'!G$21)),0)</f>
        <v>0</v>
      </c>
      <c r="U35" s="106">
        <f>IF(COUNT($G35)&gt;0,(U34*(1+'Cloud Consumption'!E$22)),0)</f>
        <v>0</v>
      </c>
      <c r="V35" s="106">
        <f>IF(COUNT($G35)&gt;0,(V34*(1+'Cloud Consumption'!F$22)),0)</f>
        <v>0</v>
      </c>
      <c r="W35" s="106">
        <f>IF(COUNT($G35)&gt;0,(W34*(1+'Cloud Consumption'!G$22)),0)</f>
        <v>0</v>
      </c>
      <c r="X35" s="106">
        <f>IF(COUNT($G35)&gt;0,(X34*(1+'Cloud Consumption'!E$23)),0)</f>
        <v>0</v>
      </c>
      <c r="Y35" s="106">
        <f>IF(COUNT($G35)&gt;0,(Y34*(1+'Cloud Consumption'!F$23)),0)</f>
        <v>0</v>
      </c>
      <c r="Z35" s="106">
        <f>IF(COUNT($G35)&gt;0,(Z34*(1+'Cloud Consumption'!G$23)),0)</f>
        <v>0</v>
      </c>
      <c r="AA35" s="106">
        <f t="shared" si="2"/>
        <v>0</v>
      </c>
      <c r="AB35" s="106">
        <f t="shared" si="3"/>
        <v>0</v>
      </c>
      <c r="AC35" s="106">
        <f t="shared" si="4"/>
        <v>0</v>
      </c>
      <c r="AD35" s="106">
        <f t="shared" si="5"/>
        <v>0</v>
      </c>
      <c r="AE35" s="106">
        <f t="shared" si="6"/>
        <v>0</v>
      </c>
    </row>
    <row r="36" spans="1:31">
      <c r="A36" t="str">
        <f t="shared" si="7"/>
        <v/>
      </c>
      <c r="B36">
        <f t="shared" si="8"/>
        <v>0</v>
      </c>
      <c r="C36">
        <f t="shared" si="9"/>
        <v>0</v>
      </c>
      <c r="D36">
        <f>IF(COUNT(A36)&gt;0,'Active Project'!$C$12,0)</f>
        <v>0</v>
      </c>
      <c r="E36" s="15">
        <f>IF(COUNT(A36)&gt;0,'Active Project'!$C$18,0)</f>
        <v>0</v>
      </c>
      <c r="G36" t="str">
        <f t="shared" si="10"/>
        <v/>
      </c>
      <c r="H36">
        <f t="shared" si="11"/>
        <v>0</v>
      </c>
      <c r="I36" s="15">
        <f t="shared" si="1"/>
        <v>0</v>
      </c>
      <c r="J36" s="15">
        <f>IF(AND((COUNT($G36)&gt;0),(G36&lt;=$J$3)),'Enablement Services'!$C$35+'Enablement Services'!$C$36+D36,D36)</f>
        <v>0</v>
      </c>
      <c r="K36" s="15">
        <f>IF(AND((COUNT($G36)&gt;0),(G36&lt;=$J$3)),'Enablement Services'!$C$25+'Enablement Services'!$C$26+D36,D36)</f>
        <v>0</v>
      </c>
      <c r="L36" s="15">
        <f>IF(AND((COUNT($G36)&gt;0),(G36&lt;=$J$3)),'Enablement Services'!$C$14+'Enablement Services'!$C$15+D36,D36)</f>
        <v>0</v>
      </c>
      <c r="M36" s="15">
        <f t="shared" si="0"/>
        <v>0</v>
      </c>
      <c r="N36" s="15">
        <f>IF(COUNT(G36)&gt;0,'Active Project'!$C$18,0)</f>
        <v>0</v>
      </c>
      <c r="O36" s="106">
        <f>IF(COUNT($G36)&gt;0,(O35*(1+'Cloud Consumption'!E$20)),0)</f>
        <v>0</v>
      </c>
      <c r="P36" s="106">
        <f>IF(COUNT($G36)&gt;0,(P35*(1+'Cloud Consumption'!F$20)),0)</f>
        <v>0</v>
      </c>
      <c r="Q36" s="106">
        <f>IF(COUNT($G36)&gt;0,(Q35*(1+'Cloud Consumption'!G$20)),0)</f>
        <v>0</v>
      </c>
      <c r="R36" s="106">
        <f>IF(COUNT($G36)&gt;0,(R35*(1+'Cloud Consumption'!E$21)),0)</f>
        <v>0</v>
      </c>
      <c r="S36" s="106">
        <f>IF(COUNT($G36)&gt;0,(S35*(1+'Cloud Consumption'!F$21)),0)</f>
        <v>0</v>
      </c>
      <c r="T36" s="106">
        <f>IF(COUNT($G36)&gt;0,(T35*(1+'Cloud Consumption'!G$21)),0)</f>
        <v>0</v>
      </c>
      <c r="U36" s="106">
        <f>IF(COUNT($G36)&gt;0,(U35*(1+'Cloud Consumption'!E$22)),0)</f>
        <v>0</v>
      </c>
      <c r="V36" s="106">
        <f>IF(COUNT($G36)&gt;0,(V35*(1+'Cloud Consumption'!F$22)),0)</f>
        <v>0</v>
      </c>
      <c r="W36" s="106">
        <f>IF(COUNT($G36)&gt;0,(W35*(1+'Cloud Consumption'!G$22)),0)</f>
        <v>0</v>
      </c>
      <c r="X36" s="106">
        <f>IF(COUNT($G36)&gt;0,(X35*(1+'Cloud Consumption'!E$23)),0)</f>
        <v>0</v>
      </c>
      <c r="Y36" s="106">
        <f>IF(COUNT($G36)&gt;0,(Y35*(1+'Cloud Consumption'!F$23)),0)</f>
        <v>0</v>
      </c>
      <c r="Z36" s="106">
        <f>IF(COUNT($G36)&gt;0,(Z35*(1+'Cloud Consumption'!G$23)),0)</f>
        <v>0</v>
      </c>
      <c r="AA36" s="106">
        <f t="shared" si="2"/>
        <v>0</v>
      </c>
      <c r="AB36" s="106">
        <f t="shared" si="3"/>
        <v>0</v>
      </c>
      <c r="AC36" s="106">
        <f t="shared" si="4"/>
        <v>0</v>
      </c>
      <c r="AD36" s="106">
        <f t="shared" si="5"/>
        <v>0</v>
      </c>
      <c r="AE36" s="106">
        <f t="shared" si="6"/>
        <v>0</v>
      </c>
    </row>
    <row r="37" spans="1:31">
      <c r="A37" t="str">
        <f t="shared" si="7"/>
        <v/>
      </c>
      <c r="B37">
        <f t="shared" si="8"/>
        <v>0</v>
      </c>
      <c r="C37">
        <f t="shared" si="9"/>
        <v>0</v>
      </c>
      <c r="D37">
        <f>IF(COUNT(A37)&gt;0,'Active Project'!$C$12,0)</f>
        <v>0</v>
      </c>
      <c r="E37" s="15">
        <f>IF(COUNT(A37)&gt;0,'Active Project'!$C$18,0)</f>
        <v>0</v>
      </c>
      <c r="G37" t="str">
        <f t="shared" si="10"/>
        <v/>
      </c>
      <c r="H37">
        <f t="shared" si="11"/>
        <v>0</v>
      </c>
      <c r="I37" s="15">
        <f t="shared" si="1"/>
        <v>0</v>
      </c>
      <c r="J37" s="15">
        <f>IF(AND((COUNT($G37)&gt;0),(G37&lt;=$J$3)),'Enablement Services'!$C$35+'Enablement Services'!$C$36+D37,D37)</f>
        <v>0</v>
      </c>
      <c r="K37" s="15">
        <f>IF(AND((COUNT($G37)&gt;0),(G37&lt;=$J$3)),'Enablement Services'!$C$25+'Enablement Services'!$C$26+D37,D37)</f>
        <v>0</v>
      </c>
      <c r="L37" s="15">
        <f>IF(AND((COUNT($G37)&gt;0),(G37&lt;=$J$3)),'Enablement Services'!$C$14+'Enablement Services'!$C$15+D37,D37)</f>
        <v>0</v>
      </c>
      <c r="M37" s="15">
        <f t="shared" si="0"/>
        <v>0</v>
      </c>
      <c r="N37" s="15">
        <f>IF(COUNT(G37)&gt;0,'Active Project'!$C$18,0)</f>
        <v>0</v>
      </c>
      <c r="O37" s="106">
        <f>IF(COUNT($G37)&gt;0,(O36*(1+'Cloud Consumption'!E$20)),0)</f>
        <v>0</v>
      </c>
      <c r="P37" s="106">
        <f>IF(COUNT($G37)&gt;0,(P36*(1+'Cloud Consumption'!F$20)),0)</f>
        <v>0</v>
      </c>
      <c r="Q37" s="106">
        <f>IF(COUNT($G37)&gt;0,(Q36*(1+'Cloud Consumption'!G$20)),0)</f>
        <v>0</v>
      </c>
      <c r="R37" s="106">
        <f>IF(COUNT($G37)&gt;0,(R36*(1+'Cloud Consumption'!E$21)),0)</f>
        <v>0</v>
      </c>
      <c r="S37" s="106">
        <f>IF(COUNT($G37)&gt;0,(S36*(1+'Cloud Consumption'!F$21)),0)</f>
        <v>0</v>
      </c>
      <c r="T37" s="106">
        <f>IF(COUNT($G37)&gt;0,(T36*(1+'Cloud Consumption'!G$21)),0)</f>
        <v>0</v>
      </c>
      <c r="U37" s="106">
        <f>IF(COUNT($G37)&gt;0,(U36*(1+'Cloud Consumption'!E$22)),0)</f>
        <v>0</v>
      </c>
      <c r="V37" s="106">
        <f>IF(COUNT($G37)&gt;0,(V36*(1+'Cloud Consumption'!F$22)),0)</f>
        <v>0</v>
      </c>
      <c r="W37" s="106">
        <f>IF(COUNT($G37)&gt;0,(W36*(1+'Cloud Consumption'!G$22)),0)</f>
        <v>0</v>
      </c>
      <c r="X37" s="106">
        <f>IF(COUNT($G37)&gt;0,(X36*(1+'Cloud Consumption'!E$23)),0)</f>
        <v>0</v>
      </c>
      <c r="Y37" s="106">
        <f>IF(COUNT($G37)&gt;0,(Y36*(1+'Cloud Consumption'!F$23)),0)</f>
        <v>0</v>
      </c>
      <c r="Z37" s="106">
        <f>IF(COUNT($G37)&gt;0,(Z36*(1+'Cloud Consumption'!G$23)),0)</f>
        <v>0</v>
      </c>
      <c r="AA37" s="106">
        <f t="shared" si="2"/>
        <v>0</v>
      </c>
      <c r="AB37" s="106">
        <f t="shared" si="3"/>
        <v>0</v>
      </c>
      <c r="AC37" s="106">
        <f t="shared" si="4"/>
        <v>0</v>
      </c>
      <c r="AD37" s="106">
        <f t="shared" si="5"/>
        <v>0</v>
      </c>
      <c r="AE37" s="106">
        <f t="shared" si="6"/>
        <v>0</v>
      </c>
    </row>
    <row r="38" spans="1:31">
      <c r="A38" t="str">
        <f t="shared" si="7"/>
        <v/>
      </c>
      <c r="B38">
        <f t="shared" si="8"/>
        <v>0</v>
      </c>
      <c r="C38">
        <f t="shared" si="9"/>
        <v>0</v>
      </c>
      <c r="D38">
        <f>IF(COUNT(A38)&gt;0,'Active Project'!$C$12,0)</f>
        <v>0</v>
      </c>
      <c r="E38" s="15">
        <f>IF(COUNT(A38)&gt;0,'Active Project'!$C$18,0)</f>
        <v>0</v>
      </c>
      <c r="G38" t="str">
        <f t="shared" si="10"/>
        <v/>
      </c>
      <c r="H38">
        <f t="shared" si="11"/>
        <v>0</v>
      </c>
      <c r="I38" s="15">
        <f t="shared" si="1"/>
        <v>0</v>
      </c>
      <c r="J38" s="15">
        <f>IF(AND((COUNT($G38)&gt;0),(G38&lt;=$J$3)),'Enablement Services'!$C$35+'Enablement Services'!$C$36+D38,D38)</f>
        <v>0</v>
      </c>
      <c r="K38" s="15">
        <f>IF(AND((COUNT($G38)&gt;0),(G38&lt;=$J$3)),'Enablement Services'!$C$25+'Enablement Services'!$C$26+D38,D38)</f>
        <v>0</v>
      </c>
      <c r="L38" s="15">
        <f>IF(AND((COUNT($G38)&gt;0),(G38&lt;=$J$3)),'Enablement Services'!$C$14+'Enablement Services'!$C$15+D38,D38)</f>
        <v>0</v>
      </c>
      <c r="M38" s="15">
        <f t="shared" si="0"/>
        <v>0</v>
      </c>
      <c r="N38" s="15">
        <f>IF(COUNT(G38)&gt;0,'Active Project'!$C$18,0)</f>
        <v>0</v>
      </c>
      <c r="O38" s="106">
        <f>IF(COUNT($G38)&gt;0,(O37*(1+'Cloud Consumption'!E$20)),0)</f>
        <v>0</v>
      </c>
      <c r="P38" s="106">
        <f>IF(COUNT($G38)&gt;0,(P37*(1+'Cloud Consumption'!F$20)),0)</f>
        <v>0</v>
      </c>
      <c r="Q38" s="106">
        <f>IF(COUNT($G38)&gt;0,(Q37*(1+'Cloud Consumption'!G$20)),0)</f>
        <v>0</v>
      </c>
      <c r="R38" s="106">
        <f>IF(COUNT($G38)&gt;0,(R37*(1+'Cloud Consumption'!E$21)),0)</f>
        <v>0</v>
      </c>
      <c r="S38" s="106">
        <f>IF(COUNT($G38)&gt;0,(S37*(1+'Cloud Consumption'!F$21)),0)</f>
        <v>0</v>
      </c>
      <c r="T38" s="106">
        <f>IF(COUNT($G38)&gt;0,(T37*(1+'Cloud Consumption'!G$21)),0)</f>
        <v>0</v>
      </c>
      <c r="U38" s="106">
        <f>IF(COUNT($G38)&gt;0,(U37*(1+'Cloud Consumption'!E$22)),0)</f>
        <v>0</v>
      </c>
      <c r="V38" s="106">
        <f>IF(COUNT($G38)&gt;0,(V37*(1+'Cloud Consumption'!F$22)),0)</f>
        <v>0</v>
      </c>
      <c r="W38" s="106">
        <f>IF(COUNT($G38)&gt;0,(W37*(1+'Cloud Consumption'!G$22)),0)</f>
        <v>0</v>
      </c>
      <c r="X38" s="106">
        <f>IF(COUNT($G38)&gt;0,(X37*(1+'Cloud Consumption'!E$23)),0)</f>
        <v>0</v>
      </c>
      <c r="Y38" s="106">
        <f>IF(COUNT($G38)&gt;0,(Y37*(1+'Cloud Consumption'!F$23)),0)</f>
        <v>0</v>
      </c>
      <c r="Z38" s="106">
        <f>IF(COUNT($G38)&gt;0,(Z37*(1+'Cloud Consumption'!G$23)),0)</f>
        <v>0</v>
      </c>
      <c r="AA38" s="106">
        <f t="shared" si="2"/>
        <v>0</v>
      </c>
      <c r="AB38" s="106">
        <f t="shared" si="3"/>
        <v>0</v>
      </c>
      <c r="AC38" s="106">
        <f t="shared" si="4"/>
        <v>0</v>
      </c>
      <c r="AD38" s="106">
        <f t="shared" si="5"/>
        <v>0</v>
      </c>
      <c r="AE38" s="106">
        <f t="shared" si="6"/>
        <v>0</v>
      </c>
    </row>
    <row r="39" spans="1:31">
      <c r="A39" t="str">
        <f t="shared" si="7"/>
        <v/>
      </c>
      <c r="B39">
        <f t="shared" si="8"/>
        <v>0</v>
      </c>
      <c r="C39">
        <f t="shared" si="9"/>
        <v>0</v>
      </c>
      <c r="D39">
        <f>IF(COUNT(A39)&gt;0,'Active Project'!$C$12,0)</f>
        <v>0</v>
      </c>
      <c r="E39" s="15">
        <f>IF(COUNT(A39)&gt;0,'Active Project'!$C$18,0)</f>
        <v>0</v>
      </c>
      <c r="G39" t="str">
        <f t="shared" si="10"/>
        <v/>
      </c>
      <c r="H39">
        <f t="shared" si="11"/>
        <v>0</v>
      </c>
      <c r="I39" s="15">
        <f t="shared" si="1"/>
        <v>0</v>
      </c>
      <c r="J39" s="15">
        <f>IF(AND((COUNT($G39)&gt;0),(G39&lt;=$J$3)),'Enablement Services'!$C$35+'Enablement Services'!$C$36+D39,D39)</f>
        <v>0</v>
      </c>
      <c r="K39" s="15">
        <f>IF(AND((COUNT($G39)&gt;0),(G39&lt;=$J$3)),'Enablement Services'!$C$25+'Enablement Services'!$C$26+D39,D39)</f>
        <v>0</v>
      </c>
      <c r="L39" s="15">
        <f>IF(AND((COUNT($G39)&gt;0),(G39&lt;=$J$3)),'Enablement Services'!$C$14+'Enablement Services'!$C$15+D39,D39)</f>
        <v>0</v>
      </c>
      <c r="M39" s="15">
        <f t="shared" si="0"/>
        <v>0</v>
      </c>
      <c r="N39" s="15">
        <f>IF(COUNT(G39)&gt;0,'Active Project'!$C$18,0)</f>
        <v>0</v>
      </c>
      <c r="O39" s="106">
        <f>IF(COUNT($G39)&gt;0,(O38*(1+'Cloud Consumption'!E$20)),0)</f>
        <v>0</v>
      </c>
      <c r="P39" s="106">
        <f>IF(COUNT($G39)&gt;0,(P38*(1+'Cloud Consumption'!F$20)),0)</f>
        <v>0</v>
      </c>
      <c r="Q39" s="106">
        <f>IF(COUNT($G39)&gt;0,(Q38*(1+'Cloud Consumption'!G$20)),0)</f>
        <v>0</v>
      </c>
      <c r="R39" s="106">
        <f>IF(COUNT($G39)&gt;0,(R38*(1+'Cloud Consumption'!E$21)),0)</f>
        <v>0</v>
      </c>
      <c r="S39" s="106">
        <f>IF(COUNT($G39)&gt;0,(S38*(1+'Cloud Consumption'!F$21)),0)</f>
        <v>0</v>
      </c>
      <c r="T39" s="106">
        <f>IF(COUNT($G39)&gt;0,(T38*(1+'Cloud Consumption'!G$21)),0)</f>
        <v>0</v>
      </c>
      <c r="U39" s="106">
        <f>IF(COUNT($G39)&gt;0,(U38*(1+'Cloud Consumption'!E$22)),0)</f>
        <v>0</v>
      </c>
      <c r="V39" s="106">
        <f>IF(COUNT($G39)&gt;0,(V38*(1+'Cloud Consumption'!F$22)),0)</f>
        <v>0</v>
      </c>
      <c r="W39" s="106">
        <f>IF(COUNT($G39)&gt;0,(W38*(1+'Cloud Consumption'!G$22)),0)</f>
        <v>0</v>
      </c>
      <c r="X39" s="106">
        <f>IF(COUNT($G39)&gt;0,(X38*(1+'Cloud Consumption'!E$23)),0)</f>
        <v>0</v>
      </c>
      <c r="Y39" s="106">
        <f>IF(COUNT($G39)&gt;0,(Y38*(1+'Cloud Consumption'!F$23)),0)</f>
        <v>0</v>
      </c>
      <c r="Z39" s="106">
        <f>IF(COUNT($G39)&gt;0,(Z38*(1+'Cloud Consumption'!G$23)),0)</f>
        <v>0</v>
      </c>
      <c r="AA39" s="106">
        <f t="shared" si="2"/>
        <v>0</v>
      </c>
      <c r="AB39" s="106">
        <f t="shared" si="3"/>
        <v>0</v>
      </c>
      <c r="AC39" s="106">
        <f t="shared" si="4"/>
        <v>0</v>
      </c>
      <c r="AD39" s="106">
        <f t="shared" si="5"/>
        <v>0</v>
      </c>
      <c r="AE39" s="106">
        <f t="shared" si="6"/>
        <v>0</v>
      </c>
    </row>
    <row r="40" spans="1:31">
      <c r="A40" t="str">
        <f t="shared" si="7"/>
        <v/>
      </c>
      <c r="B40">
        <f t="shared" si="8"/>
        <v>0</v>
      </c>
      <c r="C40">
        <f t="shared" si="9"/>
        <v>0</v>
      </c>
      <c r="D40">
        <f>IF(COUNT(A40)&gt;0,'Active Project'!$C$12,0)</f>
        <v>0</v>
      </c>
      <c r="E40" s="15">
        <f>IF(COUNT(A40)&gt;0,'Active Project'!$C$18,0)</f>
        <v>0</v>
      </c>
      <c r="G40" t="str">
        <f t="shared" si="10"/>
        <v/>
      </c>
      <c r="H40">
        <f t="shared" si="11"/>
        <v>0</v>
      </c>
      <c r="I40" s="15">
        <f t="shared" si="1"/>
        <v>0</v>
      </c>
      <c r="J40" s="15">
        <f>IF(AND((COUNT($G40)&gt;0),(G40&lt;=$J$3)),'Enablement Services'!$C$35+'Enablement Services'!$C$36+D40,D40)</f>
        <v>0</v>
      </c>
      <c r="K40" s="15">
        <f>IF(AND((COUNT($G40)&gt;0),(G40&lt;=$J$3)),'Enablement Services'!$C$25+'Enablement Services'!$C$26+D40,D40)</f>
        <v>0</v>
      </c>
      <c r="L40" s="15">
        <f>IF(AND((COUNT($G40)&gt;0),(G40&lt;=$J$3)),'Enablement Services'!$C$14+'Enablement Services'!$C$15+D40,D40)</f>
        <v>0</v>
      </c>
      <c r="M40" s="15">
        <f t="shared" si="0"/>
        <v>0</v>
      </c>
      <c r="N40" s="15">
        <f>IF(COUNT(G40)&gt;0,'Active Project'!$C$18,0)</f>
        <v>0</v>
      </c>
      <c r="O40" s="106">
        <f>IF(COUNT($G40)&gt;0,(O39*(1+'Cloud Consumption'!E$20)),0)</f>
        <v>0</v>
      </c>
      <c r="P40" s="106">
        <f>IF(COUNT($G40)&gt;0,(P39*(1+'Cloud Consumption'!F$20)),0)</f>
        <v>0</v>
      </c>
      <c r="Q40" s="106">
        <f>IF(COUNT($G40)&gt;0,(Q39*(1+'Cloud Consumption'!G$20)),0)</f>
        <v>0</v>
      </c>
      <c r="R40" s="106">
        <f>IF(COUNT($G40)&gt;0,(R39*(1+'Cloud Consumption'!E$21)),0)</f>
        <v>0</v>
      </c>
      <c r="S40" s="106">
        <f>IF(COUNT($G40)&gt;0,(S39*(1+'Cloud Consumption'!F$21)),0)</f>
        <v>0</v>
      </c>
      <c r="T40" s="106">
        <f>IF(COUNT($G40)&gt;0,(T39*(1+'Cloud Consumption'!G$21)),0)</f>
        <v>0</v>
      </c>
      <c r="U40" s="106">
        <f>IF(COUNT($G40)&gt;0,(U39*(1+'Cloud Consumption'!E$22)),0)</f>
        <v>0</v>
      </c>
      <c r="V40" s="106">
        <f>IF(COUNT($G40)&gt;0,(V39*(1+'Cloud Consumption'!F$22)),0)</f>
        <v>0</v>
      </c>
      <c r="W40" s="106">
        <f>IF(COUNT($G40)&gt;0,(W39*(1+'Cloud Consumption'!G$22)),0)</f>
        <v>0</v>
      </c>
      <c r="X40" s="106">
        <f>IF(COUNT($G40)&gt;0,(X39*(1+'Cloud Consumption'!E$23)),0)</f>
        <v>0</v>
      </c>
      <c r="Y40" s="106">
        <f>IF(COUNT($G40)&gt;0,(Y39*(1+'Cloud Consumption'!F$23)),0)</f>
        <v>0</v>
      </c>
      <c r="Z40" s="106">
        <f>IF(COUNT($G40)&gt;0,(Z39*(1+'Cloud Consumption'!G$23)),0)</f>
        <v>0</v>
      </c>
      <c r="AA40" s="106">
        <f t="shared" si="2"/>
        <v>0</v>
      </c>
      <c r="AB40" s="106">
        <f t="shared" si="3"/>
        <v>0</v>
      </c>
      <c r="AC40" s="106">
        <f t="shared" si="4"/>
        <v>0</v>
      </c>
      <c r="AD40" s="106">
        <f t="shared" si="5"/>
        <v>0</v>
      </c>
      <c r="AE40" s="106">
        <f t="shared" si="6"/>
        <v>0</v>
      </c>
    </row>
    <row r="41" spans="1:31">
      <c r="A41" t="str">
        <f t="shared" si="7"/>
        <v/>
      </c>
      <c r="B41">
        <f t="shared" si="8"/>
        <v>0</v>
      </c>
      <c r="C41">
        <f t="shared" si="9"/>
        <v>0</v>
      </c>
      <c r="D41">
        <f>IF(COUNT(A41)&gt;0,'Active Project'!$C$12,0)</f>
        <v>0</v>
      </c>
      <c r="E41" s="15">
        <f>IF(COUNT(A41)&gt;0,'Active Project'!$C$18,0)</f>
        <v>0</v>
      </c>
      <c r="G41" t="str">
        <f t="shared" si="10"/>
        <v/>
      </c>
      <c r="H41">
        <f t="shared" si="11"/>
        <v>0</v>
      </c>
      <c r="I41" s="15">
        <f t="shared" si="1"/>
        <v>0</v>
      </c>
      <c r="J41" s="15">
        <f>IF(AND((COUNT($G41)&gt;0),(G41&lt;=$J$3)),'Enablement Services'!$C$35+'Enablement Services'!$C$36+D41,D41)</f>
        <v>0</v>
      </c>
      <c r="K41" s="15">
        <f>IF(AND((COUNT($G41)&gt;0),(G41&lt;=$J$3)),'Enablement Services'!$C$25+'Enablement Services'!$C$26+D41,D41)</f>
        <v>0</v>
      </c>
      <c r="L41" s="15">
        <f>IF(AND((COUNT($G41)&gt;0),(G41&lt;=$J$3)),'Enablement Services'!$C$14+'Enablement Services'!$C$15+D41,D41)</f>
        <v>0</v>
      </c>
      <c r="M41" s="15">
        <f t="shared" si="0"/>
        <v>0</v>
      </c>
      <c r="N41" s="15">
        <f>IF(COUNT(G41)&gt;0,'Active Project'!$C$18,0)</f>
        <v>0</v>
      </c>
      <c r="O41" s="106">
        <f>IF(COUNT($G41)&gt;0,(O40*(1+'Cloud Consumption'!E$20)),0)</f>
        <v>0</v>
      </c>
      <c r="P41" s="106">
        <f>IF(COUNT($G41)&gt;0,(P40*(1+'Cloud Consumption'!F$20)),0)</f>
        <v>0</v>
      </c>
      <c r="Q41" s="106">
        <f>IF(COUNT($G41)&gt;0,(Q40*(1+'Cloud Consumption'!G$20)),0)</f>
        <v>0</v>
      </c>
      <c r="R41" s="106">
        <f>IF(COUNT($G41)&gt;0,(R40*(1+'Cloud Consumption'!E$21)),0)</f>
        <v>0</v>
      </c>
      <c r="S41" s="106">
        <f>IF(COUNT($G41)&gt;0,(S40*(1+'Cloud Consumption'!F$21)),0)</f>
        <v>0</v>
      </c>
      <c r="T41" s="106">
        <f>IF(COUNT($G41)&gt;0,(T40*(1+'Cloud Consumption'!G$21)),0)</f>
        <v>0</v>
      </c>
      <c r="U41" s="106">
        <f>IF(COUNT($G41)&gt;0,(U40*(1+'Cloud Consumption'!E$22)),0)</f>
        <v>0</v>
      </c>
      <c r="V41" s="106">
        <f>IF(COUNT($G41)&gt;0,(V40*(1+'Cloud Consumption'!F$22)),0)</f>
        <v>0</v>
      </c>
      <c r="W41" s="106">
        <f>IF(COUNT($G41)&gt;0,(W40*(1+'Cloud Consumption'!G$22)),0)</f>
        <v>0</v>
      </c>
      <c r="X41" s="106">
        <f>IF(COUNT($G41)&gt;0,(X40*(1+'Cloud Consumption'!E$23)),0)</f>
        <v>0</v>
      </c>
      <c r="Y41" s="106">
        <f>IF(COUNT($G41)&gt;0,(Y40*(1+'Cloud Consumption'!F$23)),0)</f>
        <v>0</v>
      </c>
      <c r="Z41" s="106">
        <f>IF(COUNT($G41)&gt;0,(Z40*(1+'Cloud Consumption'!G$23)),0)</f>
        <v>0</v>
      </c>
      <c r="AA41" s="106">
        <f t="shared" si="2"/>
        <v>0</v>
      </c>
      <c r="AB41" s="106">
        <f t="shared" si="3"/>
        <v>0</v>
      </c>
      <c r="AC41" s="106">
        <f t="shared" si="4"/>
        <v>0</v>
      </c>
      <c r="AD41" s="106">
        <f t="shared" si="5"/>
        <v>0</v>
      </c>
      <c r="AE41" s="106">
        <f t="shared" si="6"/>
        <v>0</v>
      </c>
    </row>
    <row r="42" spans="1:31">
      <c r="A42" t="str">
        <f t="shared" si="7"/>
        <v/>
      </c>
      <c r="B42">
        <f t="shared" si="8"/>
        <v>0</v>
      </c>
      <c r="C42">
        <f t="shared" si="9"/>
        <v>0</v>
      </c>
      <c r="D42">
        <f>IF(COUNT(A42)&gt;0,'Active Project'!$C$12,0)</f>
        <v>0</v>
      </c>
      <c r="E42" s="15">
        <f>IF(COUNT(A42)&gt;0,'Active Project'!$C$18,0)</f>
        <v>0</v>
      </c>
      <c r="G42" t="str">
        <f t="shared" si="10"/>
        <v/>
      </c>
      <c r="H42">
        <f t="shared" si="11"/>
        <v>0</v>
      </c>
      <c r="I42" s="15">
        <f t="shared" si="1"/>
        <v>0</v>
      </c>
      <c r="J42" s="15">
        <f>IF(AND((COUNT($G42)&gt;0),(G42&lt;=$J$3)),'Enablement Services'!$C$35+'Enablement Services'!$C$36+D42,D42)</f>
        <v>0</v>
      </c>
      <c r="K42" s="15">
        <f>IF(AND((COUNT($G42)&gt;0),(G42&lt;=$J$3)),'Enablement Services'!$C$25+'Enablement Services'!$C$26+D42,D42)</f>
        <v>0</v>
      </c>
      <c r="L42" s="15">
        <f>IF(AND((COUNT($G42)&gt;0),(G42&lt;=$J$3)),'Enablement Services'!$C$14+'Enablement Services'!$C$15+D42,D42)</f>
        <v>0</v>
      </c>
      <c r="M42" s="15">
        <f t="shared" si="0"/>
        <v>0</v>
      </c>
      <c r="N42" s="15">
        <f>IF(COUNT(G42)&gt;0,'Active Project'!$C$18,0)</f>
        <v>0</v>
      </c>
      <c r="O42" s="106">
        <f>IF(COUNT($G42)&gt;0,(O41*(1+'Cloud Consumption'!E$20)),0)</f>
        <v>0</v>
      </c>
      <c r="P42" s="106">
        <f>IF(COUNT($G42)&gt;0,(P41*(1+'Cloud Consumption'!F$20)),0)</f>
        <v>0</v>
      </c>
      <c r="Q42" s="106">
        <f>IF(COUNT($G42)&gt;0,(Q41*(1+'Cloud Consumption'!G$20)),0)</f>
        <v>0</v>
      </c>
      <c r="R42" s="106">
        <f>IF(COUNT($G42)&gt;0,(R41*(1+'Cloud Consumption'!E$21)),0)</f>
        <v>0</v>
      </c>
      <c r="S42" s="106">
        <f>IF(COUNT($G42)&gt;0,(S41*(1+'Cloud Consumption'!F$21)),0)</f>
        <v>0</v>
      </c>
      <c r="T42" s="106">
        <f>IF(COUNT($G42)&gt;0,(T41*(1+'Cloud Consumption'!G$21)),0)</f>
        <v>0</v>
      </c>
      <c r="U42" s="106">
        <f>IF(COUNT($G42)&gt;0,(U41*(1+'Cloud Consumption'!E$22)),0)</f>
        <v>0</v>
      </c>
      <c r="V42" s="106">
        <f>IF(COUNT($G42)&gt;0,(V41*(1+'Cloud Consumption'!F$22)),0)</f>
        <v>0</v>
      </c>
      <c r="W42" s="106">
        <f>IF(COUNT($G42)&gt;0,(W41*(1+'Cloud Consumption'!G$22)),0)</f>
        <v>0</v>
      </c>
      <c r="X42" s="106">
        <f>IF(COUNT($G42)&gt;0,(X41*(1+'Cloud Consumption'!E$23)),0)</f>
        <v>0</v>
      </c>
      <c r="Y42" s="106">
        <f>IF(COUNT($G42)&gt;0,(Y41*(1+'Cloud Consumption'!F$23)),0)</f>
        <v>0</v>
      </c>
      <c r="Z42" s="106">
        <f>IF(COUNT($G42)&gt;0,(Z41*(1+'Cloud Consumption'!G$23)),0)</f>
        <v>0</v>
      </c>
      <c r="AA42" s="106">
        <f t="shared" si="2"/>
        <v>0</v>
      </c>
      <c r="AB42" s="106">
        <f t="shared" si="3"/>
        <v>0</v>
      </c>
      <c r="AC42" s="106">
        <f t="shared" si="4"/>
        <v>0</v>
      </c>
      <c r="AD42" s="106">
        <f t="shared" si="5"/>
        <v>0</v>
      </c>
      <c r="AE42" s="106">
        <f t="shared" si="6"/>
        <v>0</v>
      </c>
    </row>
    <row r="43" spans="1:31">
      <c r="A43" t="s">
        <v>311</v>
      </c>
      <c r="B43" s="15">
        <f>SUM(B8:B42)</f>
        <v>314.94088252946477</v>
      </c>
      <c r="C43" s="15">
        <f>SUM(C8:C42)</f>
        <v>0</v>
      </c>
      <c r="D43" s="15">
        <f>SUM(D8:D42)</f>
        <v>0</v>
      </c>
      <c r="E43" s="15">
        <f>SUM(E8:E42)</f>
        <v>73523.192266666665</v>
      </c>
      <c r="F43" s="15"/>
      <c r="I43" s="105">
        <f>SUM(I8:I42)</f>
        <v>1277.1934644563221</v>
      </c>
      <c r="M43" s="105">
        <f>SUM(M8:M42)</f>
        <v>37500</v>
      </c>
      <c r="N43" s="105">
        <f>SUM(N8:N42)</f>
        <v>73523.192266666665</v>
      </c>
      <c r="AE43" s="154">
        <f>SUM(AE8:AE42)</f>
        <v>314.94088252946477</v>
      </c>
    </row>
  </sheetData>
  <mergeCells count="3">
    <mergeCell ref="B6:F6"/>
    <mergeCell ref="H6:N6"/>
    <mergeCell ref="O6:Z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Inputs!$E$3:$E$6</xm:f>
          </x14:formula1>
          <xm:sqref>J2:M2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D53"/>
  <sheetViews>
    <sheetView workbookViewId="0">
      <selection activeCell="G17" sqref="G17"/>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17</v>
      </c>
    </row>
    <row r="2" spans="1:30" ht="15.75" thickBot="1">
      <c r="T2" s="180"/>
      <c r="U2" s="180"/>
      <c r="V2" s="180"/>
      <c r="W2" s="180"/>
      <c r="X2" s="180"/>
      <c r="Y2" s="180"/>
      <c r="Z2" s="253" t="s">
        <v>376</v>
      </c>
      <c r="AA2" s="253"/>
      <c r="AB2" s="253"/>
      <c r="AC2" s="253"/>
    </row>
    <row r="3" spans="1:30">
      <c r="A3" s="255" t="str">
        <f>Inputs!A12</f>
        <v>Project Tables (Update Monthly from Dashboard)</v>
      </c>
      <c r="B3" s="256"/>
      <c r="C3" s="256"/>
      <c r="D3" s="257"/>
      <c r="E3" s="258" t="str">
        <f>Inputs!D12</f>
        <v>Previous Month</v>
      </c>
      <c r="F3" s="259"/>
      <c r="G3" s="259"/>
      <c r="H3" s="260"/>
      <c r="I3" s="261"/>
      <c r="J3" s="262" t="str">
        <f>Inputs!I12</f>
        <v>3-Month Rolling Average</v>
      </c>
      <c r="K3" s="259"/>
      <c r="L3" s="259"/>
      <c r="M3" s="259"/>
      <c r="N3" s="260"/>
      <c r="O3" s="123" t="str">
        <f>Inputs!N12</f>
        <v>Project Cost to Date</v>
      </c>
      <c r="P3" s="123" t="str">
        <f>Inputs!O12</f>
        <v>Number of current analysts</v>
      </c>
      <c r="Q3" s="123" t="str">
        <f>Inputs!P12</f>
        <v>Current Level of Enablement</v>
      </c>
      <c r="R3" s="123" t="str">
        <f>Inputs!Q12</f>
        <v>MoM Growth Rate in Costs</v>
      </c>
      <c r="S3" s="123" t="str">
        <f>Inputs!R12</f>
        <v xml:space="preserve">Annual Cost </v>
      </c>
      <c r="T3" t="s">
        <v>371</v>
      </c>
      <c r="U3" t="s">
        <v>381</v>
      </c>
      <c r="V3" t="s">
        <v>364</v>
      </c>
      <c r="W3" t="s">
        <v>383</v>
      </c>
      <c r="X3" t="s">
        <v>18</v>
      </c>
      <c r="Y3" t="s">
        <v>387</v>
      </c>
      <c r="Z3" t="s">
        <v>372</v>
      </c>
      <c r="AA3" t="s">
        <v>374</v>
      </c>
      <c r="AB3" t="s">
        <v>373</v>
      </c>
      <c r="AC3" t="s">
        <v>375</v>
      </c>
      <c r="AD3" t="s">
        <v>46</v>
      </c>
    </row>
    <row r="4" spans="1:30">
      <c r="A4" s="20" t="str">
        <f>Inputs!A13</f>
        <v>Project List</v>
      </c>
      <c r="B4" s="20" t="str">
        <f>Inputs!B13</f>
        <v>Remaining Duration</v>
      </c>
      <c r="C4" s="20" t="s">
        <v>382</v>
      </c>
      <c r="D4" s="20" t="str">
        <f>Inputs!C13</f>
        <v>Current Phase</v>
      </c>
      <c r="E4" s="20" t="str">
        <f>Inputs!D13</f>
        <v>Enablement Cost</v>
      </c>
      <c r="F4" s="20" t="str">
        <f>Inputs!E13</f>
        <v>Data Related Cost</v>
      </c>
      <c r="G4" s="20" t="str">
        <f>Inputs!F13</f>
        <v>Analysts Cost</v>
      </c>
      <c r="H4" s="20" t="str">
        <f>Inputs!G13</f>
        <v>Overhead Costs</v>
      </c>
      <c r="I4" s="20" t="str">
        <f>Inputs!H13</f>
        <v>Platform Services</v>
      </c>
      <c r="J4" s="20" t="str">
        <f>Inputs!I13</f>
        <v>Enablement Cost</v>
      </c>
      <c r="K4" s="20" t="str">
        <f>Inputs!J13</f>
        <v>Data Related Cost</v>
      </c>
      <c r="L4" s="20" t="str">
        <f>Inputs!K13</f>
        <v>Analysts Cost</v>
      </c>
      <c r="M4" s="20" t="str">
        <f>Inputs!L13</f>
        <v>Overhead</v>
      </c>
      <c r="N4" s="20" t="str">
        <f>Inputs!M13</f>
        <v>Plaftorm Services</v>
      </c>
      <c r="O4" s="20"/>
      <c r="P4" s="20"/>
      <c r="Q4" s="20"/>
      <c r="R4" s="20"/>
      <c r="S4" s="20"/>
    </row>
    <row r="5" spans="1:30">
      <c r="A5" s="20" t="str">
        <f>Inputs!A14</f>
        <v>CVP-NYC</v>
      </c>
      <c r="B5" s="20">
        <f>Inputs!B14</f>
        <v>12</v>
      </c>
      <c r="C5" s="20" t="s">
        <v>37</v>
      </c>
      <c r="D5" s="20" t="s">
        <v>95</v>
      </c>
      <c r="E5" s="188">
        <f>Inputs!D14</f>
        <v>0</v>
      </c>
      <c r="F5" s="188">
        <f>Inputs!E14</f>
        <v>0</v>
      </c>
      <c r="G5" s="188">
        <f>Inputs!F14</f>
        <v>0</v>
      </c>
      <c r="H5" s="188">
        <f>Inputs!G14</f>
        <v>923.4140625</v>
      </c>
      <c r="I5" s="188">
        <f>Inputs!H14</f>
        <v>169.03936250000001</v>
      </c>
      <c r="J5" s="188">
        <f>Inputs!I14</f>
        <v>0</v>
      </c>
      <c r="K5" s="188">
        <f>Inputs!J14</f>
        <v>0</v>
      </c>
      <c r="L5" s="188">
        <f>Inputs!K14</f>
        <v>0</v>
      </c>
      <c r="M5" s="188">
        <f>Inputs!L14</f>
        <v>923.4140625</v>
      </c>
      <c r="N5" s="188">
        <f>Inputs!M14</f>
        <v>169.03936250000001</v>
      </c>
      <c r="O5" s="188">
        <f>Inputs!N14</f>
        <v>20000</v>
      </c>
      <c r="P5" s="188">
        <f>Inputs!O14</f>
        <v>5</v>
      </c>
      <c r="Q5" s="188" t="str">
        <f>Inputs!P14</f>
        <v>None</v>
      </c>
      <c r="R5" s="188">
        <f>Inputs!Q14</f>
        <v>0</v>
      </c>
      <c r="S5" s="188">
        <f>Inputs!R14</f>
        <v>13109.4411</v>
      </c>
      <c r="T5" s="189" t="str">
        <f>'Sys Admin'!F19</f>
        <v>None</v>
      </c>
      <c r="U5" s="189" t="str">
        <f>'Sys Admin'!H19</f>
        <v>Planning/Discovery</v>
      </c>
      <c r="V5" s="189">
        <f>'Sys Admin'!J19</f>
        <v>0</v>
      </c>
      <c r="W5" s="189">
        <f>VLOOKUP(U5&amp;T5,$N$33:$Q$50,4,FALSE)</f>
        <v>0</v>
      </c>
      <c r="X5" s="189">
        <f>IF(U5="Onboarding",1,IF(U5="Planning/Discovery",1,MIN((12-V5),VLOOKUP(U5&amp;C5,$V$31:$W$33,2))))</f>
        <v>1</v>
      </c>
      <c r="Y5" s="189">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1846.828125</v>
      </c>
      <c r="AC5">
        <f>IF(U5="Planning/Discovery",$L$41*2,IF(U5="Onboarding",$L$42*2,IF(U5="Active",$L$43*(12-V5),IF(U5="Export/Retirement",$L$44*2, 0))))</f>
        <v>354.98266125000004</v>
      </c>
      <c r="AD5" s="15">
        <f>SUM(Y5,Z5,AA5,AB5,AC5)</f>
        <v>2201.8107862500001</v>
      </c>
    </row>
    <row r="6" spans="1:30">
      <c r="A6" s="20" t="str">
        <f>Inputs!A15</f>
        <v>CVP-THEA</v>
      </c>
      <c r="B6" s="20">
        <f>Inputs!B15</f>
        <v>12</v>
      </c>
      <c r="C6" s="20" t="s">
        <v>38</v>
      </c>
      <c r="D6" s="20" t="str">
        <f>Inputs!C15</f>
        <v>Active</v>
      </c>
      <c r="E6" s="188">
        <f>Inputs!D15</f>
        <v>0</v>
      </c>
      <c r="F6" s="188">
        <f>Inputs!E15</f>
        <v>20.96</v>
      </c>
      <c r="G6" s="188">
        <f>Inputs!F15</f>
        <v>0</v>
      </c>
      <c r="H6" s="188">
        <f>Inputs!G15</f>
        <v>4924.875</v>
      </c>
      <c r="I6" s="188">
        <f>Inputs!H15</f>
        <v>1202.0576888888891</v>
      </c>
      <c r="J6" s="188">
        <f>Inputs!I15</f>
        <v>0</v>
      </c>
      <c r="K6" s="188">
        <f>Inputs!J15</f>
        <v>477.21333333333337</v>
      </c>
      <c r="L6" s="188">
        <f>Inputs!K15</f>
        <v>0</v>
      </c>
      <c r="M6" s="188">
        <f>Inputs!L15</f>
        <v>4924.875</v>
      </c>
      <c r="N6" s="188">
        <f>Inputs!M15</f>
        <v>1202.0576888888891</v>
      </c>
      <c r="O6" s="188">
        <f>Inputs!N15</f>
        <v>0</v>
      </c>
      <c r="P6" s="188">
        <f>Inputs!O15</f>
        <v>5</v>
      </c>
      <c r="Q6" s="188" t="str">
        <f>Inputs!P15</f>
        <v>None</v>
      </c>
      <c r="R6" s="188">
        <f>Inputs!Q15</f>
        <v>0.04</v>
      </c>
      <c r="S6" s="188">
        <f>Inputs!R15</f>
        <v>73774.712266666669</v>
      </c>
      <c r="T6" s="189" t="str">
        <f>'Sys Admin'!F20</f>
        <v>None</v>
      </c>
      <c r="U6" s="189" t="str">
        <f>'Sys Admin'!H20</f>
        <v>Active</v>
      </c>
      <c r="V6" s="189">
        <f>'Sys Admin'!J20</f>
        <v>0</v>
      </c>
      <c r="W6" s="189">
        <f t="shared" ref="W6:W21" si="0">VLOOKUP(U6&amp;T6,$N$33:$Q$50,4,FALSE)</f>
        <v>0</v>
      </c>
      <c r="X6" s="189">
        <f t="shared" ref="X6:X21" si="1">IF(U6="Onboarding",1,IF(U6="Planning/Discovery",1,MIN((12-V6),VLOOKUP(U6&amp;C6,$V$31:$W$33,2))))</f>
        <v>4</v>
      </c>
      <c r="Y6" s="189">
        <f t="shared" ref="Y6:Y21" si="2">W6*X6</f>
        <v>0</v>
      </c>
      <c r="Z6">
        <f t="shared" ref="Z6:Z21" si="3">(IF(U6=D6,F6,IF(U6="Planning/Discovery",0,IF(U6="Onboarding",0,IF(U6="Export/Retirement",0,VLOOKUP(U6&amp;C6,$V$31:$X$33,3,FALSE))))))*(12-V6)</f>
        <v>251.52</v>
      </c>
      <c r="AA6">
        <f t="shared" ref="AA6:AA21" si="4">(IF(U6=D6,F6,IF(U6="Planning/Discovery",0,IF(U6="Onboarding",0,IF(U6="Export/Retirement",0,VLOOKUP(U6&amp;C6,$V$31:$Y$33,4,FALSE))))))*(12-V6)</f>
        <v>251.52</v>
      </c>
      <c r="AB6">
        <f t="shared" ref="AB6:AB21" si="5">IF(U6="Planning/Discovery",$L$34*2,IF(U6="Onboarding",$L$35*2,IF(U6="Active",$L$36*(12-V6),IF(U6="Export/Retirement",$L$37*1, 0))))</f>
        <v>59098.5</v>
      </c>
      <c r="AC6">
        <f t="shared" ref="AC6:AC21" si="6">IF(U6="Planning/Discovery",$L$41*2,IF(U6="Onboarding",$L$42*2,IF(U6="Active",$L$43*(12-V6),IF(U6="Export/Retirement",$L$44*2, 0))))</f>
        <v>15145.926880000003</v>
      </c>
      <c r="AD6" s="15">
        <f t="shared" ref="AD6:AD21" si="7">SUM(Y6,Z6,AA6,AB6,AC6)</f>
        <v>74747.466880000007</v>
      </c>
    </row>
    <row r="7" spans="1:30">
      <c r="A7" s="20" t="str">
        <f>Inputs!A16</f>
        <v>CVP-WYDOT</v>
      </c>
      <c r="B7" s="20">
        <f>Inputs!B16</f>
        <v>12</v>
      </c>
      <c r="C7" s="20" t="s">
        <v>37</v>
      </c>
      <c r="D7" s="20" t="str">
        <f>Inputs!C16</f>
        <v>Active</v>
      </c>
      <c r="E7" s="188">
        <f>Inputs!D16</f>
        <v>0</v>
      </c>
      <c r="F7" s="188">
        <f>Inputs!E16</f>
        <v>62.03</v>
      </c>
      <c r="G7" s="188">
        <f>Inputs!F16</f>
        <v>0</v>
      </c>
      <c r="H7" s="188">
        <f>Inputs!G16</f>
        <v>4924.875</v>
      </c>
      <c r="I7" s="188">
        <f>Inputs!H16</f>
        <v>1202.0576888888891</v>
      </c>
      <c r="J7" s="188">
        <f>Inputs!I16</f>
        <v>0</v>
      </c>
      <c r="K7" s="188">
        <f>Inputs!J16</f>
        <v>49.360000000000007</v>
      </c>
      <c r="L7" s="188">
        <f>Inputs!K16</f>
        <v>0</v>
      </c>
      <c r="M7" s="188">
        <f>Inputs!L16</f>
        <v>4924.875</v>
      </c>
      <c r="N7" s="188">
        <f>Inputs!M16</f>
        <v>1202.0576888888891</v>
      </c>
      <c r="O7" s="188">
        <f>Inputs!N16</f>
        <v>0</v>
      </c>
      <c r="P7" s="188">
        <f>Inputs!O16</f>
        <v>8</v>
      </c>
      <c r="Q7" s="188" t="str">
        <f>Inputs!P16</f>
        <v>None</v>
      </c>
      <c r="R7" s="188">
        <f>Inputs!Q16</f>
        <v>0.04</v>
      </c>
      <c r="S7" s="188">
        <f>Inputs!R16</f>
        <v>74267.552266666666</v>
      </c>
      <c r="T7" s="189" t="str">
        <f>'Sys Admin'!F21</f>
        <v>None</v>
      </c>
      <c r="U7" s="189" t="str">
        <f>'Sys Admin'!H21</f>
        <v>Active</v>
      </c>
      <c r="V7" s="189">
        <f>'Sys Admin'!J21</f>
        <v>0</v>
      </c>
      <c r="W7" s="189">
        <f t="shared" si="0"/>
        <v>0</v>
      </c>
      <c r="X7" s="189">
        <f t="shared" si="1"/>
        <v>6</v>
      </c>
      <c r="Y7" s="189">
        <f t="shared" si="2"/>
        <v>0</v>
      </c>
      <c r="Z7">
        <f t="shared" si="3"/>
        <v>744.36</v>
      </c>
      <c r="AA7">
        <f t="shared" si="4"/>
        <v>744.36</v>
      </c>
      <c r="AB7">
        <f t="shared" si="5"/>
        <v>59098.5</v>
      </c>
      <c r="AC7">
        <f t="shared" si="6"/>
        <v>15145.926880000003</v>
      </c>
      <c r="AD7" s="15">
        <f t="shared" si="7"/>
        <v>75733.14688</v>
      </c>
    </row>
    <row r="8" spans="1:30">
      <c r="A8" s="20" t="str">
        <f>Inputs!A17</f>
        <v>CVP-Volpe-IE</v>
      </c>
      <c r="B8" s="20">
        <f>Inputs!B17</f>
        <v>12</v>
      </c>
      <c r="C8" s="20" t="s">
        <v>37</v>
      </c>
      <c r="D8" s="20" t="str">
        <f>Inputs!C17</f>
        <v>Active</v>
      </c>
      <c r="E8" s="188">
        <f>Inputs!D17</f>
        <v>0</v>
      </c>
      <c r="F8" s="188">
        <f>Inputs!E17</f>
        <v>0</v>
      </c>
      <c r="G8" s="188">
        <f>Inputs!F17</f>
        <v>148.24</v>
      </c>
      <c r="H8" s="188">
        <f>Inputs!G17</f>
        <v>4924.875</v>
      </c>
      <c r="I8" s="188">
        <f>Inputs!H17</f>
        <v>1202.0576888888891</v>
      </c>
      <c r="J8" s="188">
        <f>Inputs!I17</f>
        <v>0</v>
      </c>
      <c r="K8" s="188">
        <f>Inputs!J17</f>
        <v>0</v>
      </c>
      <c r="L8" s="188">
        <f>Inputs!K17</f>
        <v>170.27333333333334</v>
      </c>
      <c r="M8" s="188">
        <f>Inputs!L17</f>
        <v>4924.875</v>
      </c>
      <c r="N8" s="188">
        <f>Inputs!M17</f>
        <v>1202.0576888888891</v>
      </c>
      <c r="O8" s="188">
        <f>Inputs!N17</f>
        <v>0</v>
      </c>
      <c r="P8" s="188">
        <f>Inputs!O17</f>
        <v>5</v>
      </c>
      <c r="Q8" s="188" t="str">
        <f>Inputs!P17</f>
        <v>None</v>
      </c>
      <c r="R8" s="188">
        <f>Inputs!Q17</f>
        <v>0.04</v>
      </c>
      <c r="S8" s="188">
        <f>Inputs!R17</f>
        <v>75302.07226666667</v>
      </c>
      <c r="T8" s="189" t="str">
        <f>'Sys Admin'!F22</f>
        <v>None</v>
      </c>
      <c r="U8" s="189" t="str">
        <f>'Sys Admin'!H22</f>
        <v>Active</v>
      </c>
      <c r="V8" s="189">
        <f>'Sys Admin'!J22</f>
        <v>0</v>
      </c>
      <c r="W8" s="189">
        <f t="shared" si="0"/>
        <v>0</v>
      </c>
      <c r="X8" s="189">
        <f t="shared" si="1"/>
        <v>6</v>
      </c>
      <c r="Y8" s="189">
        <f t="shared" si="2"/>
        <v>0</v>
      </c>
      <c r="Z8">
        <f t="shared" si="3"/>
        <v>0</v>
      </c>
      <c r="AA8">
        <f t="shared" si="4"/>
        <v>0</v>
      </c>
      <c r="AB8">
        <f t="shared" si="5"/>
        <v>59098.5</v>
      </c>
      <c r="AC8">
        <f t="shared" si="6"/>
        <v>15145.926880000003</v>
      </c>
      <c r="AD8" s="15">
        <f t="shared" si="7"/>
        <v>74244.426879999999</v>
      </c>
    </row>
    <row r="9" spans="1:30">
      <c r="A9" s="20" t="str">
        <f>Inputs!A18</f>
        <v>CVP-TTI-IE</v>
      </c>
      <c r="B9" s="20">
        <f>Inputs!B18</f>
        <v>12</v>
      </c>
      <c r="C9" s="20" t="s">
        <v>37</v>
      </c>
      <c r="D9" s="20" t="str">
        <f>Inputs!C18</f>
        <v>Active</v>
      </c>
      <c r="E9" s="188">
        <f>Inputs!D18</f>
        <v>0</v>
      </c>
      <c r="F9" s="188">
        <f>Inputs!E18</f>
        <v>0</v>
      </c>
      <c r="G9" s="188">
        <f>Inputs!F18</f>
        <v>93.63</v>
      </c>
      <c r="H9" s="188">
        <f>Inputs!G18</f>
        <v>4924.875</v>
      </c>
      <c r="I9" s="188">
        <f>Inputs!H18</f>
        <v>1202.0576888888891</v>
      </c>
      <c r="J9" s="188">
        <f>Inputs!I18</f>
        <v>0</v>
      </c>
      <c r="K9" s="188">
        <f>Inputs!J18</f>
        <v>0</v>
      </c>
      <c r="L9" s="188">
        <f>Inputs!K18</f>
        <v>95.11</v>
      </c>
      <c r="M9" s="188">
        <f>Inputs!L18</f>
        <v>4924.875</v>
      </c>
      <c r="N9" s="188">
        <f>Inputs!M18</f>
        <v>1202.0576888888891</v>
      </c>
      <c r="O9" s="188">
        <f>Inputs!N18</f>
        <v>0</v>
      </c>
      <c r="P9" s="188">
        <f>Inputs!O18</f>
        <v>10</v>
      </c>
      <c r="Q9" s="188" t="str">
        <f>Inputs!P18</f>
        <v>None</v>
      </c>
      <c r="R9" s="188">
        <f>Inputs!Q18</f>
        <v>0.04</v>
      </c>
      <c r="S9" s="188">
        <f>Inputs!R18</f>
        <v>74646.752266666677</v>
      </c>
      <c r="T9" s="189" t="str">
        <f>'Sys Admin'!F23</f>
        <v>None</v>
      </c>
      <c r="U9" s="189" t="str">
        <f>'Sys Admin'!H23</f>
        <v>Active</v>
      </c>
      <c r="V9" s="189">
        <f>'Sys Admin'!J23</f>
        <v>0</v>
      </c>
      <c r="W9" s="189">
        <f t="shared" si="0"/>
        <v>0</v>
      </c>
      <c r="X9" s="189">
        <f t="shared" si="1"/>
        <v>6</v>
      </c>
      <c r="Y9" s="189">
        <f t="shared" si="2"/>
        <v>0</v>
      </c>
      <c r="Z9">
        <f t="shared" si="3"/>
        <v>0</v>
      </c>
      <c r="AA9">
        <f t="shared" si="4"/>
        <v>0</v>
      </c>
      <c r="AB9">
        <f t="shared" si="5"/>
        <v>59098.5</v>
      </c>
      <c r="AC9">
        <f t="shared" si="6"/>
        <v>15145.926880000003</v>
      </c>
      <c r="AD9" s="15">
        <f t="shared" si="7"/>
        <v>74244.426879999999</v>
      </c>
    </row>
    <row r="10" spans="1:30">
      <c r="A10" s="20" t="str">
        <f>Inputs!A19</f>
        <v>CARMA3-FMCSA</v>
      </c>
      <c r="B10" s="20">
        <f>Inputs!B19</f>
        <v>12</v>
      </c>
      <c r="C10" s="20" t="s">
        <v>38</v>
      </c>
      <c r="D10" s="20" t="str">
        <f>Inputs!C19</f>
        <v>Planning/Discovery</v>
      </c>
      <c r="E10" s="188">
        <f>Inputs!D19</f>
        <v>0</v>
      </c>
      <c r="F10" s="188">
        <f>Inputs!E19</f>
        <v>0</v>
      </c>
      <c r="G10" s="188">
        <f>Inputs!F19</f>
        <v>0</v>
      </c>
      <c r="H10" s="188">
        <f>Inputs!G19</f>
        <v>923.4140625</v>
      </c>
      <c r="I10" s="188">
        <f>Inputs!H19</f>
        <v>169.03936250000001</v>
      </c>
      <c r="J10" s="188">
        <f>Inputs!I19</f>
        <v>0</v>
      </c>
      <c r="K10" s="188">
        <f>Inputs!J19</f>
        <v>0</v>
      </c>
      <c r="L10" s="188">
        <f>Inputs!K19</f>
        <v>0</v>
      </c>
      <c r="M10" s="188">
        <f>Inputs!L19</f>
        <v>0</v>
      </c>
      <c r="N10" s="188">
        <f>Inputs!M19</f>
        <v>0</v>
      </c>
      <c r="O10" s="188">
        <f>Inputs!N19</f>
        <v>0</v>
      </c>
      <c r="P10" s="188">
        <f>Inputs!O19</f>
        <v>0</v>
      </c>
      <c r="Q10" s="188" t="str">
        <f>Inputs!P19</f>
        <v>None</v>
      </c>
      <c r="R10" s="188">
        <f>Inputs!Q19</f>
        <v>0</v>
      </c>
      <c r="S10" s="188">
        <f>Inputs!R19</f>
        <v>13109.4411</v>
      </c>
      <c r="T10" s="189" t="str">
        <f>'Sys Admin'!F24</f>
        <v>None</v>
      </c>
      <c r="U10" s="189" t="str">
        <f>'Sys Admin'!H24</f>
        <v>Planning/Discovery</v>
      </c>
      <c r="V10" s="189">
        <f>'Sys Admin'!J24</f>
        <v>0</v>
      </c>
      <c r="W10" s="189">
        <f t="shared" si="0"/>
        <v>0</v>
      </c>
      <c r="X10" s="189">
        <f t="shared" si="1"/>
        <v>1</v>
      </c>
      <c r="Y10" s="189">
        <f t="shared" si="2"/>
        <v>0</v>
      </c>
      <c r="Z10">
        <f t="shared" si="3"/>
        <v>0</v>
      </c>
      <c r="AA10">
        <f t="shared" si="4"/>
        <v>0</v>
      </c>
      <c r="AB10">
        <f t="shared" si="5"/>
        <v>1846.828125</v>
      </c>
      <c r="AC10">
        <f t="shared" si="6"/>
        <v>354.98266125000004</v>
      </c>
      <c r="AD10" s="15">
        <f t="shared" si="7"/>
        <v>2201.8107862500001</v>
      </c>
    </row>
    <row r="11" spans="1:30">
      <c r="A11" s="20" t="str">
        <f>Inputs!A20</f>
        <v>CARMA-FHWA</v>
      </c>
      <c r="B11" s="20">
        <f>Inputs!B20</f>
        <v>12</v>
      </c>
      <c r="C11" s="20" t="s">
        <v>38</v>
      </c>
      <c r="D11" s="20" t="str">
        <f>Inputs!C20</f>
        <v>Planning/Discovery</v>
      </c>
      <c r="E11" s="188">
        <f>Inputs!D20</f>
        <v>0</v>
      </c>
      <c r="F11" s="188">
        <f>Inputs!E20</f>
        <v>0</v>
      </c>
      <c r="G11" s="188">
        <f>Inputs!F20</f>
        <v>0</v>
      </c>
      <c r="H11" s="188">
        <f>Inputs!G20</f>
        <v>923.4140625</v>
      </c>
      <c r="I11" s="188">
        <f>Inputs!H20</f>
        <v>169.03936250000001</v>
      </c>
      <c r="J11" s="188">
        <f>Inputs!I20</f>
        <v>0</v>
      </c>
      <c r="K11" s="188">
        <f>Inputs!J20</f>
        <v>0</v>
      </c>
      <c r="L11" s="188">
        <f>Inputs!K20</f>
        <v>0</v>
      </c>
      <c r="M11" s="188">
        <f>Inputs!L20</f>
        <v>923.4140625</v>
      </c>
      <c r="N11" s="188">
        <f>Inputs!M20</f>
        <v>169.03936250000001</v>
      </c>
      <c r="O11" s="188">
        <f>Inputs!N20</f>
        <v>0</v>
      </c>
      <c r="P11" s="188">
        <f>Inputs!O20</f>
        <v>0</v>
      </c>
      <c r="Q11" s="188" t="str">
        <f>Inputs!P20</f>
        <v>None</v>
      </c>
      <c r="R11" s="188">
        <f>Inputs!Q20</f>
        <v>0</v>
      </c>
      <c r="S11" s="188">
        <f>Inputs!R20</f>
        <v>13109.4411</v>
      </c>
      <c r="T11" s="189" t="str">
        <f>'Sys Admin'!F25</f>
        <v>None</v>
      </c>
      <c r="U11" s="189" t="str">
        <f>'Sys Admin'!H25</f>
        <v>Planning/Discovery</v>
      </c>
      <c r="V11" s="189">
        <f>'Sys Admin'!J25</f>
        <v>0</v>
      </c>
      <c r="W11" s="189">
        <f t="shared" si="0"/>
        <v>0</v>
      </c>
      <c r="X11" s="189">
        <f t="shared" si="1"/>
        <v>1</v>
      </c>
      <c r="Y11" s="189">
        <f t="shared" si="2"/>
        <v>0</v>
      </c>
      <c r="Z11">
        <f t="shared" si="3"/>
        <v>0</v>
      </c>
      <c r="AA11">
        <f t="shared" si="4"/>
        <v>0</v>
      </c>
      <c r="AB11">
        <f t="shared" si="5"/>
        <v>1846.828125</v>
      </c>
      <c r="AC11">
        <f t="shared" si="6"/>
        <v>354.98266125000004</v>
      </c>
      <c r="AD11" s="15">
        <f t="shared" si="7"/>
        <v>2201.8107862500001</v>
      </c>
    </row>
    <row r="12" spans="1:30">
      <c r="A12" s="20" t="str">
        <f>Inputs!A21</f>
        <v>FMI-ATRI</v>
      </c>
      <c r="B12" s="20">
        <f>Inputs!B21</f>
        <v>12</v>
      </c>
      <c r="C12" s="20" t="s">
        <v>37</v>
      </c>
      <c r="D12" s="20" t="str">
        <f>Inputs!C21</f>
        <v>Active</v>
      </c>
      <c r="E12" s="188">
        <f>Inputs!D21</f>
        <v>0</v>
      </c>
      <c r="F12" s="188">
        <f>Inputs!E21</f>
        <v>131.35</v>
      </c>
      <c r="G12" s="188">
        <f>Inputs!F21</f>
        <v>0</v>
      </c>
      <c r="H12" s="188">
        <f>Inputs!G21</f>
        <v>4924.875</v>
      </c>
      <c r="I12" s="188">
        <f>Inputs!H21</f>
        <v>1202.0576888888891</v>
      </c>
      <c r="J12" s="188">
        <f>Inputs!I21</f>
        <v>0</v>
      </c>
      <c r="K12" s="188">
        <f>Inputs!J21</f>
        <v>187.05333333333331</v>
      </c>
      <c r="L12" s="188">
        <f>Inputs!K21</f>
        <v>0</v>
      </c>
      <c r="M12" s="188">
        <f>Inputs!L21</f>
        <v>4924.875</v>
      </c>
      <c r="N12" s="188">
        <f>Inputs!M21</f>
        <v>1202.0576888888891</v>
      </c>
      <c r="O12" s="188">
        <f>Inputs!N21</f>
        <v>0</v>
      </c>
      <c r="P12" s="188">
        <f>Inputs!O21</f>
        <v>5</v>
      </c>
      <c r="Q12" s="188" t="str">
        <f>Inputs!P21</f>
        <v>None</v>
      </c>
      <c r="R12" s="188">
        <f>Inputs!Q21</f>
        <v>0.04</v>
      </c>
      <c r="S12" s="188">
        <f>Inputs!R21</f>
        <v>75099.392266666677</v>
      </c>
      <c r="T12" s="189" t="str">
        <f>'Sys Admin'!F26</f>
        <v>None</v>
      </c>
      <c r="U12" s="189" t="str">
        <f>'Sys Admin'!H26</f>
        <v>Active</v>
      </c>
      <c r="V12" s="189">
        <f>'Sys Admin'!J26</f>
        <v>0</v>
      </c>
      <c r="W12" s="189">
        <f t="shared" si="0"/>
        <v>0</v>
      </c>
      <c r="X12" s="189">
        <f t="shared" si="1"/>
        <v>6</v>
      </c>
      <c r="Y12" s="189">
        <f t="shared" si="2"/>
        <v>0</v>
      </c>
      <c r="Z12">
        <f t="shared" si="3"/>
        <v>1576.1999999999998</v>
      </c>
      <c r="AA12">
        <f t="shared" si="4"/>
        <v>1576.1999999999998</v>
      </c>
      <c r="AB12">
        <f t="shared" si="5"/>
        <v>59098.5</v>
      </c>
      <c r="AC12">
        <f t="shared" si="6"/>
        <v>15145.926880000003</v>
      </c>
      <c r="AD12" s="15">
        <f t="shared" si="7"/>
        <v>77396.826880000008</v>
      </c>
    </row>
    <row r="13" spans="1:30">
      <c r="A13" s="20" t="str">
        <f>Inputs!A22</f>
        <v>FMI-BTS</v>
      </c>
      <c r="B13" s="20">
        <f>Inputs!B22</f>
        <v>12</v>
      </c>
      <c r="C13" s="20" t="s">
        <v>37</v>
      </c>
      <c r="D13" s="20" t="str">
        <f>Inputs!C22</f>
        <v>Active</v>
      </c>
      <c r="E13" s="188">
        <f>Inputs!D22</f>
        <v>0</v>
      </c>
      <c r="F13" s="188">
        <f>Inputs!E22</f>
        <v>0</v>
      </c>
      <c r="G13" s="188">
        <f>Inputs!F22</f>
        <v>0</v>
      </c>
      <c r="H13" s="188">
        <f>Inputs!G22</f>
        <v>4924.875</v>
      </c>
      <c r="I13" s="188">
        <f>Inputs!H22</f>
        <v>1202.0576888888891</v>
      </c>
      <c r="J13" s="188">
        <f>Inputs!I22</f>
        <v>0</v>
      </c>
      <c r="K13" s="188">
        <f>Inputs!J22</f>
        <v>0</v>
      </c>
      <c r="L13" s="188">
        <f>Inputs!K22</f>
        <v>0</v>
      </c>
      <c r="M13" s="188">
        <f>Inputs!L22</f>
        <v>4924.875</v>
      </c>
      <c r="N13" s="188">
        <f>Inputs!M22</f>
        <v>1202.0576888888891</v>
      </c>
      <c r="O13" s="188">
        <f>Inputs!N22</f>
        <v>0</v>
      </c>
      <c r="P13" s="188">
        <f>Inputs!O22</f>
        <v>3</v>
      </c>
      <c r="Q13" s="188" t="str">
        <f>Inputs!P22</f>
        <v>None</v>
      </c>
      <c r="R13" s="188">
        <f>Inputs!Q22</f>
        <v>0.04</v>
      </c>
      <c r="S13" s="188">
        <f>Inputs!R22</f>
        <v>73523.192266666665</v>
      </c>
      <c r="T13" s="189" t="str">
        <f>'Sys Admin'!F27</f>
        <v>None</v>
      </c>
      <c r="U13" s="189" t="str">
        <f>'Sys Admin'!H27</f>
        <v>Active</v>
      </c>
      <c r="V13" s="189">
        <f>'Sys Admin'!J27</f>
        <v>0</v>
      </c>
      <c r="W13" s="189">
        <f t="shared" si="0"/>
        <v>0</v>
      </c>
      <c r="X13" s="189">
        <f t="shared" si="1"/>
        <v>6</v>
      </c>
      <c r="Y13" s="189">
        <f t="shared" si="2"/>
        <v>0</v>
      </c>
      <c r="Z13">
        <f t="shared" si="3"/>
        <v>0</v>
      </c>
      <c r="AA13">
        <f t="shared" si="4"/>
        <v>0</v>
      </c>
      <c r="AB13">
        <f t="shared" si="5"/>
        <v>59098.5</v>
      </c>
      <c r="AC13">
        <f t="shared" si="6"/>
        <v>15145.926880000003</v>
      </c>
      <c r="AD13" s="15">
        <f t="shared" si="7"/>
        <v>74244.426879999999</v>
      </c>
    </row>
    <row r="14" spans="1:30">
      <c r="A14" s="20" t="str">
        <f>Inputs!A23</f>
        <v>FTA-DA</v>
      </c>
      <c r="B14" s="20">
        <f>Inputs!B23</f>
        <v>12</v>
      </c>
      <c r="C14" s="20" t="s">
        <v>39</v>
      </c>
      <c r="D14" s="20" t="str">
        <f>Inputs!C23</f>
        <v>Active</v>
      </c>
      <c r="E14" s="188">
        <f>Inputs!D23</f>
        <v>0</v>
      </c>
      <c r="F14" s="188">
        <f>Inputs!E23</f>
        <v>0</v>
      </c>
      <c r="G14" s="188">
        <f>Inputs!F23</f>
        <v>0</v>
      </c>
      <c r="H14" s="188">
        <f>Inputs!G23</f>
        <v>4924.875</v>
      </c>
      <c r="I14" s="188">
        <f>Inputs!H23</f>
        <v>1202.0576888888891</v>
      </c>
      <c r="J14" s="188">
        <f>Inputs!I23</f>
        <v>0</v>
      </c>
      <c r="K14" s="188">
        <f>Inputs!J23</f>
        <v>0</v>
      </c>
      <c r="L14" s="188">
        <f>Inputs!K23</f>
        <v>0</v>
      </c>
      <c r="M14" s="188">
        <f>Inputs!L23</f>
        <v>4924.875</v>
      </c>
      <c r="N14" s="188">
        <f>Inputs!M23</f>
        <v>1202.0576888888891</v>
      </c>
      <c r="O14" s="188">
        <f>Inputs!N23</f>
        <v>0</v>
      </c>
      <c r="P14" s="188">
        <f>Inputs!O23</f>
        <v>1</v>
      </c>
      <c r="Q14" s="188" t="str">
        <f>Inputs!P23</f>
        <v>None</v>
      </c>
      <c r="R14" s="188">
        <f>Inputs!Q23</f>
        <v>0.04</v>
      </c>
      <c r="S14" s="188">
        <f>Inputs!R23</f>
        <v>73523.192266666665</v>
      </c>
      <c r="T14" s="189" t="str">
        <f>'Sys Admin'!F28</f>
        <v>None</v>
      </c>
      <c r="U14" s="189" t="str">
        <f>'Sys Admin'!H28</f>
        <v>Active</v>
      </c>
      <c r="V14" s="189">
        <f>'Sys Admin'!J28</f>
        <v>0</v>
      </c>
      <c r="W14" s="189">
        <f t="shared" si="0"/>
        <v>0</v>
      </c>
      <c r="X14" s="189">
        <f t="shared" si="1"/>
        <v>6</v>
      </c>
      <c r="Y14" s="189">
        <f t="shared" si="2"/>
        <v>0</v>
      </c>
      <c r="Z14">
        <f t="shared" si="3"/>
        <v>0</v>
      </c>
      <c r="AA14">
        <f t="shared" si="4"/>
        <v>0</v>
      </c>
      <c r="AB14">
        <f t="shared" si="5"/>
        <v>59098.5</v>
      </c>
      <c r="AC14">
        <f t="shared" si="6"/>
        <v>15145.926880000003</v>
      </c>
      <c r="AD14" s="15">
        <f t="shared" si="7"/>
        <v>74244.426879999999</v>
      </c>
    </row>
    <row r="15" spans="1:30">
      <c r="A15" s="20" t="str">
        <f>Inputs!A24</f>
        <v>MOD 2.0</v>
      </c>
      <c r="B15" s="20">
        <f>Inputs!B24</f>
        <v>12</v>
      </c>
      <c r="C15" s="20" t="s">
        <v>39</v>
      </c>
      <c r="D15" s="20" t="str">
        <f>Inputs!C24</f>
        <v>Prospective</v>
      </c>
      <c r="E15" s="188">
        <f>Inputs!D24</f>
        <v>0</v>
      </c>
      <c r="F15" s="188">
        <f>Inputs!E24</f>
        <v>0</v>
      </c>
      <c r="G15" s="188">
        <f>Inputs!F24</f>
        <v>0</v>
      </c>
      <c r="H15" s="188">
        <f>Inputs!G24</f>
        <v>0</v>
      </c>
      <c r="I15" s="188">
        <f>Inputs!H24</f>
        <v>0</v>
      </c>
      <c r="J15" s="188">
        <f>Inputs!I24</f>
        <v>0</v>
      </c>
      <c r="K15" s="188">
        <f>Inputs!J24</f>
        <v>0</v>
      </c>
      <c r="L15" s="188">
        <f>Inputs!K24</f>
        <v>0</v>
      </c>
      <c r="M15" s="188">
        <f>Inputs!L24</f>
        <v>0</v>
      </c>
      <c r="N15" s="188">
        <f>Inputs!M24</f>
        <v>0</v>
      </c>
      <c r="O15" s="188">
        <f>Inputs!N24</f>
        <v>0</v>
      </c>
      <c r="P15" s="188">
        <f>Inputs!O24</f>
        <v>0</v>
      </c>
      <c r="Q15" s="188" t="str">
        <f>Inputs!P24</f>
        <v>None</v>
      </c>
      <c r="R15" s="188">
        <f>Inputs!Q24</f>
        <v>0</v>
      </c>
      <c r="S15" s="188">
        <f>Inputs!R24</f>
        <v>0</v>
      </c>
      <c r="T15" s="189" t="str">
        <f>'Sys Admin'!F29</f>
        <v>None</v>
      </c>
      <c r="U15" s="189" t="str">
        <f>'Sys Admin'!H29</f>
        <v>Prospective</v>
      </c>
      <c r="V15" s="189">
        <f>'Sys Admin'!J29</f>
        <v>0</v>
      </c>
      <c r="W15" s="189">
        <f t="shared" si="0"/>
        <v>0</v>
      </c>
      <c r="X15" s="189">
        <f t="shared" si="1"/>
        <v>2</v>
      </c>
      <c r="Y15" s="189">
        <f t="shared" si="2"/>
        <v>0</v>
      </c>
      <c r="Z15">
        <f t="shared" si="3"/>
        <v>0</v>
      </c>
      <c r="AA15">
        <f t="shared" si="4"/>
        <v>0</v>
      </c>
      <c r="AB15">
        <f t="shared" si="5"/>
        <v>0</v>
      </c>
      <c r="AC15">
        <f t="shared" si="6"/>
        <v>0</v>
      </c>
      <c r="AD15" s="15">
        <f t="shared" si="7"/>
        <v>0</v>
      </c>
    </row>
    <row r="16" spans="1:30">
      <c r="A16" s="20" t="str">
        <f>Inputs!A25</f>
        <v xml:space="preserve">MPI </v>
      </c>
      <c r="B16" s="20">
        <f>Inputs!B25</f>
        <v>12</v>
      </c>
      <c r="C16" s="20" t="s">
        <v>39</v>
      </c>
      <c r="D16" s="20" t="str">
        <f>Inputs!C25</f>
        <v>Prospective</v>
      </c>
      <c r="E16" s="188">
        <f>Inputs!D25</f>
        <v>0</v>
      </c>
      <c r="F16" s="188">
        <f>Inputs!E25</f>
        <v>0</v>
      </c>
      <c r="G16" s="188">
        <f>Inputs!F25</f>
        <v>0</v>
      </c>
      <c r="H16" s="188">
        <f>Inputs!G25</f>
        <v>0</v>
      </c>
      <c r="I16" s="188">
        <f>Inputs!H25</f>
        <v>0</v>
      </c>
      <c r="J16" s="188">
        <f>Inputs!I25</f>
        <v>0</v>
      </c>
      <c r="K16" s="188">
        <f>Inputs!J25</f>
        <v>0</v>
      </c>
      <c r="L16" s="188">
        <f>Inputs!K25</f>
        <v>0</v>
      </c>
      <c r="M16" s="188">
        <f>Inputs!L25</f>
        <v>0</v>
      </c>
      <c r="N16" s="188">
        <f>Inputs!M25</f>
        <v>0</v>
      </c>
      <c r="O16" s="188">
        <f>Inputs!N25</f>
        <v>0</v>
      </c>
      <c r="P16" s="188">
        <f>Inputs!O25</f>
        <v>0</v>
      </c>
      <c r="Q16" s="188" t="str">
        <f>Inputs!P25</f>
        <v>None</v>
      </c>
      <c r="R16" s="188">
        <f>Inputs!Q25</f>
        <v>0</v>
      </c>
      <c r="S16" s="188">
        <f>Inputs!R25</f>
        <v>0</v>
      </c>
      <c r="T16" s="189" t="str">
        <f>'Sys Admin'!F30</f>
        <v>None</v>
      </c>
      <c r="U16" s="189" t="str">
        <f>'Sys Admin'!H30</f>
        <v>Prospective</v>
      </c>
      <c r="V16" s="189">
        <f>'Sys Admin'!J30</f>
        <v>0</v>
      </c>
      <c r="W16" s="189">
        <f t="shared" si="0"/>
        <v>0</v>
      </c>
      <c r="X16" s="189">
        <f t="shared" si="1"/>
        <v>2</v>
      </c>
      <c r="Y16" s="189">
        <f t="shared" si="2"/>
        <v>0</v>
      </c>
      <c r="Z16">
        <f t="shared" si="3"/>
        <v>0</v>
      </c>
      <c r="AA16">
        <f t="shared" si="4"/>
        <v>0</v>
      </c>
      <c r="AB16">
        <f t="shared" si="5"/>
        <v>0</v>
      </c>
      <c r="AC16">
        <f t="shared" si="6"/>
        <v>0</v>
      </c>
      <c r="AD16" s="15">
        <f t="shared" si="7"/>
        <v>0</v>
      </c>
    </row>
    <row r="17" spans="1:30">
      <c r="A17" s="20" t="str">
        <f>Inputs!A26</f>
        <v>WAZE-WAZE</v>
      </c>
      <c r="B17" s="20">
        <f>Inputs!B26</f>
        <v>12</v>
      </c>
      <c r="C17" s="20" t="s">
        <v>37</v>
      </c>
      <c r="D17" s="20" t="str">
        <f>Inputs!C26</f>
        <v>Active</v>
      </c>
      <c r="E17" s="188">
        <f>Inputs!D26</f>
        <v>0</v>
      </c>
      <c r="F17" s="188">
        <f>Inputs!E26</f>
        <v>973.7</v>
      </c>
      <c r="G17" s="242"/>
      <c r="H17" s="188">
        <f>Inputs!G26</f>
        <v>4924.875</v>
      </c>
      <c r="I17" s="188">
        <f>Inputs!H26</f>
        <v>1202.0576888888891</v>
      </c>
      <c r="J17" s="188">
        <f>Inputs!I26</f>
        <v>0</v>
      </c>
      <c r="K17" s="188">
        <f>Inputs!J26</f>
        <v>1109.17</v>
      </c>
      <c r="L17" s="188">
        <f>Inputs!K26</f>
        <v>0</v>
      </c>
      <c r="M17" s="188">
        <f>Inputs!L26</f>
        <v>4924.875</v>
      </c>
      <c r="N17" s="188">
        <f>Inputs!M26</f>
        <v>1202.0576888888891</v>
      </c>
      <c r="O17" s="188">
        <f>Inputs!N26</f>
        <v>0</v>
      </c>
      <c r="P17" s="188">
        <f>Inputs!O26</f>
        <v>3</v>
      </c>
      <c r="Q17" s="188" t="str">
        <f>Inputs!P26</f>
        <v>None</v>
      </c>
      <c r="R17" s="188">
        <f>Inputs!Q26</f>
        <v>0.04</v>
      </c>
      <c r="S17" s="188">
        <f>Inputs!R26</f>
        <v>85207.592266666674</v>
      </c>
      <c r="T17" s="189" t="str">
        <f>'Sys Admin'!F31</f>
        <v>None</v>
      </c>
      <c r="U17" s="189" t="str">
        <f>'Sys Admin'!H31</f>
        <v>Active</v>
      </c>
      <c r="V17" s="189">
        <f>'Sys Admin'!J31</f>
        <v>0</v>
      </c>
      <c r="W17" s="189">
        <f t="shared" si="0"/>
        <v>0</v>
      </c>
      <c r="X17" s="189">
        <f t="shared" si="1"/>
        <v>6</v>
      </c>
      <c r="Y17" s="189">
        <f t="shared" si="2"/>
        <v>0</v>
      </c>
      <c r="Z17">
        <f t="shared" si="3"/>
        <v>11684.400000000001</v>
      </c>
      <c r="AA17">
        <f t="shared" si="4"/>
        <v>11684.400000000001</v>
      </c>
      <c r="AB17">
        <f t="shared" si="5"/>
        <v>59098.5</v>
      </c>
      <c r="AC17">
        <f t="shared" si="6"/>
        <v>15145.926880000003</v>
      </c>
      <c r="AD17" s="15">
        <f t="shared" si="7"/>
        <v>97613.226880000002</v>
      </c>
    </row>
    <row r="18" spans="1:30">
      <c r="A18" s="20" t="str">
        <f>Inputs!A27</f>
        <v>WAZE-SDI</v>
      </c>
      <c r="B18" s="20">
        <f>Inputs!B27</f>
        <v>12</v>
      </c>
      <c r="C18" s="20" t="s">
        <v>37</v>
      </c>
      <c r="D18" s="20" t="str">
        <f>Inputs!C27</f>
        <v>Active</v>
      </c>
      <c r="E18" s="188">
        <f>Inputs!D27</f>
        <v>0</v>
      </c>
      <c r="F18" s="188">
        <f>Inputs!E27</f>
        <v>0</v>
      </c>
      <c r="G18" s="188">
        <f>Inputs!F27</f>
        <v>353.49</v>
      </c>
      <c r="H18" s="188">
        <f>Inputs!G27</f>
        <v>4924.875</v>
      </c>
      <c r="I18" s="188">
        <f>Inputs!H27</f>
        <v>1202.0576888888891</v>
      </c>
      <c r="J18" s="188">
        <f>Inputs!I27</f>
        <v>0</v>
      </c>
      <c r="K18" s="188">
        <f>Inputs!J27</f>
        <v>0</v>
      </c>
      <c r="L18" s="188">
        <f>Inputs!K27</f>
        <v>449.72333333333336</v>
      </c>
      <c r="M18" s="188">
        <f>Inputs!L27</f>
        <v>4924.875</v>
      </c>
      <c r="N18" s="188">
        <f>Inputs!M27</f>
        <v>1202.0576888888891</v>
      </c>
      <c r="O18" s="188">
        <f>Inputs!N27</f>
        <v>0</v>
      </c>
      <c r="P18" s="188">
        <f>Inputs!O27</f>
        <v>0</v>
      </c>
      <c r="Q18" s="188" t="str">
        <f>Inputs!P27</f>
        <v>None</v>
      </c>
      <c r="R18" s="188">
        <f>Inputs!Q27</f>
        <v>0.04</v>
      </c>
      <c r="S18" s="188">
        <f>Inputs!R27</f>
        <v>77765.07226666667</v>
      </c>
      <c r="T18" s="189" t="str">
        <f>'Sys Admin'!F32</f>
        <v>None</v>
      </c>
      <c r="U18" s="189" t="str">
        <f>'Sys Admin'!H32</f>
        <v>Active</v>
      </c>
      <c r="V18" s="189">
        <f>'Sys Admin'!J32</f>
        <v>0</v>
      </c>
      <c r="W18" s="189">
        <f t="shared" si="0"/>
        <v>0</v>
      </c>
      <c r="X18" s="189">
        <f t="shared" si="1"/>
        <v>6</v>
      </c>
      <c r="Y18" s="189">
        <f t="shared" si="2"/>
        <v>0</v>
      </c>
      <c r="Z18">
        <f t="shared" si="3"/>
        <v>0</v>
      </c>
      <c r="AA18">
        <f t="shared" si="4"/>
        <v>0</v>
      </c>
      <c r="AB18">
        <f t="shared" si="5"/>
        <v>59098.5</v>
      </c>
      <c r="AC18">
        <f t="shared" si="6"/>
        <v>15145.926880000003</v>
      </c>
      <c r="AD18" s="15">
        <f t="shared" si="7"/>
        <v>74244.426879999999</v>
      </c>
    </row>
    <row r="19" spans="1:30">
      <c r="A19" s="20" t="str">
        <f>Inputs!A28</f>
        <v>Smart Columbus Evaluation</v>
      </c>
      <c r="B19" s="20">
        <f>Inputs!B28</f>
        <v>12</v>
      </c>
      <c r="C19" s="20" t="s">
        <v>39</v>
      </c>
      <c r="D19" s="20" t="str">
        <f>Inputs!C28</f>
        <v>Planning/Discovery</v>
      </c>
      <c r="E19" s="188">
        <f>Inputs!D28</f>
        <v>0</v>
      </c>
      <c r="F19" s="188">
        <f>Inputs!E28</f>
        <v>0</v>
      </c>
      <c r="G19" s="188">
        <f>Inputs!F28</f>
        <v>0</v>
      </c>
      <c r="H19" s="188">
        <f>Inputs!G28</f>
        <v>923.4140625</v>
      </c>
      <c r="I19" s="188">
        <f>Inputs!H28</f>
        <v>169.03936250000001</v>
      </c>
      <c r="J19" s="188">
        <f>Inputs!I28</f>
        <v>0</v>
      </c>
      <c r="K19" s="188">
        <f>Inputs!J28</f>
        <v>0</v>
      </c>
      <c r="L19" s="188">
        <f>Inputs!K28</f>
        <v>0</v>
      </c>
      <c r="M19" s="188">
        <f>Inputs!L28</f>
        <v>0</v>
      </c>
      <c r="N19" s="188">
        <f>Inputs!M28</f>
        <v>0</v>
      </c>
      <c r="O19" s="188">
        <f>Inputs!N28</f>
        <v>0</v>
      </c>
      <c r="P19" s="188">
        <f>Inputs!O28</f>
        <v>0</v>
      </c>
      <c r="Q19" s="188" t="str">
        <f>Inputs!P28</f>
        <v>None</v>
      </c>
      <c r="R19" s="188">
        <f>Inputs!Q28</f>
        <v>0</v>
      </c>
      <c r="S19" s="188">
        <f>Inputs!R28</f>
        <v>13109.4411</v>
      </c>
      <c r="T19" s="189" t="str">
        <f>'Sys Admin'!F33</f>
        <v>None</v>
      </c>
      <c r="U19" s="189" t="str">
        <f>'Sys Admin'!H33</f>
        <v>Planning/Discovery</v>
      </c>
      <c r="V19" s="189">
        <f>'Sys Admin'!J33</f>
        <v>0</v>
      </c>
      <c r="W19" s="189">
        <f t="shared" si="0"/>
        <v>0</v>
      </c>
      <c r="X19" s="189">
        <f t="shared" si="1"/>
        <v>1</v>
      </c>
      <c r="Y19" s="189">
        <f t="shared" si="2"/>
        <v>0</v>
      </c>
      <c r="Z19">
        <f t="shared" si="3"/>
        <v>0</v>
      </c>
      <c r="AA19">
        <f t="shared" si="4"/>
        <v>0</v>
      </c>
      <c r="AB19">
        <f t="shared" si="5"/>
        <v>1846.828125</v>
      </c>
      <c r="AC19">
        <f t="shared" si="6"/>
        <v>354.98266125000004</v>
      </c>
      <c r="AD19" s="15">
        <f t="shared" si="7"/>
        <v>2201.8107862500001</v>
      </c>
    </row>
    <row r="20" spans="1:30">
      <c r="A20" s="20" t="str">
        <f>Inputs!A29</f>
        <v>STAR</v>
      </c>
      <c r="B20" s="20">
        <f>Inputs!B29</f>
        <v>12</v>
      </c>
      <c r="C20" s="20" t="s">
        <v>39</v>
      </c>
      <c r="D20" s="20" t="str">
        <f>Inputs!C29</f>
        <v>Prospective</v>
      </c>
      <c r="E20" s="188">
        <f>Inputs!D29</f>
        <v>0</v>
      </c>
      <c r="F20" s="188">
        <f>Inputs!E29</f>
        <v>0</v>
      </c>
      <c r="G20" s="188">
        <f>Inputs!F29</f>
        <v>0</v>
      </c>
      <c r="H20" s="188">
        <f>Inputs!G29</f>
        <v>0</v>
      </c>
      <c r="I20" s="188">
        <f>Inputs!H29</f>
        <v>0</v>
      </c>
      <c r="J20" s="188">
        <f>Inputs!I29</f>
        <v>0</v>
      </c>
      <c r="K20" s="188">
        <f>Inputs!J29</f>
        <v>0</v>
      </c>
      <c r="L20" s="188">
        <f>Inputs!K29</f>
        <v>0</v>
      </c>
      <c r="M20" s="188">
        <f>Inputs!L29</f>
        <v>0</v>
      </c>
      <c r="N20" s="188">
        <f>Inputs!M29</f>
        <v>0</v>
      </c>
      <c r="O20" s="188">
        <f>Inputs!N29</f>
        <v>0</v>
      </c>
      <c r="P20" s="188">
        <f>Inputs!O29</f>
        <v>0</v>
      </c>
      <c r="Q20" s="188" t="str">
        <f>Inputs!P29</f>
        <v>None</v>
      </c>
      <c r="R20" s="188">
        <f>Inputs!Q29</f>
        <v>0</v>
      </c>
      <c r="S20" s="188">
        <f>Inputs!R29</f>
        <v>0</v>
      </c>
      <c r="T20" s="189" t="str">
        <f>'Sys Admin'!F34</f>
        <v>None</v>
      </c>
      <c r="U20" s="189" t="str">
        <f>'Sys Admin'!H34</f>
        <v>Prospective</v>
      </c>
      <c r="V20" s="189">
        <f>'Sys Admin'!J34</f>
        <v>0</v>
      </c>
      <c r="W20" s="189">
        <f t="shared" si="0"/>
        <v>0</v>
      </c>
      <c r="X20" s="189">
        <f t="shared" si="1"/>
        <v>2</v>
      </c>
      <c r="Y20" s="189">
        <f t="shared" si="2"/>
        <v>0</v>
      </c>
      <c r="Z20">
        <f t="shared" si="3"/>
        <v>0</v>
      </c>
      <c r="AA20">
        <f t="shared" si="4"/>
        <v>0</v>
      </c>
      <c r="AB20">
        <f t="shared" si="5"/>
        <v>0</v>
      </c>
      <c r="AC20">
        <f t="shared" si="6"/>
        <v>0</v>
      </c>
      <c r="AD20" s="15">
        <f t="shared" si="7"/>
        <v>0</v>
      </c>
    </row>
    <row r="21" spans="1:30">
      <c r="A21" s="20" t="str">
        <f>Inputs!A30</f>
        <v>T-PLAT</v>
      </c>
      <c r="B21" s="20">
        <f>Inputs!B30</f>
        <v>12</v>
      </c>
      <c r="C21" s="20" t="s">
        <v>39</v>
      </c>
      <c r="D21" s="20" t="str">
        <f>Inputs!C30</f>
        <v>Prospective</v>
      </c>
      <c r="E21" s="188">
        <f>Inputs!D30</f>
        <v>0</v>
      </c>
      <c r="F21" s="188">
        <f>Inputs!E30</f>
        <v>0</v>
      </c>
      <c r="G21" s="188">
        <f>Inputs!F30</f>
        <v>0</v>
      </c>
      <c r="H21" s="188">
        <f>Inputs!G30</f>
        <v>0</v>
      </c>
      <c r="I21" s="188">
        <f>Inputs!H30</f>
        <v>0</v>
      </c>
      <c r="J21" s="188">
        <f>Inputs!I30</f>
        <v>0</v>
      </c>
      <c r="K21" s="188">
        <f>Inputs!J30</f>
        <v>0</v>
      </c>
      <c r="L21" s="188">
        <f>Inputs!K30</f>
        <v>0</v>
      </c>
      <c r="M21" s="188">
        <f>Inputs!L30</f>
        <v>0</v>
      </c>
      <c r="N21" s="188">
        <f>Inputs!M30</f>
        <v>0</v>
      </c>
      <c r="O21" s="188">
        <f>Inputs!N30</f>
        <v>0</v>
      </c>
      <c r="P21" s="188">
        <f>Inputs!O30</f>
        <v>0</v>
      </c>
      <c r="Q21" s="188" t="str">
        <f>Inputs!P30</f>
        <v>None</v>
      </c>
      <c r="R21" s="188">
        <f>Inputs!Q30</f>
        <v>0</v>
      </c>
      <c r="S21" s="188">
        <f>Inputs!R30</f>
        <v>0</v>
      </c>
      <c r="T21" s="189" t="str">
        <f>'Sys Admin'!F35</f>
        <v>None</v>
      </c>
      <c r="U21" s="189" t="str">
        <f>'Sys Admin'!H35</f>
        <v>Prospective</v>
      </c>
      <c r="V21" s="189">
        <f>'Sys Admin'!J35</f>
        <v>0</v>
      </c>
      <c r="W21" s="189">
        <f t="shared" si="0"/>
        <v>0</v>
      </c>
      <c r="X21" s="189">
        <f t="shared" si="1"/>
        <v>2</v>
      </c>
      <c r="Y21" s="189">
        <f t="shared" si="2"/>
        <v>0</v>
      </c>
      <c r="Z21">
        <f t="shared" si="3"/>
        <v>0</v>
      </c>
      <c r="AA21">
        <f t="shared" si="4"/>
        <v>0</v>
      </c>
      <c r="AB21">
        <f t="shared" si="5"/>
        <v>0</v>
      </c>
      <c r="AC21">
        <f t="shared" si="6"/>
        <v>0</v>
      </c>
      <c r="AD21" s="15">
        <f t="shared" si="7"/>
        <v>0</v>
      </c>
    </row>
    <row r="22" spans="1:30">
      <c r="W22" s="189"/>
      <c r="Y22" s="189">
        <f>SUM(Y5:Y21)</f>
        <v>0</v>
      </c>
      <c r="Z22" s="189">
        <f>SUM(Z5:Z21)</f>
        <v>14256.480000000001</v>
      </c>
      <c r="AA22" s="189">
        <f>SUM(AA5:AA21)</f>
        <v>14256.480000000001</v>
      </c>
      <c r="AB22" s="189">
        <f>SUM(AB5:AB21)</f>
        <v>539273.8125</v>
      </c>
      <c r="AC22" s="189">
        <f>SUM(AC5:AC21)</f>
        <v>137733.27256499999</v>
      </c>
    </row>
    <row r="23" spans="1:30">
      <c r="E23" s="253" t="s">
        <v>79</v>
      </c>
      <c r="F23" s="253"/>
      <c r="G23" s="253"/>
      <c r="H23" s="253"/>
      <c r="I23" s="253"/>
    </row>
    <row r="24" spans="1:30">
      <c r="A24" t="s">
        <v>364</v>
      </c>
      <c r="B24" t="s">
        <v>349</v>
      </c>
      <c r="E24" t="str">
        <f>E4</f>
        <v>Enablement Cost</v>
      </c>
      <c r="F24" t="str">
        <f>F4</f>
        <v>Data Related Cost</v>
      </c>
      <c r="G24" t="str">
        <f>G4</f>
        <v>Analysts Cost</v>
      </c>
      <c r="H24" t="str">
        <f>H4</f>
        <v>Overhead Costs</v>
      </c>
      <c r="I24" t="str">
        <f>I4</f>
        <v>Platform Services</v>
      </c>
      <c r="J24" t="s">
        <v>394</v>
      </c>
      <c r="K24" t="s">
        <v>395</v>
      </c>
      <c r="L24" t="s">
        <v>396</v>
      </c>
      <c r="M24" t="s">
        <v>13</v>
      </c>
      <c r="N24" t="s">
        <v>203</v>
      </c>
      <c r="O24" t="s">
        <v>46</v>
      </c>
      <c r="P24" t="s">
        <v>366</v>
      </c>
      <c r="Q24" t="s">
        <v>313</v>
      </c>
      <c r="R24" t="s">
        <v>202</v>
      </c>
      <c r="S24" t="s">
        <v>223</v>
      </c>
      <c r="T24" t="s">
        <v>224</v>
      </c>
      <c r="U24" t="s">
        <v>225</v>
      </c>
      <c r="V24" t="s">
        <v>216</v>
      </c>
    </row>
    <row r="25" spans="1:30">
      <c r="A25">
        <f>'Sys Admin'!E38</f>
        <v>0</v>
      </c>
      <c r="B25">
        <f>'Sys Admin'!F38</f>
        <v>0</v>
      </c>
      <c r="D25" t="s">
        <v>95</v>
      </c>
      <c r="E25" s="197">
        <f>'Enablement Services'!E22</f>
        <v>18000</v>
      </c>
      <c r="F25" s="197">
        <v>0</v>
      </c>
      <c r="G25" s="197">
        <v>0</v>
      </c>
      <c r="H25" s="197">
        <f>L34</f>
        <v>923.4140625</v>
      </c>
      <c r="I25" s="197">
        <f>L41</f>
        <v>177.49133062500002</v>
      </c>
      <c r="J25" s="198">
        <f>B25*Q25*E25</f>
        <v>0</v>
      </c>
      <c r="K25">
        <f>F25*B25*(12-A25)</f>
        <v>0</v>
      </c>
      <c r="L25">
        <f>G25*B25*(12-A25)</f>
        <v>0</v>
      </c>
      <c r="M25" s="105">
        <f>H25*Q25*B25</f>
        <v>0</v>
      </c>
      <c r="N25" s="105">
        <f>I25*B25*Q25</f>
        <v>0</v>
      </c>
      <c r="O25" s="197">
        <f>SUM(J25:N25)</f>
        <v>0</v>
      </c>
      <c r="P25" s="198">
        <f>O25</f>
        <v>0</v>
      </c>
      <c r="Q25">
        <v>1</v>
      </c>
      <c r="R25" t="s">
        <v>95</v>
      </c>
      <c r="S25" s="198"/>
    </row>
    <row r="26" spans="1:30">
      <c r="A26">
        <f>'Sys Admin'!E39</f>
        <v>0</v>
      </c>
      <c r="B26">
        <f>'Sys Admin'!F39</f>
        <v>0</v>
      </c>
      <c r="D26" t="s">
        <v>36</v>
      </c>
      <c r="E26" s="197">
        <f>'Enablement Services'!E23+'Enablement Services'!E24</f>
        <v>40000</v>
      </c>
      <c r="F26" s="197">
        <v>0</v>
      </c>
      <c r="G26" s="197">
        <v>0</v>
      </c>
      <c r="H26" s="197">
        <f>L35</f>
        <v>1</v>
      </c>
      <c r="I26" s="197">
        <f>L42</f>
        <v>1</v>
      </c>
      <c r="J26" s="198">
        <f>B26*Q26*E26</f>
        <v>0</v>
      </c>
      <c r="K26">
        <f>F26*B26*(12-A26)</f>
        <v>0</v>
      </c>
      <c r="L26">
        <f>G26*B26*(12-A26)</f>
        <v>0</v>
      </c>
      <c r="M26" s="105">
        <f>H26*Q26*B26</f>
        <v>0</v>
      </c>
      <c r="N26" s="105">
        <f>I26*B26*Q26</f>
        <v>0</v>
      </c>
      <c r="O26" s="197">
        <f>E26*Q26+F26+G26+H26+I26</f>
        <v>40002</v>
      </c>
      <c r="P26">
        <f>'Sys Admin Calculation'!O26*B26</f>
        <v>0</v>
      </c>
      <c r="Q26">
        <v>1</v>
      </c>
      <c r="R26" t="s">
        <v>36</v>
      </c>
      <c r="S26" s="198"/>
      <c r="V26" s="199">
        <v>5000</v>
      </c>
    </row>
    <row r="27" spans="1:30">
      <c r="A27">
        <f>'Sys Admin'!F48</f>
        <v>4</v>
      </c>
      <c r="B27">
        <f>'Sys Admin'!F43</f>
        <v>0</v>
      </c>
      <c r="D27" t="s">
        <v>367</v>
      </c>
      <c r="E27" s="197">
        <f>'Prospective Project Calculation'!X2</f>
        <v>25000</v>
      </c>
      <c r="F27" s="197">
        <f>'Prospective Project Calculation'!S2</f>
        <v>2056.34</v>
      </c>
      <c r="G27" s="197">
        <f>'Prospective Project Calculation'!P2</f>
        <v>375.76</v>
      </c>
      <c r="H27" s="197">
        <f>$L$36</f>
        <v>4924.875</v>
      </c>
      <c r="I27" s="197">
        <f>$L$43</f>
        <v>1262.1605733333336</v>
      </c>
      <c r="J27">
        <f>E27*MIN(6,(12-A27))*B27</f>
        <v>0</v>
      </c>
      <c r="K27">
        <f>(F27*(1+0.05)^(12-A27))*B27</f>
        <v>0</v>
      </c>
      <c r="L27">
        <f>(G27*(1+0.05)^(12-A27))*B27</f>
        <v>0</v>
      </c>
      <c r="M27">
        <f>H27*(12-A27)*B27</f>
        <v>0</v>
      </c>
      <c r="N27">
        <f>I27*(12-A27)*B27</f>
        <v>0</v>
      </c>
      <c r="O27" s="197">
        <f>SUM(J27:N27)</f>
        <v>0</v>
      </c>
      <c r="P27" s="198">
        <f>O27</f>
        <v>0</v>
      </c>
      <c r="Q27">
        <f>'Sys Admin'!F49</f>
        <v>6</v>
      </c>
      <c r="R27" t="s">
        <v>8</v>
      </c>
      <c r="S27" s="198">
        <f>E27</f>
        <v>25000</v>
      </c>
      <c r="T27" s="198">
        <f>E28</f>
        <v>18000</v>
      </c>
      <c r="U27" s="198">
        <f>E29</f>
        <v>12500</v>
      </c>
    </row>
    <row r="28" spans="1:30">
      <c r="A28">
        <f>'Sys Admin'!G48</f>
        <v>3</v>
      </c>
      <c r="B28">
        <f>'Sys Admin'!G43</f>
        <v>0</v>
      </c>
      <c r="D28" t="s">
        <v>368</v>
      </c>
      <c r="E28" s="197">
        <f>'Prospective Project Calculation'!W2</f>
        <v>18000</v>
      </c>
      <c r="F28" s="197">
        <f>'Prospective Project Calculation'!R2</f>
        <v>853.07416666666666</v>
      </c>
      <c r="G28" s="197">
        <f>'Prospective Project Calculation'!O2</f>
        <v>250.50666666666666</v>
      </c>
      <c r="H28" s="197">
        <f>$L$36</f>
        <v>4924.875</v>
      </c>
      <c r="I28" s="197">
        <f>$L$43</f>
        <v>1262.1605733333336</v>
      </c>
      <c r="J28">
        <f>E28*MIN(4,(12-A28))*B28</f>
        <v>0</v>
      </c>
      <c r="K28">
        <f>(F28*(1+0.05)^(12-A28))*B28</f>
        <v>0</v>
      </c>
      <c r="L28">
        <f>(G28*(1+0.05)^(12-A28))*B28</f>
        <v>0</v>
      </c>
      <c r="M28">
        <f>H28*(12-A28)*B28</f>
        <v>0</v>
      </c>
      <c r="N28">
        <f>I28*(12-A28)*B28</f>
        <v>0</v>
      </c>
      <c r="O28" s="197">
        <f>SUM(J28:N28)</f>
        <v>0</v>
      </c>
      <c r="P28" s="198">
        <f>O28</f>
        <v>0</v>
      </c>
      <c r="Q28">
        <f>'Sys Admin'!G49</f>
        <v>4</v>
      </c>
    </row>
    <row r="29" spans="1:30">
      <c r="A29">
        <f>'Sys Admin'!H48</f>
        <v>2</v>
      </c>
      <c r="B29">
        <f>'Sys Admin'!H43</f>
        <v>0</v>
      </c>
      <c r="D29" t="s">
        <v>369</v>
      </c>
      <c r="E29" s="197">
        <f>'Prospective Project Calculation'!V2</f>
        <v>12500</v>
      </c>
      <c r="F29" s="197">
        <f>'Prospective Project Calculation'!Q2</f>
        <v>435.04333333333335</v>
      </c>
      <c r="G29" s="197">
        <f>'Prospective Project Calculation'!N2</f>
        <v>125.25333333333333</v>
      </c>
      <c r="H29" s="197">
        <f>$L$36</f>
        <v>4924.875</v>
      </c>
      <c r="I29" s="197">
        <f>$L$43</f>
        <v>1262.1605733333336</v>
      </c>
      <c r="J29">
        <f>E29*MIN(2,(12-A29))*B29</f>
        <v>0</v>
      </c>
      <c r="K29">
        <f>(F29*(1+0.05)^(12-A29))*B29</f>
        <v>0</v>
      </c>
      <c r="L29">
        <f>(G29*(1+0.05)^(12-A29))*B29</f>
        <v>0</v>
      </c>
      <c r="M29">
        <f>H29*(12-A29)*B29</f>
        <v>0</v>
      </c>
      <c r="N29">
        <f>I29*(12-A29)*B29</f>
        <v>0</v>
      </c>
      <c r="O29" s="197">
        <f>SUM(J29:N29)</f>
        <v>0</v>
      </c>
      <c r="P29" s="198">
        <f>O29</f>
        <v>0</v>
      </c>
      <c r="Q29">
        <f>'Sys Admin'!H49</f>
        <v>2</v>
      </c>
    </row>
    <row r="30" spans="1:30">
      <c r="J30" s="198">
        <f>SUM(J25:J29)</f>
        <v>0</v>
      </c>
      <c r="K30" s="198">
        <f>SUM(K25:K29)</f>
        <v>0</v>
      </c>
      <c r="L30" s="198">
        <f>SUM(L25:L29)</f>
        <v>0</v>
      </c>
      <c r="M30" s="198">
        <f>SUM(M25:M29)</f>
        <v>0</v>
      </c>
      <c r="N30" s="198">
        <f>SUM(N25:N29)</f>
        <v>0</v>
      </c>
    </row>
    <row r="31" spans="1:30">
      <c r="F31" t="s">
        <v>379</v>
      </c>
      <c r="G31" t="s">
        <v>380</v>
      </c>
      <c r="H31" t="s">
        <v>264</v>
      </c>
      <c r="T31" t="s">
        <v>8</v>
      </c>
      <c r="U31" t="s">
        <v>37</v>
      </c>
      <c r="V31" t="str">
        <f>T31&amp;U31</f>
        <v>ActiveHigh</v>
      </c>
      <c r="W31">
        <v>6</v>
      </c>
      <c r="X31" s="198">
        <f t="shared" ref="X31:Y33" si="8">F27</f>
        <v>2056.34</v>
      </c>
      <c r="Y31" s="198">
        <f t="shared" si="8"/>
        <v>375.76</v>
      </c>
    </row>
    <row r="32" spans="1:30" ht="15.75" thickBot="1">
      <c r="A32" t="s">
        <v>370</v>
      </c>
      <c r="D32" t="s">
        <v>341</v>
      </c>
      <c r="E32" t="s">
        <v>359</v>
      </c>
      <c r="F32" t="s">
        <v>46</v>
      </c>
      <c r="H32" t="s">
        <v>13</v>
      </c>
      <c r="T32" t="s">
        <v>8</v>
      </c>
      <c r="U32" t="s">
        <v>38</v>
      </c>
      <c r="V32" t="str">
        <f>T32&amp;U32</f>
        <v>ActiveMedium</v>
      </c>
      <c r="W32">
        <v>4</v>
      </c>
      <c r="X32" s="198">
        <f t="shared" si="8"/>
        <v>853.07416666666666</v>
      </c>
      <c r="Y32" s="198">
        <f t="shared" si="8"/>
        <v>250.50666666666666</v>
      </c>
    </row>
    <row r="33" spans="1:25">
      <c r="A33" t="str">
        <f>'Other Overhead C '!A17</f>
        <v>Platform DevOps (including testing, features)</v>
      </c>
      <c r="D33">
        <f>'Sys Admin'!H15</f>
        <v>0.75</v>
      </c>
      <c r="E33" s="105">
        <f>D33*'Rate Sheet'!B4*'Rate Sheet'!B10</f>
        <v>25050</v>
      </c>
      <c r="F33" s="105">
        <f>E33*12</f>
        <v>300600</v>
      </c>
      <c r="H33" s="60" t="s">
        <v>77</v>
      </c>
      <c r="I33" s="61" t="s">
        <v>80</v>
      </c>
      <c r="J33" s="61" t="s">
        <v>79</v>
      </c>
      <c r="K33" s="61" t="s">
        <v>113</v>
      </c>
      <c r="L33" s="62" t="s">
        <v>81</v>
      </c>
      <c r="N33" t="s">
        <v>386</v>
      </c>
      <c r="O33" t="s">
        <v>384</v>
      </c>
      <c r="P33" t="s">
        <v>385</v>
      </c>
      <c r="Q33" t="s">
        <v>359</v>
      </c>
      <c r="T33" t="s">
        <v>8</v>
      </c>
      <c r="U33" t="s">
        <v>39</v>
      </c>
      <c r="V33" t="str">
        <f>T33&amp;U33</f>
        <v>ActiveLow</v>
      </c>
      <c r="W33">
        <v>2</v>
      </c>
      <c r="X33" s="198">
        <f t="shared" si="8"/>
        <v>435.04333333333335</v>
      </c>
      <c r="Y33" s="198">
        <f t="shared" si="8"/>
        <v>125.25333333333333</v>
      </c>
    </row>
    <row r="34" spans="1:25">
      <c r="A34" t="str">
        <f>'Other Overhead C '!A18</f>
        <v>Standard Enablement,O&amp;M/Support</v>
      </c>
      <c r="D34">
        <f>'Sys Admin'!H16</f>
        <v>0.75</v>
      </c>
      <c r="E34" s="105">
        <f>D34*'Rate Sheet'!B5*'Rate Sheet'!B10</f>
        <v>18787.5</v>
      </c>
      <c r="F34" s="105">
        <f>E34*12</f>
        <v>225450</v>
      </c>
      <c r="H34" s="20" t="s">
        <v>262</v>
      </c>
      <c r="I34" s="59">
        <f>'Other Overhead C '!J7</f>
        <v>0.05</v>
      </c>
      <c r="J34" s="14">
        <f>$G$35*I34</f>
        <v>3693.65625</v>
      </c>
      <c r="K34" s="32">
        <f>'Sys Admin'!H6</f>
        <v>4</v>
      </c>
      <c r="L34" s="22">
        <f>J34/K34</f>
        <v>923.4140625</v>
      </c>
      <c r="N34" t="str">
        <f t="shared" ref="N34:N47" si="9">O34&amp;P34</f>
        <v>Planning/DiscoveryGold</v>
      </c>
      <c r="O34" t="s">
        <v>95</v>
      </c>
      <c r="P34" t="s">
        <v>223</v>
      </c>
      <c r="Q34" s="196">
        <f>'Enablement Services'!C61</f>
        <v>30000</v>
      </c>
    </row>
    <row r="35" spans="1:25">
      <c r="A35" t="s">
        <v>377</v>
      </c>
      <c r="E35" s="105">
        <f>'Other Overhead C '!F13</f>
        <v>244800</v>
      </c>
      <c r="F35" s="105">
        <f>SUM(F33:F34,E35)</f>
        <v>770850</v>
      </c>
      <c r="G35" s="105">
        <f>F35/12*(1+'Rate Sheet'!B8)</f>
        <v>73873.125</v>
      </c>
      <c r="H35" s="20" t="s">
        <v>36</v>
      </c>
      <c r="I35" s="59">
        <f>'Other Overhead C '!J8</f>
        <v>0.3</v>
      </c>
      <c r="J35" s="14">
        <f>$G$35*I35</f>
        <v>22161.9375</v>
      </c>
      <c r="K35" s="32">
        <f>'Sys Admin'!H8</f>
        <v>0</v>
      </c>
      <c r="L35" s="22">
        <f>IF(K35=0,1,J35/K35)</f>
        <v>1</v>
      </c>
      <c r="N35" t="str">
        <f t="shared" si="9"/>
        <v>Planning/DiscoverySilver</v>
      </c>
      <c r="O35" t="s">
        <v>95</v>
      </c>
      <c r="P35" t="s">
        <v>224</v>
      </c>
      <c r="Q35" s="196">
        <f>'Enablement Services'!C62</f>
        <v>18000</v>
      </c>
    </row>
    <row r="36" spans="1:25">
      <c r="A36" t="s">
        <v>378</v>
      </c>
      <c r="E36">
        <f>'Platform Cloud Costs'!G2*1.05</f>
        <v>14199.30645</v>
      </c>
      <c r="H36" s="20" t="s">
        <v>8</v>
      </c>
      <c r="I36" s="59">
        <f>'Other Overhead C '!J9</f>
        <v>0.6</v>
      </c>
      <c r="J36" s="14">
        <f>$G$35*I36</f>
        <v>44323.875</v>
      </c>
      <c r="K36" s="32">
        <f>'Sys Admin'!H10</f>
        <v>9</v>
      </c>
      <c r="L36" s="22">
        <f>J36/K36</f>
        <v>4924.875</v>
      </c>
      <c r="N36" t="str">
        <f t="shared" si="9"/>
        <v>Planning/DiscoveryBronze</v>
      </c>
      <c r="O36" t="s">
        <v>95</v>
      </c>
      <c r="P36" t="s">
        <v>225</v>
      </c>
      <c r="Q36" s="196">
        <f>'Enablement Services'!C63</f>
        <v>0</v>
      </c>
    </row>
    <row r="37" spans="1:25">
      <c r="H37" s="20" t="s">
        <v>96</v>
      </c>
      <c r="I37" s="59">
        <f>'Other Overhead C '!J10</f>
        <v>0.05</v>
      </c>
      <c r="J37" s="14">
        <f>$G$35*I37</f>
        <v>3693.65625</v>
      </c>
      <c r="K37" s="32">
        <f>'Sys Admin'!H12</f>
        <v>0</v>
      </c>
      <c r="L37" s="22">
        <f>IF(K37=0,1,J37/K37)</f>
        <v>1</v>
      </c>
      <c r="N37" t="str">
        <f t="shared" si="9"/>
        <v>Planning/DiscoveryNone</v>
      </c>
      <c r="O37" t="s">
        <v>95</v>
      </c>
      <c r="P37" t="s">
        <v>216</v>
      </c>
      <c r="Q37" s="196">
        <f>'Enablement Services'!C64</f>
        <v>0</v>
      </c>
    </row>
    <row r="38" spans="1:25">
      <c r="N38" t="str">
        <f t="shared" si="9"/>
        <v>OnboardingGold</v>
      </c>
      <c r="O38" t="s">
        <v>36</v>
      </c>
      <c r="P38" t="s">
        <v>223</v>
      </c>
      <c r="Q38" s="196">
        <f>'Enablement Services'!C65</f>
        <v>73000</v>
      </c>
    </row>
    <row r="39" spans="1:25" ht="15.75" thickBot="1">
      <c r="H39" t="s">
        <v>203</v>
      </c>
      <c r="N39" t="str">
        <f t="shared" si="9"/>
        <v>OnboardingSilver</v>
      </c>
      <c r="O39" t="s">
        <v>36</v>
      </c>
      <c r="P39" t="s">
        <v>224</v>
      </c>
      <c r="Q39" s="196">
        <f>'Enablement Services'!C66</f>
        <v>40000</v>
      </c>
    </row>
    <row r="40" spans="1:25">
      <c r="H40" s="60" t="s">
        <v>77</v>
      </c>
      <c r="I40" s="61" t="s">
        <v>80</v>
      </c>
      <c r="J40" s="61" t="s">
        <v>79</v>
      </c>
      <c r="K40" s="61" t="s">
        <v>113</v>
      </c>
      <c r="L40" s="62" t="s">
        <v>81</v>
      </c>
      <c r="N40" t="str">
        <f t="shared" si="9"/>
        <v>OnboardingBronze</v>
      </c>
      <c r="O40" t="s">
        <v>36</v>
      </c>
      <c r="P40" t="s">
        <v>225</v>
      </c>
      <c r="Q40" s="196">
        <f>'Enablement Services'!C67</f>
        <v>15000</v>
      </c>
    </row>
    <row r="41" spans="1:25">
      <c r="H41" s="20" t="s">
        <v>262</v>
      </c>
      <c r="I41" s="59">
        <f>'Platform Cloud Costs'!G7</f>
        <v>0.05</v>
      </c>
      <c r="J41" s="14">
        <f>$E$36*I41</f>
        <v>709.96532250000007</v>
      </c>
      <c r="K41" s="32">
        <f>'Sys Admin'!H6</f>
        <v>4</v>
      </c>
      <c r="L41" s="22">
        <f>J41/K41</f>
        <v>177.49133062500002</v>
      </c>
      <c r="N41" t="str">
        <f t="shared" si="9"/>
        <v>OnboardingNone</v>
      </c>
      <c r="O41" t="s">
        <v>36</v>
      </c>
      <c r="P41" t="s">
        <v>216</v>
      </c>
      <c r="Q41" s="196">
        <f>'Enablement Services'!C68</f>
        <v>0</v>
      </c>
    </row>
    <row r="42" spans="1:25">
      <c r="H42" s="20" t="s">
        <v>36</v>
      </c>
      <c r="I42" s="59">
        <f>'Platform Cloud Costs'!G8</f>
        <v>0.15</v>
      </c>
      <c r="J42" s="14">
        <f>$E$36*I42</f>
        <v>2129.8959675000001</v>
      </c>
      <c r="K42" s="32">
        <f>'Sys Admin'!H8</f>
        <v>0</v>
      </c>
      <c r="L42" s="22">
        <f>IF(K42=0,1,J42/K42)</f>
        <v>1</v>
      </c>
      <c r="N42" t="str">
        <f t="shared" si="9"/>
        <v>ActiveGold</v>
      </c>
      <c r="O42" t="s">
        <v>8</v>
      </c>
      <c r="P42" t="s">
        <v>223</v>
      </c>
      <c r="Q42" s="196">
        <f>'Enablement Services'!C69</f>
        <v>25000</v>
      </c>
    </row>
    <row r="43" spans="1:25">
      <c r="H43" s="20" t="s">
        <v>8</v>
      </c>
      <c r="I43" s="59">
        <f>'Platform Cloud Costs'!G9</f>
        <v>0.8</v>
      </c>
      <c r="J43" s="14">
        <f>$E$36*I43</f>
        <v>11359.445160000001</v>
      </c>
      <c r="K43" s="32">
        <f>'Sys Admin'!H10</f>
        <v>9</v>
      </c>
      <c r="L43" s="22">
        <f>J43/K43</f>
        <v>1262.1605733333336</v>
      </c>
      <c r="N43" t="str">
        <f t="shared" si="9"/>
        <v>ActiveSilver</v>
      </c>
      <c r="O43" t="s">
        <v>8</v>
      </c>
      <c r="P43" t="s">
        <v>224</v>
      </c>
      <c r="Q43" s="196">
        <f>'Enablement Services'!C70</f>
        <v>18000</v>
      </c>
    </row>
    <row r="44" spans="1:25">
      <c r="H44" s="20" t="s">
        <v>96</v>
      </c>
      <c r="I44" s="59">
        <f>'Platform Cloud Costs'!G10</f>
        <v>0.05</v>
      </c>
      <c r="J44" s="14">
        <f>$E$36*I44</f>
        <v>709.96532250000007</v>
      </c>
      <c r="K44" s="32">
        <f>'Sys Admin'!H12</f>
        <v>0</v>
      </c>
      <c r="L44" s="22">
        <f>IF(K44=0,1,J44/K44)</f>
        <v>1</v>
      </c>
      <c r="N44" t="str">
        <f t="shared" si="9"/>
        <v>ActiveBronze</v>
      </c>
      <c r="O44" t="s">
        <v>8</v>
      </c>
      <c r="P44" t="s">
        <v>225</v>
      </c>
      <c r="Q44" s="196">
        <f>'Enablement Services'!C71</f>
        <v>12500</v>
      </c>
    </row>
    <row r="45" spans="1:25">
      <c r="N45" t="str">
        <f t="shared" si="9"/>
        <v>ActiveNone</v>
      </c>
      <c r="O45" t="s">
        <v>8</v>
      </c>
      <c r="P45" t="s">
        <v>216</v>
      </c>
      <c r="Q45" s="196">
        <f>'Enablement Services'!C72</f>
        <v>0</v>
      </c>
    </row>
    <row r="46" spans="1:25">
      <c r="N46" t="str">
        <f t="shared" si="9"/>
        <v>ProspectiveNone</v>
      </c>
      <c r="O46" t="s">
        <v>78</v>
      </c>
      <c r="P46" t="s">
        <v>216</v>
      </c>
      <c r="Q46" s="15">
        <v>0</v>
      </c>
    </row>
    <row r="47" spans="1:25">
      <c r="B47" t="s">
        <v>388</v>
      </c>
      <c r="N47" t="str">
        <f t="shared" si="9"/>
        <v>Export/RetirementGold</v>
      </c>
      <c r="O47" t="s">
        <v>96</v>
      </c>
      <c r="P47" t="s">
        <v>223</v>
      </c>
      <c r="Q47">
        <v>0</v>
      </c>
    </row>
    <row r="48" spans="1:25">
      <c r="C48" t="s">
        <v>349</v>
      </c>
      <c r="D48" t="s">
        <v>391</v>
      </c>
      <c r="E48" t="s">
        <v>392</v>
      </c>
      <c r="F48" t="s">
        <v>393</v>
      </c>
      <c r="N48" t="str">
        <f>O48&amp;P48</f>
        <v>Export/RetirementSilver</v>
      </c>
      <c r="O48" t="s">
        <v>96</v>
      </c>
      <c r="P48" t="s">
        <v>224</v>
      </c>
      <c r="Q48">
        <v>0</v>
      </c>
    </row>
    <row r="49" spans="2:17">
      <c r="B49" t="s">
        <v>202</v>
      </c>
      <c r="C49" s="198">
        <f>J30</f>
        <v>0</v>
      </c>
      <c r="D49">
        <f>Y22</f>
        <v>0</v>
      </c>
      <c r="E49" s="198">
        <f>SUM(C49:D49)</f>
        <v>0</v>
      </c>
      <c r="N49" t="str">
        <f>O49&amp;P49</f>
        <v>Export/RetirementBronze</v>
      </c>
      <c r="O49" t="s">
        <v>96</v>
      </c>
      <c r="P49" t="s">
        <v>225</v>
      </c>
      <c r="Q49">
        <v>0</v>
      </c>
    </row>
    <row r="50" spans="2:17">
      <c r="B50" t="s">
        <v>289</v>
      </c>
      <c r="C50" s="198">
        <f>K30</f>
        <v>0</v>
      </c>
      <c r="D50">
        <f>Z22</f>
        <v>14256.480000000001</v>
      </c>
      <c r="N50" t="str">
        <f>O50&amp;P50</f>
        <v>Export/RetirementNone</v>
      </c>
      <c r="O50" t="s">
        <v>96</v>
      </c>
      <c r="P50" t="s">
        <v>216</v>
      </c>
      <c r="Q50">
        <v>0</v>
      </c>
    </row>
    <row r="51" spans="2:17">
      <c r="B51" t="s">
        <v>389</v>
      </c>
      <c r="C51" s="198">
        <f>L30</f>
        <v>0</v>
      </c>
      <c r="D51">
        <f>AA22</f>
        <v>14256.480000000001</v>
      </c>
      <c r="E51" s="198">
        <f>SUM(C50:D51)</f>
        <v>28512.960000000003</v>
      </c>
    </row>
    <row r="52" spans="2:17">
      <c r="B52" t="s">
        <v>13</v>
      </c>
      <c r="C52" s="198">
        <f>M30</f>
        <v>0</v>
      </c>
      <c r="D52">
        <f>AB22</f>
        <v>539273.8125</v>
      </c>
      <c r="E52" s="198">
        <f>SUM(C52:D52)</f>
        <v>539273.8125</v>
      </c>
    </row>
    <row r="53" spans="2:17">
      <c r="B53" t="s">
        <v>390</v>
      </c>
      <c r="C53" s="198">
        <f>N30</f>
        <v>0</v>
      </c>
      <c r="D53">
        <f>AC22</f>
        <v>137733.27256499999</v>
      </c>
      <c r="E53" s="198">
        <f>SUM(C53:D53)</f>
        <v>137733.27256499999</v>
      </c>
    </row>
  </sheetData>
  <mergeCells count="5">
    <mergeCell ref="E23:I23"/>
    <mergeCell ref="Z2:AC2"/>
    <mergeCell ref="A3:D3"/>
    <mergeCell ref="E3:I3"/>
    <mergeCell ref="J3:N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D53"/>
  <sheetViews>
    <sheetView workbookViewId="0">
      <selection activeCell="I19" sqref="I19"/>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17</v>
      </c>
    </row>
    <row r="2" spans="1:30" ht="15.75" thickBot="1">
      <c r="T2" s="203"/>
      <c r="U2" s="203"/>
      <c r="V2" s="203"/>
      <c r="W2" s="203"/>
      <c r="X2" s="203"/>
      <c r="Y2" s="203"/>
      <c r="Z2" s="253" t="s">
        <v>376</v>
      </c>
      <c r="AA2" s="253"/>
      <c r="AB2" s="253"/>
      <c r="AC2" s="253"/>
    </row>
    <row r="3" spans="1:30">
      <c r="A3" s="255" t="str">
        <f>Inputs!A12</f>
        <v>Project Tables (Update Monthly from Dashboard)</v>
      </c>
      <c r="B3" s="256"/>
      <c r="C3" s="256"/>
      <c r="D3" s="257"/>
      <c r="E3" s="258" t="str">
        <f>Inputs!D12</f>
        <v>Previous Month</v>
      </c>
      <c r="F3" s="259"/>
      <c r="G3" s="259"/>
      <c r="H3" s="260"/>
      <c r="I3" s="261"/>
      <c r="J3" s="262" t="str">
        <f>Inputs!I12</f>
        <v>3-Month Rolling Average</v>
      </c>
      <c r="K3" s="259"/>
      <c r="L3" s="259"/>
      <c r="M3" s="259"/>
      <c r="N3" s="260"/>
      <c r="O3" s="123" t="str">
        <f>Inputs!N12</f>
        <v>Project Cost to Date</v>
      </c>
      <c r="P3" s="123" t="str">
        <f>Inputs!O12</f>
        <v>Number of current analysts</v>
      </c>
      <c r="Q3" s="123" t="str">
        <f>Inputs!P12</f>
        <v>Current Level of Enablement</v>
      </c>
      <c r="R3" s="123" t="str">
        <f>Inputs!Q12</f>
        <v>MoM Growth Rate in Costs</v>
      </c>
      <c r="S3" s="123" t="str">
        <f>Inputs!R12</f>
        <v xml:space="preserve">Annual Cost </v>
      </c>
      <c r="T3" t="s">
        <v>371</v>
      </c>
      <c r="U3" t="s">
        <v>381</v>
      </c>
      <c r="V3" t="s">
        <v>364</v>
      </c>
      <c r="W3" t="s">
        <v>383</v>
      </c>
      <c r="X3" t="s">
        <v>18</v>
      </c>
      <c r="Y3" t="s">
        <v>387</v>
      </c>
      <c r="Z3" t="s">
        <v>372</v>
      </c>
      <c r="AA3" t="s">
        <v>374</v>
      </c>
      <c r="AB3" t="s">
        <v>373</v>
      </c>
      <c r="AC3" t="s">
        <v>375</v>
      </c>
      <c r="AD3" t="s">
        <v>46</v>
      </c>
    </row>
    <row r="4" spans="1:30">
      <c r="A4" s="20" t="str">
        <f>Inputs!A13</f>
        <v>Project List</v>
      </c>
      <c r="B4" s="20" t="str">
        <f>Inputs!B13</f>
        <v>Remaining Duration</v>
      </c>
      <c r="C4" s="20" t="s">
        <v>382</v>
      </c>
      <c r="D4" s="20" t="str">
        <f>Inputs!C13</f>
        <v>Current Phase</v>
      </c>
      <c r="E4" s="20" t="str">
        <f>Inputs!D13</f>
        <v>Enablement Cost</v>
      </c>
      <c r="F4" s="20" t="str">
        <f>Inputs!E13</f>
        <v>Data Related Cost</v>
      </c>
      <c r="G4" s="20" t="str">
        <f>Inputs!F13</f>
        <v>Analysts Cost</v>
      </c>
      <c r="H4" s="20" t="str">
        <f>Inputs!G13</f>
        <v>Overhead Costs</v>
      </c>
      <c r="I4" s="20" t="str">
        <f>Inputs!H13</f>
        <v>Platform Services</v>
      </c>
      <c r="J4" s="20" t="str">
        <f>Inputs!I13</f>
        <v>Enablement Cost</v>
      </c>
      <c r="K4" s="20" t="str">
        <f>Inputs!J13</f>
        <v>Data Related Cost</v>
      </c>
      <c r="L4" s="20" t="str">
        <f>Inputs!K13</f>
        <v>Analysts Cost</v>
      </c>
      <c r="M4" s="20" t="str">
        <f>Inputs!L13</f>
        <v>Overhead</v>
      </c>
      <c r="N4" s="20" t="str">
        <f>Inputs!M13</f>
        <v>Plaftorm Services</v>
      </c>
      <c r="O4" s="20"/>
      <c r="P4" s="20"/>
      <c r="Q4" s="20"/>
      <c r="R4" s="20"/>
      <c r="S4" s="20"/>
    </row>
    <row r="5" spans="1:30">
      <c r="A5" s="20" t="str">
        <f>Inputs!A14</f>
        <v>CVP-NYC</v>
      </c>
      <c r="B5" s="20">
        <f>Inputs!B14</f>
        <v>12</v>
      </c>
      <c r="C5" s="20" t="s">
        <v>37</v>
      </c>
      <c r="D5" s="20" t="s">
        <v>95</v>
      </c>
      <c r="E5" s="188">
        <f>'Sys Admin Calculation'!E5</f>
        <v>0</v>
      </c>
      <c r="F5" s="188">
        <f>'Sys Admin Calculation'!F5*1.05</f>
        <v>0</v>
      </c>
      <c r="G5" s="188">
        <f>'Sys Admin Calculation'!G5*1.05</f>
        <v>0</v>
      </c>
      <c r="H5" s="188">
        <f>'Sys Admin Calculation'!H5</f>
        <v>923.4140625</v>
      </c>
      <c r="I5" s="188">
        <f>'Sys Admin Calculation'!I5</f>
        <v>169.03936250000001</v>
      </c>
      <c r="J5" s="188">
        <f>Inputs!I14</f>
        <v>0</v>
      </c>
      <c r="K5" s="188">
        <f>Inputs!J14</f>
        <v>0</v>
      </c>
      <c r="L5" s="188">
        <f>Inputs!K14</f>
        <v>0</v>
      </c>
      <c r="M5" s="188">
        <f>Inputs!L14</f>
        <v>923.4140625</v>
      </c>
      <c r="N5" s="188">
        <f>Inputs!M14</f>
        <v>169.03936250000001</v>
      </c>
      <c r="O5" s="188">
        <f>Inputs!N14</f>
        <v>20000</v>
      </c>
      <c r="P5" s="188">
        <f>Inputs!O14</f>
        <v>5</v>
      </c>
      <c r="Q5" s="188" t="str">
        <f>Inputs!P14</f>
        <v>None</v>
      </c>
      <c r="R5" s="188">
        <f>Inputs!Q14</f>
        <v>0</v>
      </c>
      <c r="S5" s="188">
        <f>Inputs!R14</f>
        <v>13109.4411</v>
      </c>
      <c r="T5" s="189" t="str">
        <f>'Sys Admin'!L19</f>
        <v>None</v>
      </c>
      <c r="U5" s="189" t="str">
        <f>'Sys Admin'!N19</f>
        <v>Planning/Discovery</v>
      </c>
      <c r="V5" s="189">
        <f>'Sys Admin'!P19</f>
        <v>1</v>
      </c>
      <c r="W5" s="189">
        <f>VLOOKUP(U5&amp;T5,$N$33:$Q$50,4,FALSE)</f>
        <v>0</v>
      </c>
      <c r="X5" s="189">
        <f>IF(U5="Onboarding",1,IF(U5="Planning/Discovery",1,MIN((12-V5),VLOOKUP(U5&amp;C5,$V$31:$W$33,2))))</f>
        <v>1</v>
      </c>
      <c r="Y5" s="189">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1846.828125</v>
      </c>
      <c r="AC5">
        <f>IF(U5="Planning/Discovery",$L$41*2,IF(U5="Onboarding",$L$42*2,IF(U5="Active",$L$43*(12-V5),IF(U5="Export/Retirement",$L$44*2, 0))))</f>
        <v>354.98266125000004</v>
      </c>
      <c r="AD5" s="15">
        <f>SUM(Y5,Z5,AA5,AB5,AC5)</f>
        <v>2201.8107862500001</v>
      </c>
    </row>
    <row r="6" spans="1:30">
      <c r="A6" s="20" t="str">
        <f>Inputs!A15</f>
        <v>CVP-THEA</v>
      </c>
      <c r="B6" s="20">
        <f>Inputs!B15</f>
        <v>12</v>
      </c>
      <c r="C6" s="20" t="s">
        <v>38</v>
      </c>
      <c r="D6" s="20" t="str">
        <f>Inputs!C15</f>
        <v>Active</v>
      </c>
      <c r="E6" s="188">
        <f>'Sys Admin Calculation'!E6</f>
        <v>0</v>
      </c>
      <c r="F6" s="188">
        <f>'Sys Admin Calculation'!F6*1.05</f>
        <v>22.008000000000003</v>
      </c>
      <c r="G6" s="188">
        <f>'Sys Admin Calculation'!G6*1.05</f>
        <v>0</v>
      </c>
      <c r="H6" s="188">
        <f>'Sys Admin Calculation'!H6</f>
        <v>4924.875</v>
      </c>
      <c r="I6" s="188">
        <f>'Sys Admin Calculation'!I6</f>
        <v>1202.0576888888891</v>
      </c>
      <c r="J6" s="188">
        <f>Inputs!I15</f>
        <v>0</v>
      </c>
      <c r="K6" s="188">
        <f>Inputs!J15</f>
        <v>477.21333333333337</v>
      </c>
      <c r="L6" s="188">
        <f>Inputs!K15</f>
        <v>0</v>
      </c>
      <c r="M6" s="188">
        <f>Inputs!L15</f>
        <v>4924.875</v>
      </c>
      <c r="N6" s="188">
        <f>Inputs!M15</f>
        <v>1202.0576888888891</v>
      </c>
      <c r="O6" s="188">
        <f>Inputs!N15</f>
        <v>0</v>
      </c>
      <c r="P6" s="188">
        <f>Inputs!O15</f>
        <v>5</v>
      </c>
      <c r="Q6" s="188" t="str">
        <f>Inputs!P15</f>
        <v>None</v>
      </c>
      <c r="R6" s="188">
        <f>Inputs!Q15</f>
        <v>0.04</v>
      </c>
      <c r="S6" s="188">
        <f>Inputs!R15</f>
        <v>73774.712266666669</v>
      </c>
      <c r="T6" s="189" t="str">
        <f>'Sys Admin'!L20</f>
        <v>None</v>
      </c>
      <c r="U6" s="189" t="str">
        <f>'Sys Admin'!N20</f>
        <v>Active</v>
      </c>
      <c r="V6" s="189">
        <f>'Sys Admin'!P20</f>
        <v>0</v>
      </c>
      <c r="W6" s="189">
        <f t="shared" ref="W6:W21" si="0">VLOOKUP(U6&amp;T6,$N$33:$Q$50,4,FALSE)</f>
        <v>0</v>
      </c>
      <c r="X6" s="189">
        <f t="shared" ref="X6:X21" si="1">IF(U6="Onboarding",1,IF(U6="Planning/Discovery",1,MIN((12-V6),VLOOKUP(U6&amp;C6,$V$31:$W$33,2))))</f>
        <v>4</v>
      </c>
      <c r="Y6" s="189">
        <f t="shared" ref="Y6:Y21" si="2">W6*X6</f>
        <v>0</v>
      </c>
      <c r="Z6">
        <f t="shared" ref="Z6:Z21" si="3">(IF(U6=D6,F6,IF(U6="Planning/Discovery",0,IF(U6="Onboarding",0,IF(U6="Export/Retirement",0,VLOOKUP(U6&amp;C6,$V$31:$X$33,3,FALSE))))))*(12-V6)</f>
        <v>264.096</v>
      </c>
      <c r="AA6">
        <f t="shared" ref="AA6:AA21" si="4">(IF(U6=D6,F6,IF(U6="Planning/Discovery",0,IF(U6="Onboarding",0,IF(U6="Export/Retirement",0,VLOOKUP(U6&amp;C6,$V$31:$Y$33,4,FALSE))))))*(12-V6)</f>
        <v>264.096</v>
      </c>
      <c r="AB6">
        <f t="shared" ref="AB6:AB21" si="5">IF(U6="Planning/Discovery",$L$34*2,IF(U6="Onboarding",$L$35*2,IF(U6="Active",$L$36*(12-V6),IF(U6="Export/Retirement",$L$37*1, 0))))</f>
        <v>59098.5</v>
      </c>
      <c r="AC6">
        <f t="shared" ref="AC6:AC21" si="6">IF(U6="Planning/Discovery",$L$41*2,IF(U6="Onboarding",$L$42*2,IF(U6="Active",$L$43*(12-V6),IF(U6="Export/Retirement",$L$44*2, 0))))</f>
        <v>15145.926880000003</v>
      </c>
      <c r="AD6" s="15">
        <f t="shared" ref="AD6:AD21" si="7">SUM(Y6,Z6,AA6,AB6,AC6)</f>
        <v>74772.618880000009</v>
      </c>
    </row>
    <row r="7" spans="1:30">
      <c r="A7" s="20" t="str">
        <f>Inputs!A16</f>
        <v>CVP-WYDOT</v>
      </c>
      <c r="B7" s="20">
        <f>Inputs!B16</f>
        <v>12</v>
      </c>
      <c r="C7" s="20" t="s">
        <v>37</v>
      </c>
      <c r="D7" s="20" t="str">
        <f>Inputs!C16</f>
        <v>Active</v>
      </c>
      <c r="E7" s="188">
        <f>'Sys Admin Calculation'!E7</f>
        <v>0</v>
      </c>
      <c r="F7" s="188">
        <f>'Sys Admin Calculation'!F7*1.05</f>
        <v>65.131500000000003</v>
      </c>
      <c r="G7" s="188">
        <f>'Sys Admin Calculation'!G7*1.05</f>
        <v>0</v>
      </c>
      <c r="H7" s="188">
        <f>'Sys Admin Calculation'!H7</f>
        <v>4924.875</v>
      </c>
      <c r="I7" s="188">
        <f>'Sys Admin Calculation'!I7</f>
        <v>1202.0576888888891</v>
      </c>
      <c r="J7" s="188">
        <f>Inputs!I16</f>
        <v>0</v>
      </c>
      <c r="K7" s="188">
        <f>Inputs!J16</f>
        <v>49.360000000000007</v>
      </c>
      <c r="L7" s="188">
        <f>Inputs!K16</f>
        <v>0</v>
      </c>
      <c r="M7" s="188">
        <f>Inputs!L16</f>
        <v>4924.875</v>
      </c>
      <c r="N7" s="188">
        <f>Inputs!M16</f>
        <v>1202.0576888888891</v>
      </c>
      <c r="O7" s="188">
        <f>Inputs!N16</f>
        <v>0</v>
      </c>
      <c r="P7" s="188">
        <f>Inputs!O16</f>
        <v>8</v>
      </c>
      <c r="Q7" s="188" t="str">
        <f>Inputs!P16</f>
        <v>None</v>
      </c>
      <c r="R7" s="188">
        <f>Inputs!Q16</f>
        <v>0.04</v>
      </c>
      <c r="S7" s="188">
        <f>Inputs!R16</f>
        <v>74267.552266666666</v>
      </c>
      <c r="T7" s="189" t="str">
        <f>'Sys Admin'!L21</f>
        <v>None</v>
      </c>
      <c r="U7" s="189" t="str">
        <f>'Sys Admin'!N21</f>
        <v>Active</v>
      </c>
      <c r="V7" s="189">
        <f>'Sys Admin'!P21</f>
        <v>0</v>
      </c>
      <c r="W7" s="189">
        <f t="shared" si="0"/>
        <v>0</v>
      </c>
      <c r="X7" s="189">
        <f t="shared" si="1"/>
        <v>6</v>
      </c>
      <c r="Y7" s="189">
        <f t="shared" si="2"/>
        <v>0</v>
      </c>
      <c r="Z7">
        <f t="shared" si="3"/>
        <v>781.57799999999997</v>
      </c>
      <c r="AA7">
        <f t="shared" si="4"/>
        <v>781.57799999999997</v>
      </c>
      <c r="AB7">
        <f t="shared" si="5"/>
        <v>59098.5</v>
      </c>
      <c r="AC7">
        <f t="shared" si="6"/>
        <v>15145.926880000003</v>
      </c>
      <c r="AD7" s="15">
        <f t="shared" si="7"/>
        <v>75807.582880000002</v>
      </c>
    </row>
    <row r="8" spans="1:30">
      <c r="A8" s="20" t="str">
        <f>Inputs!A17</f>
        <v>CVP-Volpe-IE</v>
      </c>
      <c r="B8" s="20">
        <f>Inputs!B17</f>
        <v>12</v>
      </c>
      <c r="C8" s="20" t="s">
        <v>37</v>
      </c>
      <c r="D8" s="20" t="str">
        <f>Inputs!C17</f>
        <v>Active</v>
      </c>
      <c r="E8" s="188">
        <f>'Sys Admin Calculation'!E8</f>
        <v>0</v>
      </c>
      <c r="F8" s="188">
        <f>'Sys Admin Calculation'!F8*1.05</f>
        <v>0</v>
      </c>
      <c r="G8" s="188">
        <f>'Sys Admin Calculation'!G8*1.05</f>
        <v>155.65200000000002</v>
      </c>
      <c r="H8" s="188">
        <f>'Sys Admin Calculation'!H8</f>
        <v>4924.875</v>
      </c>
      <c r="I8" s="188">
        <f>'Sys Admin Calculation'!I8</f>
        <v>1202.0576888888891</v>
      </c>
      <c r="J8" s="188">
        <f>Inputs!I17</f>
        <v>0</v>
      </c>
      <c r="K8" s="188">
        <f>Inputs!J17</f>
        <v>0</v>
      </c>
      <c r="L8" s="188">
        <f>Inputs!K17</f>
        <v>170.27333333333334</v>
      </c>
      <c r="M8" s="188">
        <f>Inputs!L17</f>
        <v>4924.875</v>
      </c>
      <c r="N8" s="188">
        <f>Inputs!M17</f>
        <v>1202.0576888888891</v>
      </c>
      <c r="O8" s="188">
        <f>Inputs!N17</f>
        <v>0</v>
      </c>
      <c r="P8" s="188">
        <f>Inputs!O17</f>
        <v>5</v>
      </c>
      <c r="Q8" s="188" t="str">
        <f>Inputs!P17</f>
        <v>None</v>
      </c>
      <c r="R8" s="188">
        <f>Inputs!Q17</f>
        <v>0.04</v>
      </c>
      <c r="S8" s="188">
        <f>Inputs!R17</f>
        <v>75302.07226666667</v>
      </c>
      <c r="T8" s="189" t="str">
        <f>'Sys Admin'!L22</f>
        <v>None</v>
      </c>
      <c r="U8" s="189" t="str">
        <f>'Sys Admin'!N22</f>
        <v>Active</v>
      </c>
      <c r="V8" s="189">
        <f>'Sys Admin'!P22</f>
        <v>0</v>
      </c>
      <c r="W8" s="189">
        <f t="shared" si="0"/>
        <v>0</v>
      </c>
      <c r="X8" s="189">
        <f t="shared" si="1"/>
        <v>6</v>
      </c>
      <c r="Y8" s="189">
        <f t="shared" si="2"/>
        <v>0</v>
      </c>
      <c r="Z8">
        <f t="shared" si="3"/>
        <v>0</v>
      </c>
      <c r="AA8">
        <f t="shared" si="4"/>
        <v>0</v>
      </c>
      <c r="AB8">
        <f t="shared" si="5"/>
        <v>59098.5</v>
      </c>
      <c r="AC8">
        <f t="shared" si="6"/>
        <v>15145.926880000003</v>
      </c>
      <c r="AD8" s="15">
        <f t="shared" si="7"/>
        <v>74244.426879999999</v>
      </c>
    </row>
    <row r="9" spans="1:30">
      <c r="A9" s="20" t="str">
        <f>Inputs!A18</f>
        <v>CVP-TTI-IE</v>
      </c>
      <c r="B9" s="20">
        <f>Inputs!B18</f>
        <v>12</v>
      </c>
      <c r="C9" s="20" t="s">
        <v>37</v>
      </c>
      <c r="D9" s="20" t="str">
        <f>Inputs!C18</f>
        <v>Active</v>
      </c>
      <c r="E9" s="188">
        <f>'Sys Admin Calculation'!E9</f>
        <v>0</v>
      </c>
      <c r="F9" s="188">
        <f>'Sys Admin Calculation'!F9*1.05</f>
        <v>0</v>
      </c>
      <c r="G9" s="188">
        <f>'Sys Admin Calculation'!G9*1.05</f>
        <v>98.311499999999995</v>
      </c>
      <c r="H9" s="188">
        <f>'Sys Admin Calculation'!H9</f>
        <v>4924.875</v>
      </c>
      <c r="I9" s="188">
        <f>'Sys Admin Calculation'!I9</f>
        <v>1202.0576888888891</v>
      </c>
      <c r="J9" s="188">
        <f>Inputs!I18</f>
        <v>0</v>
      </c>
      <c r="K9" s="188">
        <f>Inputs!J18</f>
        <v>0</v>
      </c>
      <c r="L9" s="188">
        <f>Inputs!K18</f>
        <v>95.11</v>
      </c>
      <c r="M9" s="188">
        <f>Inputs!L18</f>
        <v>4924.875</v>
      </c>
      <c r="N9" s="188">
        <f>Inputs!M18</f>
        <v>1202.0576888888891</v>
      </c>
      <c r="O9" s="188">
        <f>Inputs!N18</f>
        <v>0</v>
      </c>
      <c r="P9" s="188">
        <f>Inputs!O18</f>
        <v>10</v>
      </c>
      <c r="Q9" s="188" t="str">
        <f>Inputs!P18</f>
        <v>None</v>
      </c>
      <c r="R9" s="188">
        <f>Inputs!Q18</f>
        <v>0.04</v>
      </c>
      <c r="S9" s="188">
        <f>Inputs!R18</f>
        <v>74646.752266666677</v>
      </c>
      <c r="T9" s="189" t="str">
        <f>'Sys Admin'!L23</f>
        <v>None</v>
      </c>
      <c r="U9" s="189" t="str">
        <f>'Sys Admin'!N23</f>
        <v>Active</v>
      </c>
      <c r="V9" s="189">
        <f>'Sys Admin'!P23</f>
        <v>0</v>
      </c>
      <c r="W9" s="189">
        <f t="shared" si="0"/>
        <v>0</v>
      </c>
      <c r="X9" s="189">
        <f t="shared" si="1"/>
        <v>6</v>
      </c>
      <c r="Y9" s="189">
        <f t="shared" si="2"/>
        <v>0</v>
      </c>
      <c r="Z9">
        <f t="shared" si="3"/>
        <v>0</v>
      </c>
      <c r="AA9">
        <f t="shared" si="4"/>
        <v>0</v>
      </c>
      <c r="AB9">
        <f t="shared" si="5"/>
        <v>59098.5</v>
      </c>
      <c r="AC9">
        <f t="shared" si="6"/>
        <v>15145.926880000003</v>
      </c>
      <c r="AD9" s="15">
        <f t="shared" si="7"/>
        <v>74244.426879999999</v>
      </c>
    </row>
    <row r="10" spans="1:30">
      <c r="A10" s="20" t="str">
        <f>Inputs!A19</f>
        <v>CARMA3-FMCSA</v>
      </c>
      <c r="B10" s="20">
        <f>Inputs!B19</f>
        <v>12</v>
      </c>
      <c r="C10" s="20" t="s">
        <v>38</v>
      </c>
      <c r="D10" s="20" t="str">
        <f>Inputs!C19</f>
        <v>Planning/Discovery</v>
      </c>
      <c r="E10" s="188">
        <f>'Sys Admin Calculation'!E10</f>
        <v>0</v>
      </c>
      <c r="F10" s="188">
        <f>'Sys Admin Calculation'!F10*1.05</f>
        <v>0</v>
      </c>
      <c r="G10" s="188">
        <f>'Sys Admin Calculation'!G10*1.05</f>
        <v>0</v>
      </c>
      <c r="H10" s="188">
        <f>'Sys Admin Calculation'!H10</f>
        <v>923.4140625</v>
      </c>
      <c r="I10" s="188">
        <f>'Sys Admin Calculation'!I10</f>
        <v>169.03936250000001</v>
      </c>
      <c r="J10" s="188">
        <f>Inputs!I19</f>
        <v>0</v>
      </c>
      <c r="K10" s="188">
        <f>Inputs!J19</f>
        <v>0</v>
      </c>
      <c r="L10" s="188">
        <f>Inputs!K19</f>
        <v>0</v>
      </c>
      <c r="M10" s="188">
        <f>Inputs!L19</f>
        <v>0</v>
      </c>
      <c r="N10" s="188">
        <f>Inputs!M19</f>
        <v>0</v>
      </c>
      <c r="O10" s="188">
        <f>Inputs!N19</f>
        <v>0</v>
      </c>
      <c r="P10" s="188">
        <f>Inputs!O19</f>
        <v>0</v>
      </c>
      <c r="Q10" s="188" t="str">
        <f>Inputs!P19</f>
        <v>None</v>
      </c>
      <c r="R10" s="188">
        <f>Inputs!Q19</f>
        <v>0</v>
      </c>
      <c r="S10" s="188">
        <f>Inputs!R19</f>
        <v>13109.4411</v>
      </c>
      <c r="T10" s="189" t="str">
        <f>'Sys Admin'!L24</f>
        <v>None</v>
      </c>
      <c r="U10" s="189" t="str">
        <f>'Sys Admin'!N24</f>
        <v>Planning/Discovery</v>
      </c>
      <c r="V10" s="189">
        <f>'Sys Admin'!P24</f>
        <v>0</v>
      </c>
      <c r="W10" s="189">
        <f t="shared" si="0"/>
        <v>0</v>
      </c>
      <c r="X10" s="189">
        <f t="shared" si="1"/>
        <v>1</v>
      </c>
      <c r="Y10" s="189">
        <f t="shared" si="2"/>
        <v>0</v>
      </c>
      <c r="Z10">
        <f t="shared" si="3"/>
        <v>0</v>
      </c>
      <c r="AA10">
        <f t="shared" si="4"/>
        <v>0</v>
      </c>
      <c r="AB10">
        <f t="shared" si="5"/>
        <v>1846.828125</v>
      </c>
      <c r="AC10">
        <f t="shared" si="6"/>
        <v>354.98266125000004</v>
      </c>
      <c r="AD10" s="15">
        <f t="shared" si="7"/>
        <v>2201.8107862500001</v>
      </c>
    </row>
    <row r="11" spans="1:30">
      <c r="A11" s="20" t="str">
        <f>Inputs!A20</f>
        <v>CARMA-FHWA</v>
      </c>
      <c r="B11" s="20">
        <f>Inputs!B20</f>
        <v>12</v>
      </c>
      <c r="C11" s="20" t="s">
        <v>38</v>
      </c>
      <c r="D11" s="20" t="str">
        <f>Inputs!C20</f>
        <v>Planning/Discovery</v>
      </c>
      <c r="E11" s="188">
        <f>'Sys Admin Calculation'!E11</f>
        <v>0</v>
      </c>
      <c r="F11" s="188">
        <f>'Sys Admin Calculation'!F11*1.05</f>
        <v>0</v>
      </c>
      <c r="G11" s="188">
        <f>'Sys Admin Calculation'!G11*1.05</f>
        <v>0</v>
      </c>
      <c r="H11" s="188">
        <f>'Sys Admin Calculation'!H11</f>
        <v>923.4140625</v>
      </c>
      <c r="I11" s="188">
        <f>'Sys Admin Calculation'!I11</f>
        <v>169.03936250000001</v>
      </c>
      <c r="J11" s="188">
        <f>Inputs!I20</f>
        <v>0</v>
      </c>
      <c r="K11" s="188">
        <f>Inputs!J20</f>
        <v>0</v>
      </c>
      <c r="L11" s="188">
        <f>Inputs!K20</f>
        <v>0</v>
      </c>
      <c r="M11" s="188">
        <f>Inputs!L20</f>
        <v>923.4140625</v>
      </c>
      <c r="N11" s="188">
        <f>Inputs!M20</f>
        <v>169.03936250000001</v>
      </c>
      <c r="O11" s="188">
        <f>Inputs!N20</f>
        <v>0</v>
      </c>
      <c r="P11" s="188">
        <f>Inputs!O20</f>
        <v>0</v>
      </c>
      <c r="Q11" s="188" t="str">
        <f>Inputs!P20</f>
        <v>None</v>
      </c>
      <c r="R11" s="188">
        <f>Inputs!Q20</f>
        <v>0</v>
      </c>
      <c r="S11" s="188">
        <f>Inputs!R20</f>
        <v>13109.4411</v>
      </c>
      <c r="T11" s="189" t="str">
        <f>'Sys Admin'!L25</f>
        <v>None</v>
      </c>
      <c r="U11" s="189" t="str">
        <f>'Sys Admin'!N25</f>
        <v>Planning/Discovery</v>
      </c>
      <c r="V11" s="189">
        <f>'Sys Admin'!P25</f>
        <v>0</v>
      </c>
      <c r="W11" s="189">
        <f t="shared" si="0"/>
        <v>0</v>
      </c>
      <c r="X11" s="189">
        <f t="shared" si="1"/>
        <v>1</v>
      </c>
      <c r="Y11" s="189">
        <f t="shared" si="2"/>
        <v>0</v>
      </c>
      <c r="Z11">
        <f t="shared" si="3"/>
        <v>0</v>
      </c>
      <c r="AA11">
        <f t="shared" si="4"/>
        <v>0</v>
      </c>
      <c r="AB11">
        <f t="shared" si="5"/>
        <v>1846.828125</v>
      </c>
      <c r="AC11">
        <f t="shared" si="6"/>
        <v>354.98266125000004</v>
      </c>
      <c r="AD11" s="15">
        <f t="shared" si="7"/>
        <v>2201.8107862500001</v>
      </c>
    </row>
    <row r="12" spans="1:30">
      <c r="A12" s="20" t="str">
        <f>Inputs!A21</f>
        <v>FMI-ATRI</v>
      </c>
      <c r="B12" s="20">
        <f>Inputs!B21</f>
        <v>12</v>
      </c>
      <c r="C12" s="20" t="s">
        <v>37</v>
      </c>
      <c r="D12" s="20" t="str">
        <f>Inputs!C21</f>
        <v>Active</v>
      </c>
      <c r="E12" s="188">
        <f>'Sys Admin Calculation'!E12</f>
        <v>0</v>
      </c>
      <c r="F12" s="188">
        <f>'Sys Admin Calculation'!F12*1.05</f>
        <v>137.91749999999999</v>
      </c>
      <c r="G12" s="188">
        <f>'Sys Admin Calculation'!G12*1.05</f>
        <v>0</v>
      </c>
      <c r="H12" s="188">
        <f>'Sys Admin Calculation'!H12</f>
        <v>4924.875</v>
      </c>
      <c r="I12" s="188">
        <f>'Sys Admin Calculation'!I12</f>
        <v>1202.0576888888891</v>
      </c>
      <c r="J12" s="188">
        <f>Inputs!I21</f>
        <v>0</v>
      </c>
      <c r="K12" s="188">
        <f>Inputs!J21</f>
        <v>187.05333333333331</v>
      </c>
      <c r="L12" s="188">
        <f>Inputs!K21</f>
        <v>0</v>
      </c>
      <c r="M12" s="188">
        <f>Inputs!L21</f>
        <v>4924.875</v>
      </c>
      <c r="N12" s="188">
        <f>Inputs!M21</f>
        <v>1202.0576888888891</v>
      </c>
      <c r="O12" s="188">
        <f>Inputs!N21</f>
        <v>0</v>
      </c>
      <c r="P12" s="188">
        <f>Inputs!O21</f>
        <v>5</v>
      </c>
      <c r="Q12" s="188" t="str">
        <f>Inputs!P21</f>
        <v>None</v>
      </c>
      <c r="R12" s="188">
        <f>Inputs!Q21</f>
        <v>0.04</v>
      </c>
      <c r="S12" s="188">
        <f>Inputs!R21</f>
        <v>75099.392266666677</v>
      </c>
      <c r="T12" s="189" t="str">
        <f>'Sys Admin'!L26</f>
        <v>None</v>
      </c>
      <c r="U12" s="189" t="str">
        <f>'Sys Admin'!N26</f>
        <v>Active</v>
      </c>
      <c r="V12" s="189">
        <f>'Sys Admin'!P26</f>
        <v>0</v>
      </c>
      <c r="W12" s="189">
        <f t="shared" si="0"/>
        <v>0</v>
      </c>
      <c r="X12" s="189">
        <f t="shared" si="1"/>
        <v>6</v>
      </c>
      <c r="Y12" s="189">
        <f t="shared" si="2"/>
        <v>0</v>
      </c>
      <c r="Z12">
        <f t="shared" si="3"/>
        <v>1655.0099999999998</v>
      </c>
      <c r="AA12">
        <f t="shared" si="4"/>
        <v>1655.0099999999998</v>
      </c>
      <c r="AB12">
        <f t="shared" si="5"/>
        <v>59098.5</v>
      </c>
      <c r="AC12">
        <f t="shared" si="6"/>
        <v>15145.926880000003</v>
      </c>
      <c r="AD12" s="15">
        <f t="shared" si="7"/>
        <v>77554.446880000003</v>
      </c>
    </row>
    <row r="13" spans="1:30">
      <c r="A13" s="20" t="str">
        <f>Inputs!A22</f>
        <v>FMI-BTS</v>
      </c>
      <c r="B13" s="20">
        <f>Inputs!B22</f>
        <v>12</v>
      </c>
      <c r="C13" s="20" t="s">
        <v>37</v>
      </c>
      <c r="D13" s="20" t="str">
        <f>Inputs!C22</f>
        <v>Active</v>
      </c>
      <c r="E13" s="188">
        <f>'Sys Admin Calculation'!E13</f>
        <v>0</v>
      </c>
      <c r="F13" s="188">
        <f>'Sys Admin Calculation'!F13*1.05</f>
        <v>0</v>
      </c>
      <c r="G13" s="188">
        <f>'Sys Admin Calculation'!G13*1.05</f>
        <v>0</v>
      </c>
      <c r="H13" s="188">
        <f>'Sys Admin Calculation'!H13</f>
        <v>4924.875</v>
      </c>
      <c r="I13" s="188">
        <f>'Sys Admin Calculation'!I13</f>
        <v>1202.0576888888891</v>
      </c>
      <c r="J13" s="188">
        <f>Inputs!I22</f>
        <v>0</v>
      </c>
      <c r="K13" s="188">
        <f>Inputs!J22</f>
        <v>0</v>
      </c>
      <c r="L13" s="188">
        <f>Inputs!K22</f>
        <v>0</v>
      </c>
      <c r="M13" s="188">
        <f>Inputs!L22</f>
        <v>4924.875</v>
      </c>
      <c r="N13" s="188">
        <f>Inputs!M22</f>
        <v>1202.0576888888891</v>
      </c>
      <c r="O13" s="188">
        <f>Inputs!N22</f>
        <v>0</v>
      </c>
      <c r="P13" s="188">
        <f>Inputs!O22</f>
        <v>3</v>
      </c>
      <c r="Q13" s="188" t="str">
        <f>Inputs!P22</f>
        <v>None</v>
      </c>
      <c r="R13" s="188">
        <f>Inputs!Q22</f>
        <v>0.04</v>
      </c>
      <c r="S13" s="188">
        <f>Inputs!R22</f>
        <v>73523.192266666665</v>
      </c>
      <c r="T13" s="189" t="str">
        <f>'Sys Admin'!L27</f>
        <v>None</v>
      </c>
      <c r="U13" s="189" t="str">
        <f>'Sys Admin'!N27</f>
        <v>Active</v>
      </c>
      <c r="V13" s="189">
        <f>'Sys Admin'!P27</f>
        <v>0</v>
      </c>
      <c r="W13" s="189">
        <f t="shared" si="0"/>
        <v>0</v>
      </c>
      <c r="X13" s="189">
        <f t="shared" si="1"/>
        <v>6</v>
      </c>
      <c r="Y13" s="189">
        <f t="shared" si="2"/>
        <v>0</v>
      </c>
      <c r="Z13">
        <f t="shared" si="3"/>
        <v>0</v>
      </c>
      <c r="AA13">
        <f t="shared" si="4"/>
        <v>0</v>
      </c>
      <c r="AB13">
        <f t="shared" si="5"/>
        <v>59098.5</v>
      </c>
      <c r="AC13">
        <f t="shared" si="6"/>
        <v>15145.926880000003</v>
      </c>
      <c r="AD13" s="15">
        <f t="shared" si="7"/>
        <v>74244.426879999999</v>
      </c>
    </row>
    <row r="14" spans="1:30">
      <c r="A14" s="20" t="str">
        <f>Inputs!A23</f>
        <v>FTA-DA</v>
      </c>
      <c r="B14" s="20">
        <f>Inputs!B23</f>
        <v>12</v>
      </c>
      <c r="C14" s="20" t="s">
        <v>39</v>
      </c>
      <c r="D14" s="20" t="str">
        <f>Inputs!C23</f>
        <v>Active</v>
      </c>
      <c r="E14" s="188">
        <f>'Sys Admin Calculation'!E14</f>
        <v>0</v>
      </c>
      <c r="F14" s="188">
        <f>'Sys Admin Calculation'!F14*1.05</f>
        <v>0</v>
      </c>
      <c r="G14" s="188">
        <f>'Sys Admin Calculation'!G14*1.05</f>
        <v>0</v>
      </c>
      <c r="H14" s="188">
        <f>'Sys Admin Calculation'!H14</f>
        <v>4924.875</v>
      </c>
      <c r="I14" s="188">
        <f>'Sys Admin Calculation'!I14</f>
        <v>1202.0576888888891</v>
      </c>
      <c r="J14" s="188">
        <f>Inputs!I23</f>
        <v>0</v>
      </c>
      <c r="K14" s="188">
        <f>Inputs!J23</f>
        <v>0</v>
      </c>
      <c r="L14" s="188">
        <f>Inputs!K23</f>
        <v>0</v>
      </c>
      <c r="M14" s="188">
        <f>Inputs!L23</f>
        <v>4924.875</v>
      </c>
      <c r="N14" s="188">
        <f>Inputs!M23</f>
        <v>1202.0576888888891</v>
      </c>
      <c r="O14" s="188">
        <f>Inputs!N23</f>
        <v>0</v>
      </c>
      <c r="P14" s="188">
        <f>Inputs!O23</f>
        <v>1</v>
      </c>
      <c r="Q14" s="188" t="str">
        <f>Inputs!P23</f>
        <v>None</v>
      </c>
      <c r="R14" s="188">
        <f>Inputs!Q23</f>
        <v>0.04</v>
      </c>
      <c r="S14" s="188">
        <f>Inputs!R23</f>
        <v>73523.192266666665</v>
      </c>
      <c r="T14" s="189" t="str">
        <f>'Sys Admin'!L28</f>
        <v>None</v>
      </c>
      <c r="U14" s="189" t="str">
        <f>'Sys Admin'!N28</f>
        <v>Active</v>
      </c>
      <c r="V14" s="189">
        <f>'Sys Admin'!P28</f>
        <v>0</v>
      </c>
      <c r="W14" s="189">
        <f t="shared" si="0"/>
        <v>0</v>
      </c>
      <c r="X14" s="189">
        <f t="shared" si="1"/>
        <v>6</v>
      </c>
      <c r="Y14" s="189">
        <f t="shared" si="2"/>
        <v>0</v>
      </c>
      <c r="Z14">
        <f t="shared" si="3"/>
        <v>0</v>
      </c>
      <c r="AA14">
        <f t="shared" si="4"/>
        <v>0</v>
      </c>
      <c r="AB14">
        <f t="shared" si="5"/>
        <v>59098.5</v>
      </c>
      <c r="AC14">
        <f t="shared" si="6"/>
        <v>15145.926880000003</v>
      </c>
      <c r="AD14" s="15">
        <f t="shared" si="7"/>
        <v>74244.426879999999</v>
      </c>
    </row>
    <row r="15" spans="1:30">
      <c r="A15" s="20" t="str">
        <f>Inputs!A24</f>
        <v>MOD 2.0</v>
      </c>
      <c r="B15" s="20">
        <f>Inputs!B24</f>
        <v>12</v>
      </c>
      <c r="C15" s="20" t="s">
        <v>39</v>
      </c>
      <c r="D15" s="20" t="str">
        <f>Inputs!C24</f>
        <v>Prospective</v>
      </c>
      <c r="E15" s="188">
        <f>'Sys Admin Calculation'!E15</f>
        <v>0</v>
      </c>
      <c r="F15" s="188">
        <f>'Sys Admin Calculation'!F15*1.05</f>
        <v>0</v>
      </c>
      <c r="G15" s="188">
        <f>'Sys Admin Calculation'!G15*1.05</f>
        <v>0</v>
      </c>
      <c r="H15" s="188">
        <f>'Sys Admin Calculation'!H15</f>
        <v>0</v>
      </c>
      <c r="I15" s="188">
        <f>'Sys Admin Calculation'!I15</f>
        <v>0</v>
      </c>
      <c r="J15" s="188">
        <f>Inputs!I24</f>
        <v>0</v>
      </c>
      <c r="K15" s="188">
        <f>Inputs!J24</f>
        <v>0</v>
      </c>
      <c r="L15" s="188">
        <f>Inputs!K24</f>
        <v>0</v>
      </c>
      <c r="M15" s="188">
        <f>Inputs!L24</f>
        <v>0</v>
      </c>
      <c r="N15" s="188">
        <f>Inputs!M24</f>
        <v>0</v>
      </c>
      <c r="O15" s="188">
        <f>Inputs!N24</f>
        <v>0</v>
      </c>
      <c r="P15" s="188">
        <f>Inputs!O24</f>
        <v>0</v>
      </c>
      <c r="Q15" s="188" t="str">
        <f>Inputs!P24</f>
        <v>None</v>
      </c>
      <c r="R15" s="188">
        <f>Inputs!Q24</f>
        <v>0</v>
      </c>
      <c r="S15" s="188">
        <f>Inputs!R24</f>
        <v>0</v>
      </c>
      <c r="T15" s="189" t="str">
        <f>'Sys Admin'!L29</f>
        <v>None</v>
      </c>
      <c r="U15" s="189" t="str">
        <f>'Sys Admin'!N29</f>
        <v>Prospective</v>
      </c>
      <c r="V15" s="189">
        <f>'Sys Admin'!P29</f>
        <v>0</v>
      </c>
      <c r="W15" s="189">
        <f t="shared" si="0"/>
        <v>0</v>
      </c>
      <c r="X15" s="189">
        <f t="shared" si="1"/>
        <v>2</v>
      </c>
      <c r="Y15" s="189">
        <f t="shared" si="2"/>
        <v>0</v>
      </c>
      <c r="Z15">
        <f t="shared" si="3"/>
        <v>0</v>
      </c>
      <c r="AA15">
        <f t="shared" si="4"/>
        <v>0</v>
      </c>
      <c r="AB15">
        <f t="shared" si="5"/>
        <v>0</v>
      </c>
      <c r="AC15">
        <f t="shared" si="6"/>
        <v>0</v>
      </c>
      <c r="AD15" s="15">
        <f t="shared" si="7"/>
        <v>0</v>
      </c>
    </row>
    <row r="16" spans="1:30">
      <c r="A16" s="20" t="str">
        <f>Inputs!A25</f>
        <v xml:space="preserve">MPI </v>
      </c>
      <c r="B16" s="20">
        <f>Inputs!B25</f>
        <v>12</v>
      </c>
      <c r="C16" s="20" t="s">
        <v>39</v>
      </c>
      <c r="D16" s="20" t="str">
        <f>Inputs!C25</f>
        <v>Prospective</v>
      </c>
      <c r="E16" s="188">
        <f>'Sys Admin Calculation'!E16</f>
        <v>0</v>
      </c>
      <c r="F16" s="188">
        <f>'Sys Admin Calculation'!F16*1.05</f>
        <v>0</v>
      </c>
      <c r="G16" s="188">
        <f>'Sys Admin Calculation'!G16*1.05</f>
        <v>0</v>
      </c>
      <c r="H16" s="188">
        <f>'Sys Admin Calculation'!H16</f>
        <v>0</v>
      </c>
      <c r="I16" s="188">
        <f>'Sys Admin Calculation'!I16</f>
        <v>0</v>
      </c>
      <c r="J16" s="188">
        <f>Inputs!I25</f>
        <v>0</v>
      </c>
      <c r="K16" s="188">
        <f>Inputs!J25</f>
        <v>0</v>
      </c>
      <c r="L16" s="188">
        <f>Inputs!K25</f>
        <v>0</v>
      </c>
      <c r="M16" s="188">
        <f>Inputs!L25</f>
        <v>0</v>
      </c>
      <c r="N16" s="188">
        <f>Inputs!M25</f>
        <v>0</v>
      </c>
      <c r="O16" s="188">
        <f>Inputs!N25</f>
        <v>0</v>
      </c>
      <c r="P16" s="188">
        <f>Inputs!O25</f>
        <v>0</v>
      </c>
      <c r="Q16" s="188" t="str">
        <f>Inputs!P25</f>
        <v>None</v>
      </c>
      <c r="R16" s="188">
        <f>Inputs!Q25</f>
        <v>0</v>
      </c>
      <c r="S16" s="188">
        <f>Inputs!R25</f>
        <v>0</v>
      </c>
      <c r="T16" s="189" t="str">
        <f>'Sys Admin'!L30</f>
        <v>None</v>
      </c>
      <c r="U16" s="189" t="str">
        <f>'Sys Admin'!N30</f>
        <v>Prospective</v>
      </c>
      <c r="V16" s="189">
        <f>'Sys Admin'!P30</f>
        <v>0</v>
      </c>
      <c r="W16" s="189">
        <f t="shared" si="0"/>
        <v>0</v>
      </c>
      <c r="X16" s="189">
        <f t="shared" si="1"/>
        <v>2</v>
      </c>
      <c r="Y16" s="189">
        <f t="shared" si="2"/>
        <v>0</v>
      </c>
      <c r="Z16">
        <f t="shared" si="3"/>
        <v>0</v>
      </c>
      <c r="AA16">
        <f t="shared" si="4"/>
        <v>0</v>
      </c>
      <c r="AB16">
        <f t="shared" si="5"/>
        <v>0</v>
      </c>
      <c r="AC16">
        <f t="shared" si="6"/>
        <v>0</v>
      </c>
      <c r="AD16" s="15">
        <f t="shared" si="7"/>
        <v>0</v>
      </c>
    </row>
    <row r="17" spans="1:30">
      <c r="A17" s="20" t="str">
        <f>Inputs!A26</f>
        <v>WAZE-WAZE</v>
      </c>
      <c r="B17" s="20">
        <f>Inputs!B26</f>
        <v>12</v>
      </c>
      <c r="C17" s="20" t="s">
        <v>37</v>
      </c>
      <c r="D17" s="20" t="str">
        <f>Inputs!C26</f>
        <v>Active</v>
      </c>
      <c r="E17" s="188">
        <f>'Sys Admin Calculation'!E17</f>
        <v>0</v>
      </c>
      <c r="F17" s="188">
        <f>'Sys Admin Calculation'!F17*1.05</f>
        <v>1022.3850000000001</v>
      </c>
      <c r="G17" s="188">
        <f>'Sys Admin Calculation'!G17*1.05</f>
        <v>0</v>
      </c>
      <c r="H17" s="188">
        <f>'Sys Admin Calculation'!H17</f>
        <v>4924.875</v>
      </c>
      <c r="I17" s="188">
        <f>'Sys Admin Calculation'!I17</f>
        <v>1202.0576888888891</v>
      </c>
      <c r="J17" s="188">
        <f>Inputs!I26</f>
        <v>0</v>
      </c>
      <c r="K17" s="188">
        <f>Inputs!J26</f>
        <v>1109.17</v>
      </c>
      <c r="L17" s="188">
        <f>Inputs!K26</f>
        <v>0</v>
      </c>
      <c r="M17" s="188">
        <f>Inputs!L26</f>
        <v>4924.875</v>
      </c>
      <c r="N17" s="188">
        <f>Inputs!M26</f>
        <v>1202.0576888888891</v>
      </c>
      <c r="O17" s="188">
        <f>Inputs!N26</f>
        <v>0</v>
      </c>
      <c r="P17" s="188">
        <f>Inputs!O26</f>
        <v>3</v>
      </c>
      <c r="Q17" s="188" t="str">
        <f>Inputs!P26</f>
        <v>None</v>
      </c>
      <c r="R17" s="188">
        <f>Inputs!Q26</f>
        <v>0.04</v>
      </c>
      <c r="S17" s="188">
        <f>Inputs!R26</f>
        <v>85207.592266666674</v>
      </c>
      <c r="T17" s="189" t="str">
        <f>'Sys Admin'!L31</f>
        <v>None</v>
      </c>
      <c r="U17" s="189" t="str">
        <f>'Sys Admin'!N31</f>
        <v>Active</v>
      </c>
      <c r="V17" s="189">
        <f>'Sys Admin'!P31</f>
        <v>0</v>
      </c>
      <c r="W17" s="189">
        <f t="shared" si="0"/>
        <v>0</v>
      </c>
      <c r="X17" s="189">
        <f t="shared" si="1"/>
        <v>6</v>
      </c>
      <c r="Y17" s="189">
        <f t="shared" si="2"/>
        <v>0</v>
      </c>
      <c r="Z17">
        <f t="shared" si="3"/>
        <v>12268.62</v>
      </c>
      <c r="AA17">
        <f t="shared" si="4"/>
        <v>12268.62</v>
      </c>
      <c r="AB17">
        <f t="shared" si="5"/>
        <v>59098.5</v>
      </c>
      <c r="AC17">
        <f t="shared" si="6"/>
        <v>15145.926880000003</v>
      </c>
      <c r="AD17" s="15">
        <f t="shared" si="7"/>
        <v>98781.666880000004</v>
      </c>
    </row>
    <row r="18" spans="1:30">
      <c r="A18" s="20" t="str">
        <f>Inputs!A27</f>
        <v>WAZE-SDI</v>
      </c>
      <c r="B18" s="20">
        <f>Inputs!B27</f>
        <v>12</v>
      </c>
      <c r="C18" s="20" t="s">
        <v>37</v>
      </c>
      <c r="D18" s="20" t="str">
        <f>Inputs!C27</f>
        <v>Active</v>
      </c>
      <c r="E18" s="188">
        <f>'Sys Admin Calculation'!E18</f>
        <v>0</v>
      </c>
      <c r="F18" s="188">
        <f>'Sys Admin Calculation'!F18*1.05</f>
        <v>0</v>
      </c>
      <c r="G18" s="188">
        <f>'Sys Admin Calculation'!G18*1.05</f>
        <v>371.16450000000003</v>
      </c>
      <c r="H18" s="188">
        <f>'Sys Admin Calculation'!H18</f>
        <v>4924.875</v>
      </c>
      <c r="I18" s="188">
        <f>'Sys Admin Calculation'!I18</f>
        <v>1202.0576888888891</v>
      </c>
      <c r="J18" s="188">
        <f>Inputs!I27</f>
        <v>0</v>
      </c>
      <c r="K18" s="188">
        <f>Inputs!J27</f>
        <v>0</v>
      </c>
      <c r="L18" s="188">
        <f>Inputs!K27</f>
        <v>449.72333333333336</v>
      </c>
      <c r="M18" s="188">
        <f>Inputs!L27</f>
        <v>4924.875</v>
      </c>
      <c r="N18" s="188">
        <f>Inputs!M27</f>
        <v>1202.0576888888891</v>
      </c>
      <c r="O18" s="188">
        <f>Inputs!N27</f>
        <v>0</v>
      </c>
      <c r="P18" s="188">
        <f>Inputs!O27</f>
        <v>0</v>
      </c>
      <c r="Q18" s="188" t="str">
        <f>Inputs!P27</f>
        <v>None</v>
      </c>
      <c r="R18" s="188">
        <f>Inputs!Q27</f>
        <v>0.04</v>
      </c>
      <c r="S18" s="188">
        <f>Inputs!R27</f>
        <v>77765.07226666667</v>
      </c>
      <c r="T18" s="189" t="str">
        <f>'Sys Admin'!L32</f>
        <v>None</v>
      </c>
      <c r="U18" s="189" t="str">
        <f>'Sys Admin'!N32</f>
        <v>Active</v>
      </c>
      <c r="V18" s="189">
        <f>'Sys Admin'!P32</f>
        <v>0</v>
      </c>
      <c r="W18" s="189">
        <f t="shared" si="0"/>
        <v>0</v>
      </c>
      <c r="X18" s="189">
        <f t="shared" si="1"/>
        <v>6</v>
      </c>
      <c r="Y18" s="189">
        <f t="shared" si="2"/>
        <v>0</v>
      </c>
      <c r="Z18">
        <f t="shared" si="3"/>
        <v>0</v>
      </c>
      <c r="AA18">
        <f t="shared" si="4"/>
        <v>0</v>
      </c>
      <c r="AB18">
        <f t="shared" si="5"/>
        <v>59098.5</v>
      </c>
      <c r="AC18">
        <f t="shared" si="6"/>
        <v>15145.926880000003</v>
      </c>
      <c r="AD18" s="15">
        <f t="shared" si="7"/>
        <v>74244.426879999999</v>
      </c>
    </row>
    <row r="19" spans="1:30">
      <c r="A19" s="20" t="str">
        <f>Inputs!A28</f>
        <v>Smart Columbus Evaluation</v>
      </c>
      <c r="B19" s="20">
        <f>Inputs!B28</f>
        <v>12</v>
      </c>
      <c r="C19" s="20" t="s">
        <v>39</v>
      </c>
      <c r="D19" s="20" t="str">
        <f>Inputs!C28</f>
        <v>Planning/Discovery</v>
      </c>
      <c r="E19" s="188">
        <f>'Sys Admin Calculation'!E19</f>
        <v>0</v>
      </c>
      <c r="F19" s="188">
        <f>'Sys Admin Calculation'!F19*1.05</f>
        <v>0</v>
      </c>
      <c r="G19" s="188">
        <f>'Sys Admin Calculation'!G19*1.05</f>
        <v>0</v>
      </c>
      <c r="H19" s="188">
        <f>'Sys Admin Calculation'!H19</f>
        <v>923.4140625</v>
      </c>
      <c r="I19" s="188">
        <f>'Sys Admin Calculation'!I19</f>
        <v>169.03936250000001</v>
      </c>
      <c r="J19" s="188">
        <f>Inputs!I28</f>
        <v>0</v>
      </c>
      <c r="K19" s="188">
        <f>Inputs!J28</f>
        <v>0</v>
      </c>
      <c r="L19" s="188">
        <f>Inputs!K28</f>
        <v>0</v>
      </c>
      <c r="M19" s="188">
        <f>Inputs!L28</f>
        <v>0</v>
      </c>
      <c r="N19" s="188">
        <f>Inputs!M28</f>
        <v>0</v>
      </c>
      <c r="O19" s="188">
        <f>Inputs!N28</f>
        <v>0</v>
      </c>
      <c r="P19" s="188">
        <f>Inputs!O28</f>
        <v>0</v>
      </c>
      <c r="Q19" s="188" t="str">
        <f>Inputs!P28</f>
        <v>None</v>
      </c>
      <c r="R19" s="188">
        <f>Inputs!Q28</f>
        <v>0</v>
      </c>
      <c r="S19" s="188">
        <f>Inputs!R28</f>
        <v>13109.4411</v>
      </c>
      <c r="T19" s="189" t="str">
        <f>'Sys Admin'!L33</f>
        <v>None</v>
      </c>
      <c r="U19" s="189" t="str">
        <f>'Sys Admin'!N33</f>
        <v>Planning/Discovery</v>
      </c>
      <c r="V19" s="189">
        <f>'Sys Admin'!P33</f>
        <v>0</v>
      </c>
      <c r="W19" s="189">
        <f t="shared" si="0"/>
        <v>0</v>
      </c>
      <c r="X19" s="189">
        <f t="shared" si="1"/>
        <v>1</v>
      </c>
      <c r="Y19" s="189">
        <f t="shared" si="2"/>
        <v>0</v>
      </c>
      <c r="Z19">
        <f t="shared" si="3"/>
        <v>0</v>
      </c>
      <c r="AA19">
        <f t="shared" si="4"/>
        <v>0</v>
      </c>
      <c r="AB19">
        <f t="shared" si="5"/>
        <v>1846.828125</v>
      </c>
      <c r="AC19">
        <f t="shared" si="6"/>
        <v>354.98266125000004</v>
      </c>
      <c r="AD19" s="15">
        <f t="shared" si="7"/>
        <v>2201.8107862500001</v>
      </c>
    </row>
    <row r="20" spans="1:30">
      <c r="A20" s="20" t="str">
        <f>Inputs!A29</f>
        <v>STAR</v>
      </c>
      <c r="B20" s="20">
        <f>Inputs!B29</f>
        <v>12</v>
      </c>
      <c r="C20" s="20" t="s">
        <v>39</v>
      </c>
      <c r="D20" s="20" t="str">
        <f>Inputs!C29</f>
        <v>Prospective</v>
      </c>
      <c r="E20" s="188">
        <f>'Sys Admin Calculation'!E20</f>
        <v>0</v>
      </c>
      <c r="F20" s="188">
        <f>'Sys Admin Calculation'!F20*1.05</f>
        <v>0</v>
      </c>
      <c r="G20" s="188">
        <f>'Sys Admin Calculation'!G20*1.05</f>
        <v>0</v>
      </c>
      <c r="H20" s="188">
        <f>'Sys Admin Calculation'!H20</f>
        <v>0</v>
      </c>
      <c r="I20" s="188">
        <f>'Sys Admin Calculation'!I20</f>
        <v>0</v>
      </c>
      <c r="J20" s="188">
        <f>Inputs!I29</f>
        <v>0</v>
      </c>
      <c r="K20" s="188">
        <f>Inputs!J29</f>
        <v>0</v>
      </c>
      <c r="L20" s="188">
        <f>Inputs!K29</f>
        <v>0</v>
      </c>
      <c r="M20" s="188">
        <f>Inputs!L29</f>
        <v>0</v>
      </c>
      <c r="N20" s="188">
        <f>Inputs!M29</f>
        <v>0</v>
      </c>
      <c r="O20" s="188">
        <f>Inputs!N29</f>
        <v>0</v>
      </c>
      <c r="P20" s="188">
        <f>Inputs!O29</f>
        <v>0</v>
      </c>
      <c r="Q20" s="188" t="str">
        <f>Inputs!P29</f>
        <v>None</v>
      </c>
      <c r="R20" s="188">
        <f>Inputs!Q29</f>
        <v>0</v>
      </c>
      <c r="S20" s="188">
        <f>Inputs!R29</f>
        <v>0</v>
      </c>
      <c r="T20" s="189" t="str">
        <f>'Sys Admin'!L34</f>
        <v>None</v>
      </c>
      <c r="U20" s="189" t="str">
        <f>'Sys Admin'!N34</f>
        <v>Prospective</v>
      </c>
      <c r="V20" s="189">
        <f>'Sys Admin'!P34</f>
        <v>0</v>
      </c>
      <c r="W20" s="189">
        <f t="shared" si="0"/>
        <v>0</v>
      </c>
      <c r="X20" s="189">
        <f t="shared" si="1"/>
        <v>2</v>
      </c>
      <c r="Y20" s="189">
        <f t="shared" si="2"/>
        <v>0</v>
      </c>
      <c r="Z20">
        <f t="shared" si="3"/>
        <v>0</v>
      </c>
      <c r="AA20">
        <f t="shared" si="4"/>
        <v>0</v>
      </c>
      <c r="AB20">
        <f t="shared" si="5"/>
        <v>0</v>
      </c>
      <c r="AC20">
        <f t="shared" si="6"/>
        <v>0</v>
      </c>
      <c r="AD20" s="15">
        <f t="shared" si="7"/>
        <v>0</v>
      </c>
    </row>
    <row r="21" spans="1:30">
      <c r="A21" s="20" t="str">
        <f>Inputs!A30</f>
        <v>T-PLAT</v>
      </c>
      <c r="B21" s="20">
        <f>Inputs!B30</f>
        <v>12</v>
      </c>
      <c r="C21" s="20" t="s">
        <v>39</v>
      </c>
      <c r="D21" s="20" t="str">
        <f>Inputs!C30</f>
        <v>Prospective</v>
      </c>
      <c r="E21" s="188">
        <f>'Sys Admin Calculation'!E21</f>
        <v>0</v>
      </c>
      <c r="F21" s="188">
        <f>'Sys Admin Calculation'!F21*1.05</f>
        <v>0</v>
      </c>
      <c r="G21" s="188">
        <f>'Sys Admin Calculation'!G21*1.05</f>
        <v>0</v>
      </c>
      <c r="H21" s="188">
        <f>'Sys Admin Calculation'!H21</f>
        <v>0</v>
      </c>
      <c r="I21" s="188">
        <f>'Sys Admin Calculation'!I21</f>
        <v>0</v>
      </c>
      <c r="J21" s="188">
        <f>Inputs!I30</f>
        <v>0</v>
      </c>
      <c r="K21" s="188">
        <f>Inputs!J30</f>
        <v>0</v>
      </c>
      <c r="L21" s="188">
        <f>Inputs!K30</f>
        <v>0</v>
      </c>
      <c r="M21" s="188">
        <f>Inputs!L30</f>
        <v>0</v>
      </c>
      <c r="N21" s="188">
        <f>Inputs!M30</f>
        <v>0</v>
      </c>
      <c r="O21" s="188">
        <f>Inputs!N30</f>
        <v>0</v>
      </c>
      <c r="P21" s="188">
        <f>Inputs!O30</f>
        <v>0</v>
      </c>
      <c r="Q21" s="188" t="str">
        <f>Inputs!P30</f>
        <v>None</v>
      </c>
      <c r="R21" s="188">
        <f>Inputs!Q30</f>
        <v>0</v>
      </c>
      <c r="S21" s="188">
        <f>Inputs!R30</f>
        <v>0</v>
      </c>
      <c r="T21" s="189" t="str">
        <f>'Sys Admin'!L35</f>
        <v>None</v>
      </c>
      <c r="U21" s="189" t="str">
        <f>'Sys Admin'!N35</f>
        <v>Prospective</v>
      </c>
      <c r="V21" s="189">
        <f>'Sys Admin'!P35</f>
        <v>0</v>
      </c>
      <c r="W21" s="189">
        <f t="shared" si="0"/>
        <v>0</v>
      </c>
      <c r="X21" s="189">
        <f t="shared" si="1"/>
        <v>2</v>
      </c>
      <c r="Y21" s="189">
        <f t="shared" si="2"/>
        <v>0</v>
      </c>
      <c r="Z21">
        <f t="shared" si="3"/>
        <v>0</v>
      </c>
      <c r="AA21">
        <f t="shared" si="4"/>
        <v>0</v>
      </c>
      <c r="AB21">
        <f t="shared" si="5"/>
        <v>0</v>
      </c>
      <c r="AC21">
        <f t="shared" si="6"/>
        <v>0</v>
      </c>
      <c r="AD21" s="15">
        <f t="shared" si="7"/>
        <v>0</v>
      </c>
    </row>
    <row r="22" spans="1:30">
      <c r="W22" s="189"/>
      <c r="Y22" s="189">
        <f>SUM(Y5:Y21)</f>
        <v>0</v>
      </c>
      <c r="Z22" s="189">
        <f>SUM(Z5:Z21)</f>
        <v>14969.304</v>
      </c>
      <c r="AA22" s="189">
        <f>SUM(AA5:AA21)</f>
        <v>14969.304</v>
      </c>
      <c r="AB22" s="189">
        <f>SUM(AB5:AB21)</f>
        <v>539273.8125</v>
      </c>
      <c r="AC22" s="189">
        <f>SUM(AC5:AC21)</f>
        <v>137733.27256499999</v>
      </c>
    </row>
    <row r="23" spans="1:30">
      <c r="E23" s="253" t="s">
        <v>79</v>
      </c>
      <c r="F23" s="253"/>
      <c r="G23" s="253"/>
      <c r="H23" s="253"/>
      <c r="I23" s="253"/>
    </row>
    <row r="24" spans="1:30">
      <c r="A24" t="s">
        <v>364</v>
      </c>
      <c r="B24" t="s">
        <v>349</v>
      </c>
      <c r="E24" t="str">
        <f>E4</f>
        <v>Enablement Cost</v>
      </c>
      <c r="F24" t="str">
        <f>F4</f>
        <v>Data Related Cost</v>
      </c>
      <c r="G24" t="str">
        <f>G4</f>
        <v>Analysts Cost</v>
      </c>
      <c r="H24" t="str">
        <f>H4</f>
        <v>Overhead Costs</v>
      </c>
      <c r="I24" t="str">
        <f>I4</f>
        <v>Platform Services</v>
      </c>
      <c r="J24" t="s">
        <v>394</v>
      </c>
      <c r="K24" t="s">
        <v>395</v>
      </c>
      <c r="L24" t="s">
        <v>396</v>
      </c>
      <c r="M24" t="s">
        <v>13</v>
      </c>
      <c r="N24" t="s">
        <v>203</v>
      </c>
      <c r="O24" t="s">
        <v>46</v>
      </c>
      <c r="P24" t="s">
        <v>366</v>
      </c>
      <c r="Q24" t="s">
        <v>313</v>
      </c>
      <c r="R24" t="s">
        <v>202</v>
      </c>
      <c r="S24" t="s">
        <v>223</v>
      </c>
      <c r="T24" t="s">
        <v>224</v>
      </c>
      <c r="U24" t="s">
        <v>225</v>
      </c>
      <c r="V24" t="s">
        <v>216</v>
      </c>
    </row>
    <row r="25" spans="1:30">
      <c r="A25">
        <f>'Sys Admin'!E38</f>
        <v>0</v>
      </c>
      <c r="B25">
        <f>'Sys Admin'!L38</f>
        <v>0</v>
      </c>
      <c r="D25" t="s">
        <v>95</v>
      </c>
      <c r="E25" s="197">
        <f>'Enablement Services'!E22</f>
        <v>18000</v>
      </c>
      <c r="F25" s="197">
        <v>0</v>
      </c>
      <c r="G25" s="197">
        <v>0</v>
      </c>
      <c r="H25" s="197">
        <f>L34</f>
        <v>923.4140625</v>
      </c>
      <c r="I25" s="197">
        <f>L41</f>
        <v>177.49133062500002</v>
      </c>
      <c r="J25" s="198">
        <f>B25*Q25*E25</f>
        <v>0</v>
      </c>
      <c r="K25">
        <f>F25*B25*(12-A25)</f>
        <v>0</v>
      </c>
      <c r="L25">
        <f>G25*B25*(12-A25)</f>
        <v>0</v>
      </c>
      <c r="M25" s="105">
        <f>H25*Q25*B25</f>
        <v>0</v>
      </c>
      <c r="N25" s="105">
        <f>I25*B25*Q25</f>
        <v>0</v>
      </c>
      <c r="O25" s="197">
        <f>SUM(J25:N25)</f>
        <v>0</v>
      </c>
      <c r="P25" s="198">
        <f>O25</f>
        <v>0</v>
      </c>
      <c r="Q25">
        <v>1</v>
      </c>
      <c r="R25" t="s">
        <v>95</v>
      </c>
      <c r="S25" s="198"/>
    </row>
    <row r="26" spans="1:30">
      <c r="A26">
        <f>'Sys Admin'!E39</f>
        <v>0</v>
      </c>
      <c r="B26">
        <f>'Sys Admin'!L39</f>
        <v>0</v>
      </c>
      <c r="D26" t="s">
        <v>36</v>
      </c>
      <c r="E26" s="197">
        <f>'Enablement Services'!E23+'Enablement Services'!E24</f>
        <v>40000</v>
      </c>
      <c r="F26" s="197">
        <v>0</v>
      </c>
      <c r="G26" s="197">
        <v>0</v>
      </c>
      <c r="H26" s="197">
        <f>L35</f>
        <v>1</v>
      </c>
      <c r="I26" s="197">
        <f>L42</f>
        <v>1</v>
      </c>
      <c r="J26" s="198">
        <f>B26*Q26*E26</f>
        <v>0</v>
      </c>
      <c r="K26">
        <f>F26*B26*(12-A26)</f>
        <v>0</v>
      </c>
      <c r="L26">
        <f>G26*B26*(12-A26)</f>
        <v>0</v>
      </c>
      <c r="M26" s="105">
        <f>H26*Q26*B26</f>
        <v>0</v>
      </c>
      <c r="N26" s="105">
        <f>I26*B26*Q26</f>
        <v>0</v>
      </c>
      <c r="O26" s="197">
        <f>E26*Q26+F26+G26+H26+I26</f>
        <v>40002</v>
      </c>
      <c r="P26">
        <f>'Sys Admin Calculation Y2'!O26*B26</f>
        <v>0</v>
      </c>
      <c r="Q26">
        <v>1</v>
      </c>
      <c r="R26" t="s">
        <v>36</v>
      </c>
      <c r="S26" s="198"/>
      <c r="V26" s="199">
        <v>5000</v>
      </c>
    </row>
    <row r="27" spans="1:30">
      <c r="A27">
        <f>'Sys Admin'!F48</f>
        <v>4</v>
      </c>
      <c r="B27">
        <f>'Sys Admin'!L43</f>
        <v>0</v>
      </c>
      <c r="D27" t="s">
        <v>367</v>
      </c>
      <c r="E27" s="197">
        <f>'Prospective Project Calculation'!X2</f>
        <v>25000</v>
      </c>
      <c r="F27" s="197">
        <f>'Prospective Project Calculation'!S2</f>
        <v>2056.34</v>
      </c>
      <c r="G27" s="197">
        <f>'Prospective Project Calculation'!P2</f>
        <v>375.76</v>
      </c>
      <c r="H27" s="197">
        <f>$L$36</f>
        <v>4924.875</v>
      </c>
      <c r="I27" s="197">
        <f>$L$43</f>
        <v>1262.1605733333336</v>
      </c>
      <c r="J27">
        <f>E27*MIN(6,(12-A27))*B27</f>
        <v>0</v>
      </c>
      <c r="K27">
        <f>(F27*(1+0.05)^(12-A27))*B27</f>
        <v>0</v>
      </c>
      <c r="L27">
        <f>(G27*(1+0.05)^(12-A27))*B27</f>
        <v>0</v>
      </c>
      <c r="M27">
        <f>H27*(12-A27)*B27</f>
        <v>0</v>
      </c>
      <c r="N27">
        <f>I27*(12-A27)*B27</f>
        <v>0</v>
      </c>
      <c r="O27" s="197">
        <f>SUM(J27:N27)</f>
        <v>0</v>
      </c>
      <c r="P27" s="198">
        <f>O27</f>
        <v>0</v>
      </c>
      <c r="Q27">
        <f>'Sys Admin'!F49</f>
        <v>6</v>
      </c>
      <c r="R27" t="s">
        <v>8</v>
      </c>
      <c r="S27" s="198">
        <f>E27</f>
        <v>25000</v>
      </c>
      <c r="T27" s="198">
        <f>E28</f>
        <v>18000</v>
      </c>
      <c r="U27" s="198">
        <f>E29</f>
        <v>12500</v>
      </c>
    </row>
    <row r="28" spans="1:30">
      <c r="A28">
        <f>'Sys Admin'!G48</f>
        <v>3</v>
      </c>
      <c r="B28">
        <f>'Sys Admin'!M43</f>
        <v>0</v>
      </c>
      <c r="D28" t="s">
        <v>368</v>
      </c>
      <c r="E28" s="197">
        <f>'Prospective Project Calculation'!W2</f>
        <v>18000</v>
      </c>
      <c r="F28" s="197">
        <f>'Prospective Project Calculation'!R2</f>
        <v>853.07416666666666</v>
      </c>
      <c r="G28" s="197">
        <f>'Prospective Project Calculation'!O2</f>
        <v>250.50666666666666</v>
      </c>
      <c r="H28" s="197">
        <f>$L$36</f>
        <v>4924.875</v>
      </c>
      <c r="I28" s="197">
        <f>$L$43</f>
        <v>1262.1605733333336</v>
      </c>
      <c r="J28">
        <f>E28*MIN(4,(12-A28))*B28</f>
        <v>0</v>
      </c>
      <c r="K28">
        <f>(F28*(1+0.05)^(12-A28))*B28</f>
        <v>0</v>
      </c>
      <c r="L28">
        <f>(G28*(1+0.05)^(12-A28))*B28</f>
        <v>0</v>
      </c>
      <c r="M28">
        <f>H28*(12-A28)*B28</f>
        <v>0</v>
      </c>
      <c r="N28">
        <f>I28*(12-A28)*B28</f>
        <v>0</v>
      </c>
      <c r="O28" s="197">
        <f>SUM(J28:N28)</f>
        <v>0</v>
      </c>
      <c r="P28" s="198">
        <f>O28</f>
        <v>0</v>
      </c>
      <c r="Q28">
        <f>'Sys Admin'!G49</f>
        <v>4</v>
      </c>
    </row>
    <row r="29" spans="1:30">
      <c r="A29">
        <f>'Sys Admin'!H48</f>
        <v>2</v>
      </c>
      <c r="B29">
        <f>'Sys Admin'!N43</f>
        <v>0</v>
      </c>
      <c r="D29" t="s">
        <v>369</v>
      </c>
      <c r="E29" s="197">
        <f>'Prospective Project Calculation'!V2</f>
        <v>12500</v>
      </c>
      <c r="F29" s="197">
        <f>'Prospective Project Calculation'!Q2</f>
        <v>435.04333333333335</v>
      </c>
      <c r="G29" s="197">
        <f>'Prospective Project Calculation'!N2</f>
        <v>125.25333333333333</v>
      </c>
      <c r="H29" s="197">
        <f>$L$36</f>
        <v>4924.875</v>
      </c>
      <c r="I29" s="197">
        <f>$L$43</f>
        <v>1262.1605733333336</v>
      </c>
      <c r="J29">
        <f>E29*MIN(2,(12-A29))*B29</f>
        <v>0</v>
      </c>
      <c r="K29">
        <f>(F29*(1+0.05)^(12-A29))*B29</f>
        <v>0</v>
      </c>
      <c r="L29">
        <f>(G29*(1+0.05)^(12-A29))*B29</f>
        <v>0</v>
      </c>
      <c r="M29">
        <f>H29*(12-A29)*B29</f>
        <v>0</v>
      </c>
      <c r="N29">
        <f>I29*(12-A29)*B29</f>
        <v>0</v>
      </c>
      <c r="O29" s="197">
        <f>SUM(J29:N29)</f>
        <v>0</v>
      </c>
      <c r="P29" s="198">
        <f>O29</f>
        <v>0</v>
      </c>
      <c r="Q29">
        <f>'Sys Admin'!H49</f>
        <v>2</v>
      </c>
    </row>
    <row r="30" spans="1:30">
      <c r="J30" s="198">
        <f>SUM(J25:J29)</f>
        <v>0</v>
      </c>
      <c r="K30" s="198">
        <f>SUM(K25:K29)</f>
        <v>0</v>
      </c>
      <c r="L30" s="198">
        <f>SUM(L25:L29)</f>
        <v>0</v>
      </c>
      <c r="M30" s="198">
        <f>SUM(M25:M29)</f>
        <v>0</v>
      </c>
      <c r="N30" s="198">
        <f>SUM(N25:N29)</f>
        <v>0</v>
      </c>
    </row>
    <row r="31" spans="1:30">
      <c r="F31" t="s">
        <v>379</v>
      </c>
      <c r="G31" t="s">
        <v>380</v>
      </c>
      <c r="H31" t="s">
        <v>264</v>
      </c>
      <c r="T31" t="s">
        <v>8</v>
      </c>
      <c r="U31" t="s">
        <v>37</v>
      </c>
      <c r="V31" t="str">
        <f>T31&amp;U31</f>
        <v>ActiveHigh</v>
      </c>
      <c r="W31">
        <v>6</v>
      </c>
      <c r="X31" s="198">
        <f t="shared" ref="X31:Y33" si="8">F27</f>
        <v>2056.34</v>
      </c>
      <c r="Y31" s="198">
        <f t="shared" si="8"/>
        <v>375.76</v>
      </c>
    </row>
    <row r="32" spans="1:30" ht="15.75" thickBot="1">
      <c r="A32" t="s">
        <v>370</v>
      </c>
      <c r="D32" t="s">
        <v>341</v>
      </c>
      <c r="E32" t="s">
        <v>359</v>
      </c>
      <c r="F32" t="s">
        <v>46</v>
      </c>
      <c r="H32" t="s">
        <v>13</v>
      </c>
      <c r="T32" t="s">
        <v>8</v>
      </c>
      <c r="U32" t="s">
        <v>38</v>
      </c>
      <c r="V32" t="str">
        <f>T32&amp;U32</f>
        <v>ActiveMedium</v>
      </c>
      <c r="W32">
        <v>4</v>
      </c>
      <c r="X32" s="198">
        <f t="shared" si="8"/>
        <v>853.07416666666666</v>
      </c>
      <c r="Y32" s="198">
        <f t="shared" si="8"/>
        <v>250.50666666666666</v>
      </c>
    </row>
    <row r="33" spans="1:25">
      <c r="A33" t="str">
        <f>'Other Overhead C '!A17</f>
        <v>Platform DevOps (including testing, features)</v>
      </c>
      <c r="D33">
        <f>'Sys Admin'!N15</f>
        <v>0.75</v>
      </c>
      <c r="E33" s="105">
        <f>D33*'Rate Sheet'!B4*'Rate Sheet'!B10</f>
        <v>25050</v>
      </c>
      <c r="F33" s="105">
        <f>E33*12</f>
        <v>300600</v>
      </c>
      <c r="H33" s="60" t="s">
        <v>77</v>
      </c>
      <c r="I33" s="61" t="s">
        <v>80</v>
      </c>
      <c r="J33" s="61" t="s">
        <v>79</v>
      </c>
      <c r="K33" s="61" t="s">
        <v>113</v>
      </c>
      <c r="L33" s="62" t="s">
        <v>81</v>
      </c>
      <c r="N33" t="s">
        <v>386</v>
      </c>
      <c r="O33" t="s">
        <v>384</v>
      </c>
      <c r="P33" t="s">
        <v>385</v>
      </c>
      <c r="Q33" t="s">
        <v>359</v>
      </c>
      <c r="T33" t="s">
        <v>8</v>
      </c>
      <c r="U33" t="s">
        <v>39</v>
      </c>
      <c r="V33" t="str">
        <f>T33&amp;U33</f>
        <v>ActiveLow</v>
      </c>
      <c r="W33">
        <v>2</v>
      </c>
      <c r="X33" s="198">
        <f t="shared" si="8"/>
        <v>435.04333333333335</v>
      </c>
      <c r="Y33" s="198">
        <f t="shared" si="8"/>
        <v>125.25333333333333</v>
      </c>
    </row>
    <row r="34" spans="1:25">
      <c r="A34" t="str">
        <f>'Other Overhead C '!A18</f>
        <v>Standard Enablement,O&amp;M/Support</v>
      </c>
      <c r="D34">
        <f>'Sys Admin'!N16</f>
        <v>0.75</v>
      </c>
      <c r="E34" s="105">
        <f>D34*'Rate Sheet'!B5*'Rate Sheet'!B10</f>
        <v>18787.5</v>
      </c>
      <c r="F34" s="105">
        <f>E34*12</f>
        <v>225450</v>
      </c>
      <c r="H34" s="20" t="s">
        <v>262</v>
      </c>
      <c r="I34" s="59">
        <f>'Other Overhead C '!J7</f>
        <v>0.05</v>
      </c>
      <c r="J34" s="14">
        <f>$G$35*I34</f>
        <v>3693.65625</v>
      </c>
      <c r="K34" s="32">
        <f>'Sys Admin'!N6</f>
        <v>4</v>
      </c>
      <c r="L34" s="22">
        <f>J34/K34</f>
        <v>923.4140625</v>
      </c>
      <c r="N34" t="str">
        <f t="shared" ref="N34:N47" si="9">O34&amp;P34</f>
        <v>Planning/DiscoveryGold</v>
      </c>
      <c r="O34" t="s">
        <v>95</v>
      </c>
      <c r="P34" t="s">
        <v>223</v>
      </c>
      <c r="Q34" s="196">
        <f>'Enablement Services'!C61</f>
        <v>30000</v>
      </c>
    </row>
    <row r="35" spans="1:25">
      <c r="A35" t="s">
        <v>377</v>
      </c>
      <c r="E35" s="105">
        <f>'Other Overhead C '!F13</f>
        <v>244800</v>
      </c>
      <c r="F35" s="105">
        <f>SUM(F33:F34,E35)</f>
        <v>770850</v>
      </c>
      <c r="G35" s="105">
        <f>F35/12*(1+'Rate Sheet'!B8)</f>
        <v>73873.125</v>
      </c>
      <c r="H35" s="20" t="s">
        <v>36</v>
      </c>
      <c r="I35" s="59">
        <f>'Other Overhead C '!J8</f>
        <v>0.3</v>
      </c>
      <c r="J35" s="14">
        <f>$G$35*I35</f>
        <v>22161.9375</v>
      </c>
      <c r="K35" s="32">
        <f>'Sys Admin'!N8</f>
        <v>0</v>
      </c>
      <c r="L35" s="22">
        <f>IF(K35=0,1,J35/K35)</f>
        <v>1</v>
      </c>
      <c r="N35" t="str">
        <f t="shared" si="9"/>
        <v>Planning/DiscoverySilver</v>
      </c>
      <c r="O35" t="s">
        <v>95</v>
      </c>
      <c r="P35" t="s">
        <v>224</v>
      </c>
      <c r="Q35" s="196">
        <f>'Enablement Services'!C62</f>
        <v>18000</v>
      </c>
    </row>
    <row r="36" spans="1:25">
      <c r="A36" t="s">
        <v>378</v>
      </c>
      <c r="E36">
        <f>'Platform Cloud Costs'!G2*1.05</f>
        <v>14199.30645</v>
      </c>
      <c r="H36" s="20" t="s">
        <v>8</v>
      </c>
      <c r="I36" s="59">
        <f>'Other Overhead C '!J9</f>
        <v>0.6</v>
      </c>
      <c r="J36" s="14">
        <f>$G$35*I36</f>
        <v>44323.875</v>
      </c>
      <c r="K36" s="32">
        <f>'Sys Admin'!N10</f>
        <v>9</v>
      </c>
      <c r="L36" s="22">
        <f>J36/K36</f>
        <v>4924.875</v>
      </c>
      <c r="N36" t="str">
        <f t="shared" si="9"/>
        <v>Planning/DiscoveryBronze</v>
      </c>
      <c r="O36" t="s">
        <v>95</v>
      </c>
      <c r="P36" t="s">
        <v>225</v>
      </c>
      <c r="Q36" s="196">
        <f>'Enablement Services'!C63</f>
        <v>0</v>
      </c>
    </row>
    <row r="37" spans="1:25">
      <c r="H37" s="20" t="s">
        <v>96</v>
      </c>
      <c r="I37" s="59">
        <f>'Other Overhead C '!J10</f>
        <v>0.05</v>
      </c>
      <c r="J37" s="14">
        <f>$G$35*I37</f>
        <v>3693.65625</v>
      </c>
      <c r="K37" s="32">
        <f>'Sys Admin'!N12</f>
        <v>0</v>
      </c>
      <c r="L37" s="22">
        <f>IF(K37=0,1,J37/K37)</f>
        <v>1</v>
      </c>
      <c r="N37" t="str">
        <f t="shared" si="9"/>
        <v>Planning/DiscoveryNone</v>
      </c>
      <c r="O37" t="s">
        <v>95</v>
      </c>
      <c r="P37" t="s">
        <v>216</v>
      </c>
      <c r="Q37" s="196">
        <f>'Enablement Services'!C64</f>
        <v>0</v>
      </c>
    </row>
    <row r="38" spans="1:25">
      <c r="N38" t="str">
        <f t="shared" si="9"/>
        <v>OnboardingGold</v>
      </c>
      <c r="O38" t="s">
        <v>36</v>
      </c>
      <c r="P38" t="s">
        <v>223</v>
      </c>
      <c r="Q38" s="196">
        <f>'Enablement Services'!C65</f>
        <v>73000</v>
      </c>
    </row>
    <row r="39" spans="1:25" ht="15.75" thickBot="1">
      <c r="H39" t="s">
        <v>203</v>
      </c>
      <c r="N39" t="str">
        <f t="shared" si="9"/>
        <v>OnboardingSilver</v>
      </c>
      <c r="O39" t="s">
        <v>36</v>
      </c>
      <c r="P39" t="s">
        <v>224</v>
      </c>
      <c r="Q39" s="196">
        <f>'Enablement Services'!C66</f>
        <v>40000</v>
      </c>
    </row>
    <row r="40" spans="1:25">
      <c r="H40" s="60" t="s">
        <v>77</v>
      </c>
      <c r="I40" s="61" t="s">
        <v>80</v>
      </c>
      <c r="J40" s="61" t="s">
        <v>79</v>
      </c>
      <c r="K40" s="61" t="s">
        <v>113</v>
      </c>
      <c r="L40" s="62" t="s">
        <v>81</v>
      </c>
      <c r="N40" t="str">
        <f t="shared" si="9"/>
        <v>OnboardingBronze</v>
      </c>
      <c r="O40" t="s">
        <v>36</v>
      </c>
      <c r="P40" t="s">
        <v>225</v>
      </c>
      <c r="Q40" s="196">
        <f>'Enablement Services'!C67</f>
        <v>15000</v>
      </c>
    </row>
    <row r="41" spans="1:25">
      <c r="H41" s="20" t="s">
        <v>262</v>
      </c>
      <c r="I41" s="59">
        <f>'Platform Cloud Costs'!G7</f>
        <v>0.05</v>
      </c>
      <c r="J41" s="14">
        <f>$E$36*I41</f>
        <v>709.96532250000007</v>
      </c>
      <c r="K41" s="32">
        <f>'Sys Admin'!N6</f>
        <v>4</v>
      </c>
      <c r="L41" s="22">
        <f>J41/K41</f>
        <v>177.49133062500002</v>
      </c>
      <c r="N41" t="str">
        <f t="shared" si="9"/>
        <v>OnboardingNone</v>
      </c>
      <c r="O41" t="s">
        <v>36</v>
      </c>
      <c r="P41" t="s">
        <v>216</v>
      </c>
      <c r="Q41" s="196">
        <f>'Enablement Services'!C68</f>
        <v>0</v>
      </c>
    </row>
    <row r="42" spans="1:25">
      <c r="H42" s="20" t="s">
        <v>36</v>
      </c>
      <c r="I42" s="59">
        <f>'Platform Cloud Costs'!G8</f>
        <v>0.15</v>
      </c>
      <c r="J42" s="14">
        <f>$E$36*I42</f>
        <v>2129.8959675000001</v>
      </c>
      <c r="K42" s="32">
        <f>'Sys Admin'!N8</f>
        <v>0</v>
      </c>
      <c r="L42" s="22">
        <f>IF(K42=0,1,J42/K42)</f>
        <v>1</v>
      </c>
      <c r="N42" t="str">
        <f t="shared" si="9"/>
        <v>ActiveGold</v>
      </c>
      <c r="O42" t="s">
        <v>8</v>
      </c>
      <c r="P42" t="s">
        <v>223</v>
      </c>
      <c r="Q42" s="196">
        <f>'Enablement Services'!C69</f>
        <v>25000</v>
      </c>
    </row>
    <row r="43" spans="1:25">
      <c r="H43" s="20" t="s">
        <v>8</v>
      </c>
      <c r="I43" s="59">
        <f>'Platform Cloud Costs'!G9</f>
        <v>0.8</v>
      </c>
      <c r="J43" s="14">
        <f>$E$36*I43</f>
        <v>11359.445160000001</v>
      </c>
      <c r="K43" s="32">
        <f>'Sys Admin'!N10</f>
        <v>9</v>
      </c>
      <c r="L43" s="22">
        <f>J43/K43</f>
        <v>1262.1605733333336</v>
      </c>
      <c r="N43" t="str">
        <f t="shared" si="9"/>
        <v>ActiveSilver</v>
      </c>
      <c r="O43" t="s">
        <v>8</v>
      </c>
      <c r="P43" t="s">
        <v>224</v>
      </c>
      <c r="Q43" s="196">
        <f>'Enablement Services'!C70</f>
        <v>18000</v>
      </c>
    </row>
    <row r="44" spans="1:25">
      <c r="H44" s="20" t="s">
        <v>96</v>
      </c>
      <c r="I44" s="59">
        <f>'Platform Cloud Costs'!G10</f>
        <v>0.05</v>
      </c>
      <c r="J44" s="14">
        <f>$E$36*I44</f>
        <v>709.96532250000007</v>
      </c>
      <c r="K44" s="32">
        <f>'Sys Admin'!N12</f>
        <v>0</v>
      </c>
      <c r="L44" s="22">
        <f>IF(K44=0,1,J44/K44)</f>
        <v>1</v>
      </c>
      <c r="N44" t="str">
        <f t="shared" si="9"/>
        <v>ActiveBronze</v>
      </c>
      <c r="O44" t="s">
        <v>8</v>
      </c>
      <c r="P44" t="s">
        <v>225</v>
      </c>
      <c r="Q44" s="196">
        <f>'Enablement Services'!C71</f>
        <v>12500</v>
      </c>
    </row>
    <row r="45" spans="1:25">
      <c r="N45" t="str">
        <f t="shared" si="9"/>
        <v>ActiveNone</v>
      </c>
      <c r="O45" t="s">
        <v>8</v>
      </c>
      <c r="P45" t="s">
        <v>216</v>
      </c>
      <c r="Q45" s="196">
        <f>'Enablement Services'!C72</f>
        <v>0</v>
      </c>
    </row>
    <row r="46" spans="1:25">
      <c r="N46" t="str">
        <f t="shared" si="9"/>
        <v>ProspectiveNone</v>
      </c>
      <c r="O46" t="s">
        <v>78</v>
      </c>
      <c r="P46" t="s">
        <v>216</v>
      </c>
      <c r="Q46" s="15">
        <v>0</v>
      </c>
    </row>
    <row r="47" spans="1:25">
      <c r="B47" t="s">
        <v>388</v>
      </c>
      <c r="N47" t="str">
        <f t="shared" si="9"/>
        <v>Export/RetirementGold</v>
      </c>
      <c r="O47" t="s">
        <v>96</v>
      </c>
      <c r="P47" t="s">
        <v>223</v>
      </c>
      <c r="Q47">
        <v>0</v>
      </c>
    </row>
    <row r="48" spans="1:25">
      <c r="C48" t="s">
        <v>349</v>
      </c>
      <c r="D48" t="s">
        <v>391</v>
      </c>
      <c r="E48" t="s">
        <v>392</v>
      </c>
      <c r="F48" t="s">
        <v>393</v>
      </c>
      <c r="N48" t="str">
        <f>O48&amp;P48</f>
        <v>Export/RetirementSilver</v>
      </c>
      <c r="O48" t="s">
        <v>96</v>
      </c>
      <c r="P48" t="s">
        <v>224</v>
      </c>
      <c r="Q48">
        <v>0</v>
      </c>
    </row>
    <row r="49" spans="2:17">
      <c r="B49" t="s">
        <v>202</v>
      </c>
      <c r="C49" s="198">
        <f>J30</f>
        <v>0</v>
      </c>
      <c r="D49">
        <f>Y22</f>
        <v>0</v>
      </c>
      <c r="E49" s="198">
        <f>SUM(C49:D49)</f>
        <v>0</v>
      </c>
      <c r="N49" t="str">
        <f>O49&amp;P49</f>
        <v>Export/RetirementBronze</v>
      </c>
      <c r="O49" t="s">
        <v>96</v>
      </c>
      <c r="P49" t="s">
        <v>225</v>
      </c>
      <c r="Q49">
        <v>0</v>
      </c>
    </row>
    <row r="50" spans="2:17">
      <c r="B50" t="s">
        <v>289</v>
      </c>
      <c r="C50" s="198">
        <f>K30</f>
        <v>0</v>
      </c>
      <c r="D50">
        <f>Z22</f>
        <v>14969.304</v>
      </c>
      <c r="N50" t="str">
        <f>O50&amp;P50</f>
        <v>Export/RetirementNone</v>
      </c>
      <c r="O50" t="s">
        <v>96</v>
      </c>
      <c r="P50" t="s">
        <v>216</v>
      </c>
      <c r="Q50">
        <v>0</v>
      </c>
    </row>
    <row r="51" spans="2:17">
      <c r="B51" t="s">
        <v>389</v>
      </c>
      <c r="C51" s="198">
        <f>L30</f>
        <v>0</v>
      </c>
      <c r="D51">
        <f>AA22</f>
        <v>14969.304</v>
      </c>
      <c r="E51" s="198">
        <f>SUM(C50:D51)</f>
        <v>29938.608</v>
      </c>
    </row>
    <row r="52" spans="2:17">
      <c r="B52" t="s">
        <v>13</v>
      </c>
      <c r="C52" s="198">
        <f>M30</f>
        <v>0</v>
      </c>
      <c r="D52">
        <f>AB22</f>
        <v>539273.8125</v>
      </c>
      <c r="E52" s="198">
        <f>SUM(C52:D52)</f>
        <v>539273.8125</v>
      </c>
    </row>
    <row r="53" spans="2:17">
      <c r="B53" t="s">
        <v>390</v>
      </c>
      <c r="C53" s="198">
        <f>N30</f>
        <v>0</v>
      </c>
      <c r="D53">
        <f>AC22</f>
        <v>137733.27256499999</v>
      </c>
      <c r="E53" s="198">
        <f>SUM(C53:D53)</f>
        <v>137733.27256499999</v>
      </c>
    </row>
  </sheetData>
  <mergeCells count="5">
    <mergeCell ref="Z2:AC2"/>
    <mergeCell ref="A3:D3"/>
    <mergeCell ref="E3:I3"/>
    <mergeCell ref="J3:N3"/>
    <mergeCell ref="E23:I2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D53"/>
  <sheetViews>
    <sheetView workbookViewId="0">
      <selection activeCell="E23" sqref="E23:I23"/>
    </sheetView>
  </sheetViews>
  <sheetFormatPr defaultRowHeight="15"/>
  <cols>
    <col min="1" max="1" width="25.7109375" bestFit="1" customWidth="1"/>
    <col min="2" max="2" width="18.85546875" bestFit="1" customWidth="1"/>
    <col min="3" max="3" width="18.85546875" customWidth="1"/>
    <col min="4" max="4" width="18.42578125" bestFit="1" customWidth="1"/>
    <col min="5" max="5" width="16.28515625" bestFit="1" customWidth="1"/>
    <col min="6" max="6" width="16.85546875" bestFit="1" customWidth="1"/>
    <col min="7" max="7" width="12.85546875" bestFit="1" customWidth="1"/>
    <col min="8" max="8" width="15.140625" bestFit="1" customWidth="1"/>
    <col min="9" max="9" width="16.7109375" bestFit="1" customWidth="1"/>
    <col min="10" max="10" width="16.28515625" bestFit="1" customWidth="1"/>
    <col min="11" max="11" width="16.85546875" bestFit="1" customWidth="1"/>
    <col min="12" max="12" width="12.85546875" bestFit="1" customWidth="1"/>
    <col min="13" max="13" width="12.140625" bestFit="1" customWidth="1"/>
    <col min="14" max="14" width="29.7109375" customWidth="1"/>
    <col min="15" max="15" width="18.7109375" bestFit="1" customWidth="1"/>
    <col min="16" max="16" width="15.7109375" customWidth="1"/>
    <col min="17" max="17" width="26.85546875" bestFit="1" customWidth="1"/>
    <col min="18" max="18" width="23.28515625" customWidth="1"/>
    <col min="19" max="19" width="11.5703125" bestFit="1" customWidth="1"/>
    <col min="20" max="22" width="24.140625" customWidth="1"/>
    <col min="23" max="23" width="26.140625" customWidth="1"/>
    <col min="24" max="25" width="24.140625" customWidth="1"/>
    <col min="26" max="26" width="23.7109375" customWidth="1"/>
    <col min="27" max="27" width="18.85546875" customWidth="1"/>
    <col min="28" max="28" width="21.140625" customWidth="1"/>
    <col min="29" max="29" width="22.28515625" customWidth="1"/>
    <col min="30" max="30" width="12.5703125" bestFit="1" customWidth="1"/>
  </cols>
  <sheetData>
    <row r="1" spans="1:30">
      <c r="A1" t="s">
        <v>17</v>
      </c>
    </row>
    <row r="2" spans="1:30" ht="15.75" thickBot="1">
      <c r="T2" s="203"/>
      <c r="U2" s="203"/>
      <c r="V2" s="203"/>
      <c r="W2" s="203"/>
      <c r="X2" s="203"/>
      <c r="Y2" s="203"/>
      <c r="Z2" s="253" t="s">
        <v>376</v>
      </c>
      <c r="AA2" s="253"/>
      <c r="AB2" s="253"/>
      <c r="AC2" s="253"/>
    </row>
    <row r="3" spans="1:30">
      <c r="A3" s="255" t="str">
        <f>Inputs!A12</f>
        <v>Project Tables (Update Monthly from Dashboard)</v>
      </c>
      <c r="B3" s="256"/>
      <c r="C3" s="256"/>
      <c r="D3" s="257"/>
      <c r="E3" s="258" t="str">
        <f>Inputs!D12</f>
        <v>Previous Month</v>
      </c>
      <c r="F3" s="259"/>
      <c r="G3" s="259"/>
      <c r="H3" s="260"/>
      <c r="I3" s="261"/>
      <c r="J3" s="262" t="str">
        <f>Inputs!I12</f>
        <v>3-Month Rolling Average</v>
      </c>
      <c r="K3" s="259"/>
      <c r="L3" s="259"/>
      <c r="M3" s="259"/>
      <c r="N3" s="260"/>
      <c r="O3" s="123" t="str">
        <f>Inputs!N12</f>
        <v>Project Cost to Date</v>
      </c>
      <c r="P3" s="123" t="str">
        <f>Inputs!O12</f>
        <v>Number of current analysts</v>
      </c>
      <c r="Q3" s="123" t="str">
        <f>Inputs!P12</f>
        <v>Current Level of Enablement</v>
      </c>
      <c r="R3" s="123" t="str">
        <f>Inputs!Q12</f>
        <v>MoM Growth Rate in Costs</v>
      </c>
      <c r="S3" s="123" t="str">
        <f>Inputs!R12</f>
        <v xml:space="preserve">Annual Cost </v>
      </c>
      <c r="T3" t="s">
        <v>371</v>
      </c>
      <c r="U3" t="s">
        <v>381</v>
      </c>
      <c r="V3" t="s">
        <v>364</v>
      </c>
      <c r="W3" t="s">
        <v>383</v>
      </c>
      <c r="X3" t="s">
        <v>18</v>
      </c>
      <c r="Y3" t="s">
        <v>387</v>
      </c>
      <c r="Z3" t="s">
        <v>372</v>
      </c>
      <c r="AA3" t="s">
        <v>374</v>
      </c>
      <c r="AB3" t="s">
        <v>373</v>
      </c>
      <c r="AC3" t="s">
        <v>375</v>
      </c>
      <c r="AD3" t="s">
        <v>46</v>
      </c>
    </row>
    <row r="4" spans="1:30">
      <c r="A4" s="20" t="str">
        <f>Inputs!A13</f>
        <v>Project List</v>
      </c>
      <c r="B4" s="20" t="str">
        <f>Inputs!B13</f>
        <v>Remaining Duration</v>
      </c>
      <c r="C4" s="20" t="s">
        <v>382</v>
      </c>
      <c r="D4" s="20" t="str">
        <f>Inputs!C13</f>
        <v>Current Phase</v>
      </c>
      <c r="E4" s="20" t="str">
        <f>Inputs!D13</f>
        <v>Enablement Cost</v>
      </c>
      <c r="F4" s="20" t="str">
        <f>Inputs!E13</f>
        <v>Data Related Cost</v>
      </c>
      <c r="G4" s="20" t="str">
        <f>Inputs!F13</f>
        <v>Analysts Cost</v>
      </c>
      <c r="H4" s="20" t="str">
        <f>Inputs!G13</f>
        <v>Overhead Costs</v>
      </c>
      <c r="I4" s="20" t="str">
        <f>Inputs!H13</f>
        <v>Platform Services</v>
      </c>
      <c r="J4" s="20" t="str">
        <f>Inputs!I13</f>
        <v>Enablement Cost</v>
      </c>
      <c r="K4" s="20" t="str">
        <f>Inputs!J13</f>
        <v>Data Related Cost</v>
      </c>
      <c r="L4" s="20" t="str">
        <f>Inputs!K13</f>
        <v>Analysts Cost</v>
      </c>
      <c r="M4" s="20" t="str">
        <f>Inputs!L13</f>
        <v>Overhead</v>
      </c>
      <c r="N4" s="20" t="str">
        <f>Inputs!M13</f>
        <v>Plaftorm Services</v>
      </c>
      <c r="O4" s="20"/>
      <c r="P4" s="20"/>
      <c r="Q4" s="20"/>
      <c r="R4" s="20"/>
      <c r="S4" s="20"/>
    </row>
    <row r="5" spans="1:30">
      <c r="A5" s="20" t="str">
        <f>Inputs!A14</f>
        <v>CVP-NYC</v>
      </c>
      <c r="B5" s="20">
        <f>Inputs!B14</f>
        <v>12</v>
      </c>
      <c r="C5" s="20" t="s">
        <v>37</v>
      </c>
      <c r="D5" s="20" t="s">
        <v>95</v>
      </c>
      <c r="E5" s="188">
        <f>'Sys Admin Calculation Y2'!E5</f>
        <v>0</v>
      </c>
      <c r="F5" s="188">
        <f>'Sys Admin Calculation Y2'!F5*1.05</f>
        <v>0</v>
      </c>
      <c r="G5" s="188">
        <f>'Sys Admin Calculation Y2'!G5*1.05</f>
        <v>0</v>
      </c>
      <c r="H5" s="188">
        <f>'Sys Admin Calculation Y2'!H5</f>
        <v>923.4140625</v>
      </c>
      <c r="I5" s="188">
        <f>'Sys Admin Calculation Y2'!I5</f>
        <v>169.03936250000001</v>
      </c>
      <c r="J5" s="188">
        <f>Inputs!I14</f>
        <v>0</v>
      </c>
      <c r="K5" s="188">
        <f>Inputs!J14</f>
        <v>0</v>
      </c>
      <c r="L5" s="188">
        <f>Inputs!K14</f>
        <v>0</v>
      </c>
      <c r="M5" s="188">
        <f>Inputs!L14</f>
        <v>923.4140625</v>
      </c>
      <c r="N5" s="188">
        <f>Inputs!M14</f>
        <v>169.03936250000001</v>
      </c>
      <c r="O5" s="188">
        <f>Inputs!N14</f>
        <v>20000</v>
      </c>
      <c r="P5" s="188">
        <f>Inputs!O14</f>
        <v>5</v>
      </c>
      <c r="Q5" s="188" t="str">
        <f>Inputs!P14</f>
        <v>None</v>
      </c>
      <c r="R5" s="188">
        <f>Inputs!Q14</f>
        <v>0</v>
      </c>
      <c r="S5" s="188">
        <f>Inputs!R14</f>
        <v>13109.4411</v>
      </c>
      <c r="T5" s="189" t="str">
        <f>'Sys Admin'!R19</f>
        <v>None</v>
      </c>
      <c r="U5" s="189" t="str">
        <f>'Sys Admin'!T19</f>
        <v>Planning/Discovery</v>
      </c>
      <c r="V5" s="189">
        <f>'Sys Admin'!V19</f>
        <v>0</v>
      </c>
      <c r="W5" s="189">
        <f>VLOOKUP(U5&amp;T5,$N$33:$Q$50,4,FALSE)</f>
        <v>0</v>
      </c>
      <c r="X5" s="189">
        <f>IF(U5="Onboarding",1,IF(U5="Planning/Discovery",1,MIN((12-V5),VLOOKUP(U5&amp;C5,$V$31:$W$33,2))))</f>
        <v>1</v>
      </c>
      <c r="Y5" s="189">
        <f>W5*X5</f>
        <v>0</v>
      </c>
      <c r="Z5">
        <f>(IF(U5=D5,F5,IF(U5="Planning/Discovery",0,IF(U5="Onboarding",0,IF(U5="Export/Retirement",0,VLOOKUP(U5&amp;C5,$V$31:$X$33,3,FALSE))))))*(12-V5)</f>
        <v>0</v>
      </c>
      <c r="AA5">
        <f>(IF(U5=D5,F5,IF(U5="Planning/Discovery",0,IF(U5="Onboarding",0,IF(U5="Export/Retirement",0,VLOOKUP(U5&amp;C5,$V$31:$Y$33,4,FALSE))))))*(12-V5)</f>
        <v>0</v>
      </c>
      <c r="AB5">
        <f>IF(U5="Planning/Discovery",$L$34*2,IF(U5="Onboarding",$L$35*2,IF(U5="Active",$L$36*(12-V5),IF(U5="Export/Retirement",$L$37*1, 0))))</f>
        <v>1846.828125</v>
      </c>
      <c r="AC5">
        <f>IF(U5="Planning/Discovery",$L$41*2,IF(U5="Onboarding",$L$42*2,IF(U5="Active",$L$43*(12-V5),IF(U5="Export/Retirement",$L$44*2, 0))))</f>
        <v>354.98266125000004</v>
      </c>
      <c r="AD5" s="15">
        <f>SUM(Y5,Z5,AA5,AB5,AC5)</f>
        <v>2201.8107862500001</v>
      </c>
    </row>
    <row r="6" spans="1:30">
      <c r="A6" s="20" t="str">
        <f>Inputs!A15</f>
        <v>CVP-THEA</v>
      </c>
      <c r="B6" s="20">
        <f>Inputs!B15</f>
        <v>12</v>
      </c>
      <c r="C6" s="20" t="s">
        <v>38</v>
      </c>
      <c r="D6" s="20" t="str">
        <f>Inputs!C15</f>
        <v>Active</v>
      </c>
      <c r="E6" s="188">
        <f>'Sys Admin Calculation Y2'!E6</f>
        <v>0</v>
      </c>
      <c r="F6" s="188">
        <f>'Sys Admin Calculation Y2'!F6*1.05</f>
        <v>23.108400000000003</v>
      </c>
      <c r="G6" s="188">
        <f>'Sys Admin Calculation Y2'!G6*1.05</f>
        <v>0</v>
      </c>
      <c r="H6" s="188">
        <f>'Sys Admin Calculation Y2'!H6</f>
        <v>4924.875</v>
      </c>
      <c r="I6" s="188">
        <f>'Sys Admin Calculation Y2'!I6</f>
        <v>1202.0576888888891</v>
      </c>
      <c r="J6" s="188">
        <f>Inputs!I15</f>
        <v>0</v>
      </c>
      <c r="K6" s="188">
        <f>Inputs!J15</f>
        <v>477.21333333333337</v>
      </c>
      <c r="L6" s="188">
        <f>Inputs!K15</f>
        <v>0</v>
      </c>
      <c r="M6" s="188">
        <f>Inputs!L15</f>
        <v>4924.875</v>
      </c>
      <c r="N6" s="188">
        <f>Inputs!M15</f>
        <v>1202.0576888888891</v>
      </c>
      <c r="O6" s="188">
        <f>Inputs!N15</f>
        <v>0</v>
      </c>
      <c r="P6" s="188">
        <f>Inputs!O15</f>
        <v>5</v>
      </c>
      <c r="Q6" s="188" t="str">
        <f>Inputs!P15</f>
        <v>None</v>
      </c>
      <c r="R6" s="188">
        <f>Inputs!Q15</f>
        <v>0.04</v>
      </c>
      <c r="S6" s="188">
        <f>Inputs!R15</f>
        <v>73774.712266666669</v>
      </c>
      <c r="T6" s="189" t="str">
        <f>'Sys Admin'!R20</f>
        <v>None</v>
      </c>
      <c r="U6" s="189" t="str">
        <f>'Sys Admin'!T20</f>
        <v>Active</v>
      </c>
      <c r="V6" s="189">
        <f>'Sys Admin'!V20</f>
        <v>0</v>
      </c>
      <c r="W6" s="189">
        <f t="shared" ref="W6:W21" si="0">VLOOKUP(U6&amp;T6,$N$33:$Q$50,4,FALSE)</f>
        <v>0</v>
      </c>
      <c r="X6" s="189">
        <f t="shared" ref="X6:X21" si="1">IF(U6="Onboarding",1,IF(U6="Planning/Discovery",1,MIN((12-V6),VLOOKUP(U6&amp;C6,$V$31:$W$33,2))))</f>
        <v>4</v>
      </c>
      <c r="Y6" s="189">
        <f t="shared" ref="Y6:Y21" si="2">W6*X6</f>
        <v>0</v>
      </c>
      <c r="Z6">
        <f t="shared" ref="Z6:Z21" si="3">(IF(U6=D6,F6,IF(U6="Planning/Discovery",0,IF(U6="Onboarding",0,IF(U6="Export/Retirement",0,VLOOKUP(U6&amp;C6,$V$31:$X$33,3,FALSE))))))*(12-V6)</f>
        <v>277.30080000000004</v>
      </c>
      <c r="AA6">
        <f t="shared" ref="AA6:AA21" si="4">(IF(U6=D6,F6,IF(U6="Planning/Discovery",0,IF(U6="Onboarding",0,IF(U6="Export/Retirement",0,VLOOKUP(U6&amp;C6,$V$31:$Y$33,4,FALSE))))))*(12-V6)</f>
        <v>277.30080000000004</v>
      </c>
      <c r="AB6">
        <f t="shared" ref="AB6:AB21" si="5">IF(U6="Planning/Discovery",$L$34*2,IF(U6="Onboarding",$L$35*2,IF(U6="Active",$L$36*(12-V6),IF(U6="Export/Retirement",$L$37*1, 0))))</f>
        <v>59098.5</v>
      </c>
      <c r="AC6">
        <f t="shared" ref="AC6:AC21" si="6">IF(U6="Planning/Discovery",$L$41*2,IF(U6="Onboarding",$L$42*2,IF(U6="Active",$L$43*(12-V6),IF(U6="Export/Retirement",$L$44*2, 0))))</f>
        <v>15145.926880000003</v>
      </c>
      <c r="AD6" s="15">
        <f t="shared" ref="AD6:AD21" si="7">SUM(Y6,Z6,AA6,AB6,AC6)</f>
        <v>74799.028480000008</v>
      </c>
    </row>
    <row r="7" spans="1:30">
      <c r="A7" s="20" t="str">
        <f>Inputs!A16</f>
        <v>CVP-WYDOT</v>
      </c>
      <c r="B7" s="20">
        <f>Inputs!B16</f>
        <v>12</v>
      </c>
      <c r="C7" s="20" t="s">
        <v>37</v>
      </c>
      <c r="D7" s="20" t="str">
        <f>Inputs!C16</f>
        <v>Active</v>
      </c>
      <c r="E7" s="188">
        <f>'Sys Admin Calculation Y2'!E7</f>
        <v>0</v>
      </c>
      <c r="F7" s="188">
        <f>'Sys Admin Calculation Y2'!F7*1.05</f>
        <v>68.388075000000001</v>
      </c>
      <c r="G7" s="188">
        <f>'Sys Admin Calculation Y2'!G7*1.05</f>
        <v>0</v>
      </c>
      <c r="H7" s="188">
        <f>'Sys Admin Calculation Y2'!H7</f>
        <v>4924.875</v>
      </c>
      <c r="I7" s="188">
        <f>'Sys Admin Calculation Y2'!I7</f>
        <v>1202.0576888888891</v>
      </c>
      <c r="J7" s="188">
        <f>Inputs!I16</f>
        <v>0</v>
      </c>
      <c r="K7" s="188">
        <f>Inputs!J16</f>
        <v>49.360000000000007</v>
      </c>
      <c r="L7" s="188">
        <f>Inputs!K16</f>
        <v>0</v>
      </c>
      <c r="M7" s="188">
        <f>Inputs!L16</f>
        <v>4924.875</v>
      </c>
      <c r="N7" s="188">
        <f>Inputs!M16</f>
        <v>1202.0576888888891</v>
      </c>
      <c r="O7" s="188">
        <f>Inputs!N16</f>
        <v>0</v>
      </c>
      <c r="P7" s="188">
        <f>Inputs!O16</f>
        <v>8</v>
      </c>
      <c r="Q7" s="188" t="str">
        <f>Inputs!P16</f>
        <v>None</v>
      </c>
      <c r="R7" s="188">
        <f>Inputs!Q16</f>
        <v>0.04</v>
      </c>
      <c r="S7" s="188">
        <f>Inputs!R16</f>
        <v>74267.552266666666</v>
      </c>
      <c r="T7" s="189" t="str">
        <f>'Sys Admin'!R21</f>
        <v>None</v>
      </c>
      <c r="U7" s="189" t="str">
        <f>'Sys Admin'!T21</f>
        <v>Active</v>
      </c>
      <c r="V7" s="189">
        <f>'Sys Admin'!V21</f>
        <v>0</v>
      </c>
      <c r="W7" s="189">
        <f t="shared" si="0"/>
        <v>0</v>
      </c>
      <c r="X7" s="189">
        <f t="shared" si="1"/>
        <v>6</v>
      </c>
      <c r="Y7" s="189">
        <f t="shared" si="2"/>
        <v>0</v>
      </c>
      <c r="Z7">
        <f t="shared" si="3"/>
        <v>820.65689999999995</v>
      </c>
      <c r="AA7">
        <f t="shared" si="4"/>
        <v>820.65689999999995</v>
      </c>
      <c r="AB7">
        <f t="shared" si="5"/>
        <v>59098.5</v>
      </c>
      <c r="AC7">
        <f t="shared" si="6"/>
        <v>15145.926880000003</v>
      </c>
      <c r="AD7" s="15">
        <f t="shared" si="7"/>
        <v>75885.740680000003</v>
      </c>
    </row>
    <row r="8" spans="1:30">
      <c r="A8" s="20" t="str">
        <f>Inputs!A17</f>
        <v>CVP-Volpe-IE</v>
      </c>
      <c r="B8" s="20">
        <f>Inputs!B17</f>
        <v>12</v>
      </c>
      <c r="C8" s="20" t="s">
        <v>37</v>
      </c>
      <c r="D8" s="20" t="str">
        <f>Inputs!C17</f>
        <v>Active</v>
      </c>
      <c r="E8" s="188">
        <f>'Sys Admin Calculation Y2'!E8</f>
        <v>0</v>
      </c>
      <c r="F8" s="188">
        <f>'Sys Admin Calculation Y2'!F8*1.05</f>
        <v>0</v>
      </c>
      <c r="G8" s="188">
        <f>'Sys Admin Calculation Y2'!G8*1.05</f>
        <v>163.43460000000002</v>
      </c>
      <c r="H8" s="188">
        <f>'Sys Admin Calculation Y2'!H8</f>
        <v>4924.875</v>
      </c>
      <c r="I8" s="188">
        <f>'Sys Admin Calculation Y2'!I8</f>
        <v>1202.0576888888891</v>
      </c>
      <c r="J8" s="188">
        <f>Inputs!I17</f>
        <v>0</v>
      </c>
      <c r="K8" s="188">
        <f>Inputs!J17</f>
        <v>0</v>
      </c>
      <c r="L8" s="188">
        <f>Inputs!K17</f>
        <v>170.27333333333334</v>
      </c>
      <c r="M8" s="188">
        <f>Inputs!L17</f>
        <v>4924.875</v>
      </c>
      <c r="N8" s="188">
        <f>Inputs!M17</f>
        <v>1202.0576888888891</v>
      </c>
      <c r="O8" s="188">
        <f>Inputs!N17</f>
        <v>0</v>
      </c>
      <c r="P8" s="188">
        <f>Inputs!O17</f>
        <v>5</v>
      </c>
      <c r="Q8" s="188" t="str">
        <f>Inputs!P17</f>
        <v>None</v>
      </c>
      <c r="R8" s="188">
        <f>Inputs!Q17</f>
        <v>0.04</v>
      </c>
      <c r="S8" s="188">
        <f>Inputs!R17</f>
        <v>75302.07226666667</v>
      </c>
      <c r="T8" s="189" t="str">
        <f>'Sys Admin'!R22</f>
        <v>None</v>
      </c>
      <c r="U8" s="189" t="str">
        <f>'Sys Admin'!T22</f>
        <v>Active</v>
      </c>
      <c r="V8" s="189">
        <f>'Sys Admin'!V22</f>
        <v>0</v>
      </c>
      <c r="W8" s="189">
        <f t="shared" si="0"/>
        <v>0</v>
      </c>
      <c r="X8" s="189">
        <f t="shared" si="1"/>
        <v>6</v>
      </c>
      <c r="Y8" s="189">
        <f t="shared" si="2"/>
        <v>0</v>
      </c>
      <c r="Z8">
        <f t="shared" si="3"/>
        <v>0</v>
      </c>
      <c r="AA8">
        <f t="shared" si="4"/>
        <v>0</v>
      </c>
      <c r="AB8">
        <f t="shared" si="5"/>
        <v>59098.5</v>
      </c>
      <c r="AC8">
        <f t="shared" si="6"/>
        <v>15145.926880000003</v>
      </c>
      <c r="AD8" s="15">
        <f t="shared" si="7"/>
        <v>74244.426879999999</v>
      </c>
    </row>
    <row r="9" spans="1:30">
      <c r="A9" s="20" t="str">
        <f>Inputs!A18</f>
        <v>CVP-TTI-IE</v>
      </c>
      <c r="B9" s="20">
        <f>Inputs!B18</f>
        <v>12</v>
      </c>
      <c r="C9" s="20" t="s">
        <v>37</v>
      </c>
      <c r="D9" s="20" t="str">
        <f>Inputs!C18</f>
        <v>Active</v>
      </c>
      <c r="E9" s="188">
        <f>'Sys Admin Calculation Y2'!E9</f>
        <v>0</v>
      </c>
      <c r="F9" s="188">
        <f>'Sys Admin Calculation Y2'!F9*1.05</f>
        <v>0</v>
      </c>
      <c r="G9" s="188">
        <f>'Sys Admin Calculation Y2'!G9*1.05</f>
        <v>103.227075</v>
      </c>
      <c r="H9" s="188">
        <f>'Sys Admin Calculation Y2'!H9</f>
        <v>4924.875</v>
      </c>
      <c r="I9" s="188">
        <f>'Sys Admin Calculation Y2'!I9</f>
        <v>1202.0576888888891</v>
      </c>
      <c r="J9" s="188">
        <f>Inputs!I18</f>
        <v>0</v>
      </c>
      <c r="K9" s="188">
        <f>Inputs!J18</f>
        <v>0</v>
      </c>
      <c r="L9" s="188">
        <f>Inputs!K18</f>
        <v>95.11</v>
      </c>
      <c r="M9" s="188">
        <f>Inputs!L18</f>
        <v>4924.875</v>
      </c>
      <c r="N9" s="188">
        <f>Inputs!M18</f>
        <v>1202.0576888888891</v>
      </c>
      <c r="O9" s="188">
        <f>Inputs!N18</f>
        <v>0</v>
      </c>
      <c r="P9" s="188">
        <f>Inputs!O18</f>
        <v>10</v>
      </c>
      <c r="Q9" s="188" t="str">
        <f>Inputs!P18</f>
        <v>None</v>
      </c>
      <c r="R9" s="188">
        <f>Inputs!Q18</f>
        <v>0.04</v>
      </c>
      <c r="S9" s="188">
        <f>Inputs!R18</f>
        <v>74646.752266666677</v>
      </c>
      <c r="T9" s="189" t="str">
        <f>'Sys Admin'!R23</f>
        <v>None</v>
      </c>
      <c r="U9" s="189" t="str">
        <f>'Sys Admin'!T23</f>
        <v>Active</v>
      </c>
      <c r="V9" s="189">
        <f>'Sys Admin'!V23</f>
        <v>0</v>
      </c>
      <c r="W9" s="189">
        <f t="shared" si="0"/>
        <v>0</v>
      </c>
      <c r="X9" s="189">
        <f t="shared" si="1"/>
        <v>6</v>
      </c>
      <c r="Y9" s="189">
        <f t="shared" si="2"/>
        <v>0</v>
      </c>
      <c r="Z9">
        <f t="shared" si="3"/>
        <v>0</v>
      </c>
      <c r="AA9">
        <f t="shared" si="4"/>
        <v>0</v>
      </c>
      <c r="AB9">
        <f t="shared" si="5"/>
        <v>59098.5</v>
      </c>
      <c r="AC9">
        <f t="shared" si="6"/>
        <v>15145.926880000003</v>
      </c>
      <c r="AD9" s="15">
        <f t="shared" si="7"/>
        <v>74244.426879999999</v>
      </c>
    </row>
    <row r="10" spans="1:30">
      <c r="A10" s="20" t="str">
        <f>Inputs!A19</f>
        <v>CARMA3-FMCSA</v>
      </c>
      <c r="B10" s="20">
        <f>Inputs!B19</f>
        <v>12</v>
      </c>
      <c r="C10" s="20" t="s">
        <v>38</v>
      </c>
      <c r="D10" s="20" t="str">
        <f>Inputs!C19</f>
        <v>Planning/Discovery</v>
      </c>
      <c r="E10" s="188">
        <f>'Sys Admin Calculation Y2'!E10</f>
        <v>0</v>
      </c>
      <c r="F10" s="188">
        <f>'Sys Admin Calculation Y2'!F10*1.05</f>
        <v>0</v>
      </c>
      <c r="G10" s="188">
        <f>'Sys Admin Calculation Y2'!G10*1.05</f>
        <v>0</v>
      </c>
      <c r="H10" s="188">
        <f>'Sys Admin Calculation Y2'!H10</f>
        <v>923.4140625</v>
      </c>
      <c r="I10" s="188">
        <f>'Sys Admin Calculation Y2'!I10</f>
        <v>169.03936250000001</v>
      </c>
      <c r="J10" s="188">
        <f>Inputs!I19</f>
        <v>0</v>
      </c>
      <c r="K10" s="188">
        <f>Inputs!J19</f>
        <v>0</v>
      </c>
      <c r="L10" s="188">
        <f>Inputs!K19</f>
        <v>0</v>
      </c>
      <c r="M10" s="188">
        <f>Inputs!L19</f>
        <v>0</v>
      </c>
      <c r="N10" s="188">
        <f>Inputs!M19</f>
        <v>0</v>
      </c>
      <c r="O10" s="188">
        <f>Inputs!N19</f>
        <v>0</v>
      </c>
      <c r="P10" s="188">
        <f>Inputs!O19</f>
        <v>0</v>
      </c>
      <c r="Q10" s="188" t="str">
        <f>Inputs!P19</f>
        <v>None</v>
      </c>
      <c r="R10" s="188">
        <f>Inputs!Q19</f>
        <v>0</v>
      </c>
      <c r="S10" s="188">
        <f>Inputs!R19</f>
        <v>13109.4411</v>
      </c>
      <c r="T10" s="189" t="str">
        <f>'Sys Admin'!R24</f>
        <v>None</v>
      </c>
      <c r="U10" s="189" t="str">
        <f>'Sys Admin'!T24</f>
        <v>Planning/Discovery</v>
      </c>
      <c r="V10" s="189">
        <f>'Sys Admin'!V24</f>
        <v>0</v>
      </c>
      <c r="W10" s="189">
        <f t="shared" si="0"/>
        <v>0</v>
      </c>
      <c r="X10" s="189">
        <f t="shared" si="1"/>
        <v>1</v>
      </c>
      <c r="Y10" s="189">
        <f t="shared" si="2"/>
        <v>0</v>
      </c>
      <c r="Z10">
        <f t="shared" si="3"/>
        <v>0</v>
      </c>
      <c r="AA10">
        <f t="shared" si="4"/>
        <v>0</v>
      </c>
      <c r="AB10">
        <f t="shared" si="5"/>
        <v>1846.828125</v>
      </c>
      <c r="AC10">
        <f t="shared" si="6"/>
        <v>354.98266125000004</v>
      </c>
      <c r="AD10" s="15">
        <f t="shared" si="7"/>
        <v>2201.8107862500001</v>
      </c>
    </row>
    <row r="11" spans="1:30">
      <c r="A11" s="20" t="str">
        <f>Inputs!A20</f>
        <v>CARMA-FHWA</v>
      </c>
      <c r="B11" s="20">
        <f>Inputs!B20</f>
        <v>12</v>
      </c>
      <c r="C11" s="20" t="s">
        <v>38</v>
      </c>
      <c r="D11" s="20" t="str">
        <f>Inputs!C20</f>
        <v>Planning/Discovery</v>
      </c>
      <c r="E11" s="188">
        <f>'Sys Admin Calculation Y2'!E11</f>
        <v>0</v>
      </c>
      <c r="F11" s="188">
        <f>'Sys Admin Calculation Y2'!F11*1.05</f>
        <v>0</v>
      </c>
      <c r="G11" s="188">
        <f>'Sys Admin Calculation Y2'!G11*1.05</f>
        <v>0</v>
      </c>
      <c r="H11" s="188">
        <f>'Sys Admin Calculation Y2'!H11</f>
        <v>923.4140625</v>
      </c>
      <c r="I11" s="188">
        <f>'Sys Admin Calculation Y2'!I11</f>
        <v>169.03936250000001</v>
      </c>
      <c r="J11" s="188">
        <f>Inputs!I20</f>
        <v>0</v>
      </c>
      <c r="K11" s="188">
        <f>Inputs!J20</f>
        <v>0</v>
      </c>
      <c r="L11" s="188">
        <f>Inputs!K20</f>
        <v>0</v>
      </c>
      <c r="M11" s="188">
        <f>Inputs!L20</f>
        <v>923.4140625</v>
      </c>
      <c r="N11" s="188">
        <f>Inputs!M20</f>
        <v>169.03936250000001</v>
      </c>
      <c r="O11" s="188">
        <f>Inputs!N20</f>
        <v>0</v>
      </c>
      <c r="P11" s="188">
        <f>Inputs!O20</f>
        <v>0</v>
      </c>
      <c r="Q11" s="188" t="str">
        <f>Inputs!P20</f>
        <v>None</v>
      </c>
      <c r="R11" s="188">
        <f>Inputs!Q20</f>
        <v>0</v>
      </c>
      <c r="S11" s="188">
        <f>Inputs!R20</f>
        <v>13109.4411</v>
      </c>
      <c r="T11" s="189" t="str">
        <f>'Sys Admin'!R25</f>
        <v>None</v>
      </c>
      <c r="U11" s="189" t="str">
        <f>'Sys Admin'!T25</f>
        <v>Planning/Discovery</v>
      </c>
      <c r="V11" s="189">
        <f>'Sys Admin'!V25</f>
        <v>0</v>
      </c>
      <c r="W11" s="189">
        <f t="shared" si="0"/>
        <v>0</v>
      </c>
      <c r="X11" s="189">
        <f t="shared" si="1"/>
        <v>1</v>
      </c>
      <c r="Y11" s="189">
        <f t="shared" si="2"/>
        <v>0</v>
      </c>
      <c r="Z11">
        <f t="shared" si="3"/>
        <v>0</v>
      </c>
      <c r="AA11">
        <f t="shared" si="4"/>
        <v>0</v>
      </c>
      <c r="AB11">
        <f t="shared" si="5"/>
        <v>1846.828125</v>
      </c>
      <c r="AC11">
        <f t="shared" si="6"/>
        <v>354.98266125000004</v>
      </c>
      <c r="AD11" s="15">
        <f t="shared" si="7"/>
        <v>2201.8107862500001</v>
      </c>
    </row>
    <row r="12" spans="1:30">
      <c r="A12" s="20" t="str">
        <f>Inputs!A21</f>
        <v>FMI-ATRI</v>
      </c>
      <c r="B12" s="20">
        <f>Inputs!B21</f>
        <v>12</v>
      </c>
      <c r="C12" s="20" t="s">
        <v>37</v>
      </c>
      <c r="D12" s="20" t="str">
        <f>Inputs!C21</f>
        <v>Active</v>
      </c>
      <c r="E12" s="188">
        <f>'Sys Admin Calculation Y2'!E12</f>
        <v>0</v>
      </c>
      <c r="F12" s="188">
        <f>'Sys Admin Calculation Y2'!F12*1.05</f>
        <v>144.81337500000001</v>
      </c>
      <c r="G12" s="188">
        <f>'Sys Admin Calculation Y2'!G12*1.05</f>
        <v>0</v>
      </c>
      <c r="H12" s="188">
        <f>'Sys Admin Calculation Y2'!H12</f>
        <v>4924.875</v>
      </c>
      <c r="I12" s="188">
        <f>'Sys Admin Calculation Y2'!I12</f>
        <v>1202.0576888888891</v>
      </c>
      <c r="J12" s="188">
        <f>Inputs!I21</f>
        <v>0</v>
      </c>
      <c r="K12" s="188">
        <f>Inputs!J21</f>
        <v>187.05333333333331</v>
      </c>
      <c r="L12" s="188">
        <f>Inputs!K21</f>
        <v>0</v>
      </c>
      <c r="M12" s="188">
        <f>Inputs!L21</f>
        <v>4924.875</v>
      </c>
      <c r="N12" s="188">
        <f>Inputs!M21</f>
        <v>1202.0576888888891</v>
      </c>
      <c r="O12" s="188">
        <f>Inputs!N21</f>
        <v>0</v>
      </c>
      <c r="P12" s="188">
        <f>Inputs!O21</f>
        <v>5</v>
      </c>
      <c r="Q12" s="188" t="str">
        <f>Inputs!P21</f>
        <v>None</v>
      </c>
      <c r="R12" s="188">
        <f>Inputs!Q21</f>
        <v>0.04</v>
      </c>
      <c r="S12" s="188">
        <f>Inputs!R21</f>
        <v>75099.392266666677</v>
      </c>
      <c r="T12" s="189" t="str">
        <f>'Sys Admin'!R26</f>
        <v>None</v>
      </c>
      <c r="U12" s="189" t="str">
        <f>'Sys Admin'!T26</f>
        <v>Active</v>
      </c>
      <c r="V12" s="189">
        <f>'Sys Admin'!V26</f>
        <v>0</v>
      </c>
      <c r="W12" s="189">
        <f t="shared" si="0"/>
        <v>0</v>
      </c>
      <c r="X12" s="189">
        <f t="shared" si="1"/>
        <v>6</v>
      </c>
      <c r="Y12" s="189">
        <f t="shared" si="2"/>
        <v>0</v>
      </c>
      <c r="Z12">
        <f t="shared" si="3"/>
        <v>1737.7605000000001</v>
      </c>
      <c r="AA12">
        <f t="shared" si="4"/>
        <v>1737.7605000000001</v>
      </c>
      <c r="AB12">
        <f t="shared" si="5"/>
        <v>59098.5</v>
      </c>
      <c r="AC12">
        <f t="shared" si="6"/>
        <v>15145.926880000003</v>
      </c>
      <c r="AD12" s="15">
        <f t="shared" si="7"/>
        <v>77719.947880000007</v>
      </c>
    </row>
    <row r="13" spans="1:30">
      <c r="A13" s="20" t="str">
        <f>Inputs!A22</f>
        <v>FMI-BTS</v>
      </c>
      <c r="B13" s="20">
        <f>Inputs!B22</f>
        <v>12</v>
      </c>
      <c r="C13" s="20" t="s">
        <v>37</v>
      </c>
      <c r="D13" s="20" t="str">
        <f>Inputs!C22</f>
        <v>Active</v>
      </c>
      <c r="E13" s="188">
        <f>'Sys Admin Calculation Y2'!E13</f>
        <v>0</v>
      </c>
      <c r="F13" s="188">
        <f>'Sys Admin Calculation Y2'!F13*1.05</f>
        <v>0</v>
      </c>
      <c r="G13" s="188">
        <f>'Sys Admin Calculation Y2'!G13*1.05</f>
        <v>0</v>
      </c>
      <c r="H13" s="188">
        <f>'Sys Admin Calculation Y2'!H13</f>
        <v>4924.875</v>
      </c>
      <c r="I13" s="188">
        <f>'Sys Admin Calculation Y2'!I13</f>
        <v>1202.0576888888891</v>
      </c>
      <c r="J13" s="188">
        <f>Inputs!I22</f>
        <v>0</v>
      </c>
      <c r="K13" s="188">
        <f>Inputs!J22</f>
        <v>0</v>
      </c>
      <c r="L13" s="188">
        <f>Inputs!K22</f>
        <v>0</v>
      </c>
      <c r="M13" s="188">
        <f>Inputs!L22</f>
        <v>4924.875</v>
      </c>
      <c r="N13" s="188">
        <f>Inputs!M22</f>
        <v>1202.0576888888891</v>
      </c>
      <c r="O13" s="188">
        <f>Inputs!N22</f>
        <v>0</v>
      </c>
      <c r="P13" s="188">
        <f>Inputs!O22</f>
        <v>3</v>
      </c>
      <c r="Q13" s="188" t="str">
        <f>Inputs!P22</f>
        <v>None</v>
      </c>
      <c r="R13" s="188">
        <f>Inputs!Q22</f>
        <v>0.04</v>
      </c>
      <c r="S13" s="188">
        <f>Inputs!R22</f>
        <v>73523.192266666665</v>
      </c>
      <c r="T13" s="189" t="str">
        <f>'Sys Admin'!R27</f>
        <v>None</v>
      </c>
      <c r="U13" s="189" t="str">
        <f>'Sys Admin'!T27</f>
        <v>Active</v>
      </c>
      <c r="V13" s="189">
        <f>'Sys Admin'!V27</f>
        <v>0</v>
      </c>
      <c r="W13" s="189">
        <f t="shared" si="0"/>
        <v>0</v>
      </c>
      <c r="X13" s="189">
        <f t="shared" si="1"/>
        <v>6</v>
      </c>
      <c r="Y13" s="189">
        <f t="shared" si="2"/>
        <v>0</v>
      </c>
      <c r="Z13">
        <f t="shared" si="3"/>
        <v>0</v>
      </c>
      <c r="AA13">
        <f t="shared" si="4"/>
        <v>0</v>
      </c>
      <c r="AB13">
        <f t="shared" si="5"/>
        <v>59098.5</v>
      </c>
      <c r="AC13">
        <f t="shared" si="6"/>
        <v>15145.926880000003</v>
      </c>
      <c r="AD13" s="15">
        <f t="shared" si="7"/>
        <v>74244.426879999999</v>
      </c>
    </row>
    <row r="14" spans="1:30">
      <c r="A14" s="20" t="str">
        <f>Inputs!A23</f>
        <v>FTA-DA</v>
      </c>
      <c r="B14" s="20">
        <f>Inputs!B23</f>
        <v>12</v>
      </c>
      <c r="C14" s="20" t="s">
        <v>39</v>
      </c>
      <c r="D14" s="20" t="str">
        <f>Inputs!C23</f>
        <v>Active</v>
      </c>
      <c r="E14" s="188">
        <f>'Sys Admin Calculation Y2'!E14</f>
        <v>0</v>
      </c>
      <c r="F14" s="188">
        <f>'Sys Admin Calculation Y2'!F14*1.05</f>
        <v>0</v>
      </c>
      <c r="G14" s="188">
        <f>'Sys Admin Calculation Y2'!G14*1.05</f>
        <v>0</v>
      </c>
      <c r="H14" s="188">
        <f>'Sys Admin Calculation Y2'!H14</f>
        <v>4924.875</v>
      </c>
      <c r="I14" s="188">
        <f>'Sys Admin Calculation Y2'!I14</f>
        <v>1202.0576888888891</v>
      </c>
      <c r="J14" s="188">
        <f>Inputs!I23</f>
        <v>0</v>
      </c>
      <c r="K14" s="188">
        <f>Inputs!J23</f>
        <v>0</v>
      </c>
      <c r="L14" s="188">
        <f>Inputs!K23</f>
        <v>0</v>
      </c>
      <c r="M14" s="188">
        <f>Inputs!L23</f>
        <v>4924.875</v>
      </c>
      <c r="N14" s="188">
        <f>Inputs!M23</f>
        <v>1202.0576888888891</v>
      </c>
      <c r="O14" s="188">
        <f>Inputs!N23</f>
        <v>0</v>
      </c>
      <c r="P14" s="188">
        <f>Inputs!O23</f>
        <v>1</v>
      </c>
      <c r="Q14" s="188" t="str">
        <f>Inputs!P23</f>
        <v>None</v>
      </c>
      <c r="R14" s="188">
        <f>Inputs!Q23</f>
        <v>0.04</v>
      </c>
      <c r="S14" s="188">
        <f>Inputs!R23</f>
        <v>73523.192266666665</v>
      </c>
      <c r="T14" s="189" t="str">
        <f>'Sys Admin'!R28</f>
        <v>None</v>
      </c>
      <c r="U14" s="189" t="str">
        <f>'Sys Admin'!T28</f>
        <v>Active</v>
      </c>
      <c r="V14" s="189">
        <f>'Sys Admin'!V28</f>
        <v>0</v>
      </c>
      <c r="W14" s="189">
        <f t="shared" si="0"/>
        <v>0</v>
      </c>
      <c r="X14" s="189">
        <f t="shared" si="1"/>
        <v>6</v>
      </c>
      <c r="Y14" s="189">
        <f t="shared" si="2"/>
        <v>0</v>
      </c>
      <c r="Z14">
        <f t="shared" si="3"/>
        <v>0</v>
      </c>
      <c r="AA14">
        <f t="shared" si="4"/>
        <v>0</v>
      </c>
      <c r="AB14">
        <f t="shared" si="5"/>
        <v>59098.5</v>
      </c>
      <c r="AC14">
        <f t="shared" si="6"/>
        <v>15145.926880000003</v>
      </c>
      <c r="AD14" s="15">
        <f t="shared" si="7"/>
        <v>74244.426879999999</v>
      </c>
    </row>
    <row r="15" spans="1:30">
      <c r="A15" s="20" t="str">
        <f>Inputs!A24</f>
        <v>MOD 2.0</v>
      </c>
      <c r="B15" s="20">
        <f>Inputs!B24</f>
        <v>12</v>
      </c>
      <c r="C15" s="20" t="s">
        <v>39</v>
      </c>
      <c r="D15" s="20" t="str">
        <f>Inputs!C24</f>
        <v>Prospective</v>
      </c>
      <c r="E15" s="188">
        <f>'Sys Admin Calculation Y2'!E15</f>
        <v>0</v>
      </c>
      <c r="F15" s="188">
        <f>'Sys Admin Calculation Y2'!F15*1.05</f>
        <v>0</v>
      </c>
      <c r="G15" s="188">
        <f>'Sys Admin Calculation Y2'!G15*1.05</f>
        <v>0</v>
      </c>
      <c r="H15" s="188">
        <f>'Sys Admin Calculation Y2'!H15</f>
        <v>0</v>
      </c>
      <c r="I15" s="188">
        <f>'Sys Admin Calculation Y2'!I15</f>
        <v>0</v>
      </c>
      <c r="J15" s="188">
        <f>Inputs!I24</f>
        <v>0</v>
      </c>
      <c r="K15" s="188">
        <f>Inputs!J24</f>
        <v>0</v>
      </c>
      <c r="L15" s="188">
        <f>Inputs!K24</f>
        <v>0</v>
      </c>
      <c r="M15" s="188">
        <f>Inputs!L24</f>
        <v>0</v>
      </c>
      <c r="N15" s="188">
        <f>Inputs!M24</f>
        <v>0</v>
      </c>
      <c r="O15" s="188">
        <f>Inputs!N24</f>
        <v>0</v>
      </c>
      <c r="P15" s="188">
        <f>Inputs!O24</f>
        <v>0</v>
      </c>
      <c r="Q15" s="188" t="str">
        <f>Inputs!P24</f>
        <v>None</v>
      </c>
      <c r="R15" s="188">
        <f>Inputs!Q24</f>
        <v>0</v>
      </c>
      <c r="S15" s="188">
        <f>Inputs!R24</f>
        <v>0</v>
      </c>
      <c r="T15" s="189" t="str">
        <f>'Sys Admin'!R29</f>
        <v>None</v>
      </c>
      <c r="U15" s="189" t="str">
        <f>'Sys Admin'!T29</f>
        <v>Prospective</v>
      </c>
      <c r="V15" s="189">
        <f>'Sys Admin'!V29</f>
        <v>0</v>
      </c>
      <c r="W15" s="189">
        <f t="shared" si="0"/>
        <v>0</v>
      </c>
      <c r="X15" s="189">
        <f t="shared" si="1"/>
        <v>2</v>
      </c>
      <c r="Y15" s="189">
        <f t="shared" si="2"/>
        <v>0</v>
      </c>
      <c r="Z15">
        <f t="shared" si="3"/>
        <v>0</v>
      </c>
      <c r="AA15">
        <f t="shared" si="4"/>
        <v>0</v>
      </c>
      <c r="AB15">
        <f t="shared" si="5"/>
        <v>0</v>
      </c>
      <c r="AC15">
        <f t="shared" si="6"/>
        <v>0</v>
      </c>
      <c r="AD15" s="15">
        <f t="shared" si="7"/>
        <v>0</v>
      </c>
    </row>
    <row r="16" spans="1:30">
      <c r="A16" s="20" t="str">
        <f>Inputs!A25</f>
        <v xml:space="preserve">MPI </v>
      </c>
      <c r="B16" s="20">
        <f>Inputs!B25</f>
        <v>12</v>
      </c>
      <c r="C16" s="20" t="s">
        <v>39</v>
      </c>
      <c r="D16" s="20" t="str">
        <f>Inputs!C25</f>
        <v>Prospective</v>
      </c>
      <c r="E16" s="188">
        <f>'Sys Admin Calculation Y2'!E16</f>
        <v>0</v>
      </c>
      <c r="F16" s="188">
        <f>'Sys Admin Calculation Y2'!F16*1.05</f>
        <v>0</v>
      </c>
      <c r="G16" s="188">
        <f>'Sys Admin Calculation Y2'!G16*1.05</f>
        <v>0</v>
      </c>
      <c r="H16" s="188">
        <f>'Sys Admin Calculation Y2'!H16</f>
        <v>0</v>
      </c>
      <c r="I16" s="188">
        <f>'Sys Admin Calculation Y2'!I16</f>
        <v>0</v>
      </c>
      <c r="J16" s="188">
        <f>Inputs!I25</f>
        <v>0</v>
      </c>
      <c r="K16" s="188">
        <f>Inputs!J25</f>
        <v>0</v>
      </c>
      <c r="L16" s="188">
        <f>Inputs!K25</f>
        <v>0</v>
      </c>
      <c r="M16" s="188">
        <f>Inputs!L25</f>
        <v>0</v>
      </c>
      <c r="N16" s="188">
        <f>Inputs!M25</f>
        <v>0</v>
      </c>
      <c r="O16" s="188">
        <f>Inputs!N25</f>
        <v>0</v>
      </c>
      <c r="P16" s="188">
        <f>Inputs!O25</f>
        <v>0</v>
      </c>
      <c r="Q16" s="188" t="str">
        <f>Inputs!P25</f>
        <v>None</v>
      </c>
      <c r="R16" s="188">
        <f>Inputs!Q25</f>
        <v>0</v>
      </c>
      <c r="S16" s="188">
        <f>Inputs!R25</f>
        <v>0</v>
      </c>
      <c r="T16" s="189" t="str">
        <f>'Sys Admin'!R30</f>
        <v>None</v>
      </c>
      <c r="U16" s="189" t="str">
        <f>'Sys Admin'!T30</f>
        <v>Prospective</v>
      </c>
      <c r="V16" s="189">
        <f>'Sys Admin'!V30</f>
        <v>0</v>
      </c>
      <c r="W16" s="189">
        <f t="shared" si="0"/>
        <v>0</v>
      </c>
      <c r="X16" s="189">
        <f t="shared" si="1"/>
        <v>2</v>
      </c>
      <c r="Y16" s="189">
        <f t="shared" si="2"/>
        <v>0</v>
      </c>
      <c r="Z16">
        <f t="shared" si="3"/>
        <v>0</v>
      </c>
      <c r="AA16">
        <f t="shared" si="4"/>
        <v>0</v>
      </c>
      <c r="AB16">
        <f t="shared" si="5"/>
        <v>0</v>
      </c>
      <c r="AC16">
        <f t="shared" si="6"/>
        <v>0</v>
      </c>
      <c r="AD16" s="15">
        <f t="shared" si="7"/>
        <v>0</v>
      </c>
    </row>
    <row r="17" spans="1:30">
      <c r="A17" s="20" t="str">
        <f>Inputs!A26</f>
        <v>WAZE-WAZE</v>
      </c>
      <c r="B17" s="20">
        <f>Inputs!B26</f>
        <v>12</v>
      </c>
      <c r="C17" s="20" t="s">
        <v>37</v>
      </c>
      <c r="D17" s="20" t="str">
        <f>Inputs!C26</f>
        <v>Active</v>
      </c>
      <c r="E17" s="188">
        <f>'Sys Admin Calculation Y2'!E17</f>
        <v>0</v>
      </c>
      <c r="F17" s="188">
        <f>'Sys Admin Calculation Y2'!F17*1.05</f>
        <v>1073.5042500000002</v>
      </c>
      <c r="G17" s="188">
        <f>'Sys Admin Calculation Y2'!G17*1.05</f>
        <v>0</v>
      </c>
      <c r="H17" s="188">
        <f>'Sys Admin Calculation Y2'!H17</f>
        <v>4924.875</v>
      </c>
      <c r="I17" s="188">
        <f>'Sys Admin Calculation Y2'!I17</f>
        <v>1202.0576888888891</v>
      </c>
      <c r="J17" s="188">
        <f>Inputs!I26</f>
        <v>0</v>
      </c>
      <c r="K17" s="188">
        <f>Inputs!J26</f>
        <v>1109.17</v>
      </c>
      <c r="L17" s="188">
        <f>Inputs!K26</f>
        <v>0</v>
      </c>
      <c r="M17" s="188">
        <f>Inputs!L26</f>
        <v>4924.875</v>
      </c>
      <c r="N17" s="188">
        <f>Inputs!M26</f>
        <v>1202.0576888888891</v>
      </c>
      <c r="O17" s="188">
        <f>Inputs!N26</f>
        <v>0</v>
      </c>
      <c r="P17" s="188">
        <f>Inputs!O26</f>
        <v>3</v>
      </c>
      <c r="Q17" s="188" t="str">
        <f>Inputs!P26</f>
        <v>None</v>
      </c>
      <c r="R17" s="188">
        <f>Inputs!Q26</f>
        <v>0.04</v>
      </c>
      <c r="S17" s="188">
        <f>Inputs!R26</f>
        <v>85207.592266666674</v>
      </c>
      <c r="T17" s="189" t="str">
        <f>'Sys Admin'!R31</f>
        <v>None</v>
      </c>
      <c r="U17" s="189" t="str">
        <f>'Sys Admin'!T31</f>
        <v>Active</v>
      </c>
      <c r="V17" s="189">
        <f>'Sys Admin'!V31</f>
        <v>0</v>
      </c>
      <c r="W17" s="189">
        <f t="shared" si="0"/>
        <v>0</v>
      </c>
      <c r="X17" s="189">
        <f t="shared" si="1"/>
        <v>6</v>
      </c>
      <c r="Y17" s="189">
        <f t="shared" si="2"/>
        <v>0</v>
      </c>
      <c r="Z17">
        <f t="shared" si="3"/>
        <v>12882.051000000003</v>
      </c>
      <c r="AA17">
        <f t="shared" si="4"/>
        <v>12882.051000000003</v>
      </c>
      <c r="AB17">
        <f t="shared" si="5"/>
        <v>59098.5</v>
      </c>
      <c r="AC17">
        <f t="shared" si="6"/>
        <v>15145.926880000003</v>
      </c>
      <c r="AD17" s="15">
        <f t="shared" si="7"/>
        <v>100008.52888000001</v>
      </c>
    </row>
    <row r="18" spans="1:30">
      <c r="A18" s="20" t="str">
        <f>Inputs!A27</f>
        <v>WAZE-SDI</v>
      </c>
      <c r="B18" s="20">
        <f>Inputs!B27</f>
        <v>12</v>
      </c>
      <c r="C18" s="20" t="s">
        <v>37</v>
      </c>
      <c r="D18" s="20" t="str">
        <f>Inputs!C27</f>
        <v>Active</v>
      </c>
      <c r="E18" s="188">
        <f>'Sys Admin Calculation Y2'!E18</f>
        <v>0</v>
      </c>
      <c r="F18" s="188">
        <f>'Sys Admin Calculation Y2'!F18*1.05</f>
        <v>0</v>
      </c>
      <c r="G18" s="188">
        <f>'Sys Admin Calculation Y2'!G18*1.05</f>
        <v>389.72272500000003</v>
      </c>
      <c r="H18" s="188">
        <f>'Sys Admin Calculation Y2'!H18</f>
        <v>4924.875</v>
      </c>
      <c r="I18" s="188">
        <f>'Sys Admin Calculation Y2'!I18</f>
        <v>1202.0576888888891</v>
      </c>
      <c r="J18" s="188">
        <f>Inputs!I27</f>
        <v>0</v>
      </c>
      <c r="K18" s="188">
        <f>Inputs!J27</f>
        <v>0</v>
      </c>
      <c r="L18" s="188">
        <f>Inputs!K27</f>
        <v>449.72333333333336</v>
      </c>
      <c r="M18" s="188">
        <f>Inputs!L27</f>
        <v>4924.875</v>
      </c>
      <c r="N18" s="188">
        <f>Inputs!M27</f>
        <v>1202.0576888888891</v>
      </c>
      <c r="O18" s="188">
        <f>Inputs!N27</f>
        <v>0</v>
      </c>
      <c r="P18" s="188">
        <f>Inputs!O27</f>
        <v>0</v>
      </c>
      <c r="Q18" s="188" t="str">
        <f>Inputs!P27</f>
        <v>None</v>
      </c>
      <c r="R18" s="188">
        <f>Inputs!Q27</f>
        <v>0.04</v>
      </c>
      <c r="S18" s="188">
        <f>Inputs!R27</f>
        <v>77765.07226666667</v>
      </c>
      <c r="T18" s="189" t="str">
        <f>'Sys Admin'!R32</f>
        <v>None</v>
      </c>
      <c r="U18" s="189" t="str">
        <f>'Sys Admin'!T32</f>
        <v>Active</v>
      </c>
      <c r="V18" s="189">
        <f>'Sys Admin'!V32</f>
        <v>0</v>
      </c>
      <c r="W18" s="189">
        <f t="shared" si="0"/>
        <v>0</v>
      </c>
      <c r="X18" s="189">
        <f t="shared" si="1"/>
        <v>6</v>
      </c>
      <c r="Y18" s="189">
        <f t="shared" si="2"/>
        <v>0</v>
      </c>
      <c r="Z18">
        <f t="shared" si="3"/>
        <v>0</v>
      </c>
      <c r="AA18">
        <f t="shared" si="4"/>
        <v>0</v>
      </c>
      <c r="AB18">
        <f t="shared" si="5"/>
        <v>59098.5</v>
      </c>
      <c r="AC18">
        <f t="shared" si="6"/>
        <v>15145.926880000003</v>
      </c>
      <c r="AD18" s="15">
        <f t="shared" si="7"/>
        <v>74244.426879999999</v>
      </c>
    </row>
    <row r="19" spans="1:30">
      <c r="A19" s="20" t="str">
        <f>Inputs!A28</f>
        <v>Smart Columbus Evaluation</v>
      </c>
      <c r="B19" s="20">
        <f>Inputs!B28</f>
        <v>12</v>
      </c>
      <c r="C19" s="20" t="s">
        <v>39</v>
      </c>
      <c r="D19" s="20" t="str">
        <f>Inputs!C28</f>
        <v>Planning/Discovery</v>
      </c>
      <c r="E19" s="188">
        <f>'Sys Admin Calculation Y2'!E19</f>
        <v>0</v>
      </c>
      <c r="F19" s="188">
        <f>'Sys Admin Calculation Y2'!F19*1.05</f>
        <v>0</v>
      </c>
      <c r="G19" s="188">
        <f>'Sys Admin Calculation Y2'!G19*1.05</f>
        <v>0</v>
      </c>
      <c r="H19" s="188">
        <f>'Sys Admin Calculation Y2'!H19</f>
        <v>923.4140625</v>
      </c>
      <c r="I19" s="188">
        <f>'Sys Admin Calculation Y2'!I19</f>
        <v>169.03936250000001</v>
      </c>
      <c r="J19" s="188">
        <f>Inputs!I28</f>
        <v>0</v>
      </c>
      <c r="K19" s="188">
        <f>Inputs!J28</f>
        <v>0</v>
      </c>
      <c r="L19" s="188">
        <f>Inputs!K28</f>
        <v>0</v>
      </c>
      <c r="M19" s="188">
        <f>Inputs!L28</f>
        <v>0</v>
      </c>
      <c r="N19" s="188">
        <f>Inputs!M28</f>
        <v>0</v>
      </c>
      <c r="O19" s="188">
        <f>Inputs!N28</f>
        <v>0</v>
      </c>
      <c r="P19" s="188">
        <f>Inputs!O28</f>
        <v>0</v>
      </c>
      <c r="Q19" s="188" t="str">
        <f>Inputs!P28</f>
        <v>None</v>
      </c>
      <c r="R19" s="188">
        <f>Inputs!Q28</f>
        <v>0</v>
      </c>
      <c r="S19" s="188">
        <f>Inputs!R28</f>
        <v>13109.4411</v>
      </c>
      <c r="T19" s="189" t="str">
        <f>'Sys Admin'!R33</f>
        <v>None</v>
      </c>
      <c r="U19" s="189" t="str">
        <f>'Sys Admin'!T33</f>
        <v>Planning/Discovery</v>
      </c>
      <c r="V19" s="189">
        <f>'Sys Admin'!V33</f>
        <v>0</v>
      </c>
      <c r="W19" s="189">
        <f t="shared" si="0"/>
        <v>0</v>
      </c>
      <c r="X19" s="189">
        <f t="shared" si="1"/>
        <v>1</v>
      </c>
      <c r="Y19" s="189">
        <f t="shared" si="2"/>
        <v>0</v>
      </c>
      <c r="Z19">
        <f t="shared" si="3"/>
        <v>0</v>
      </c>
      <c r="AA19">
        <f t="shared" si="4"/>
        <v>0</v>
      </c>
      <c r="AB19">
        <f t="shared" si="5"/>
        <v>1846.828125</v>
      </c>
      <c r="AC19">
        <f t="shared" si="6"/>
        <v>354.98266125000004</v>
      </c>
      <c r="AD19" s="15">
        <f t="shared" si="7"/>
        <v>2201.8107862500001</v>
      </c>
    </row>
    <row r="20" spans="1:30">
      <c r="A20" s="20" t="str">
        <f>Inputs!A29</f>
        <v>STAR</v>
      </c>
      <c r="B20" s="20">
        <f>Inputs!B29</f>
        <v>12</v>
      </c>
      <c r="C20" s="20" t="s">
        <v>39</v>
      </c>
      <c r="D20" s="20" t="str">
        <f>Inputs!C29</f>
        <v>Prospective</v>
      </c>
      <c r="E20" s="188">
        <f>'Sys Admin Calculation Y2'!E20</f>
        <v>0</v>
      </c>
      <c r="F20" s="188">
        <f>'Sys Admin Calculation Y2'!F20*1.05</f>
        <v>0</v>
      </c>
      <c r="G20" s="188">
        <f>'Sys Admin Calculation Y2'!G20*1.05</f>
        <v>0</v>
      </c>
      <c r="H20" s="188">
        <f>'Sys Admin Calculation Y2'!H20</f>
        <v>0</v>
      </c>
      <c r="I20" s="188">
        <f>'Sys Admin Calculation Y2'!I20</f>
        <v>0</v>
      </c>
      <c r="J20" s="188">
        <f>Inputs!I29</f>
        <v>0</v>
      </c>
      <c r="K20" s="188">
        <f>Inputs!J29</f>
        <v>0</v>
      </c>
      <c r="L20" s="188">
        <f>Inputs!K29</f>
        <v>0</v>
      </c>
      <c r="M20" s="188">
        <f>Inputs!L29</f>
        <v>0</v>
      </c>
      <c r="N20" s="188">
        <f>Inputs!M29</f>
        <v>0</v>
      </c>
      <c r="O20" s="188">
        <f>Inputs!N29</f>
        <v>0</v>
      </c>
      <c r="P20" s="188">
        <f>Inputs!O29</f>
        <v>0</v>
      </c>
      <c r="Q20" s="188" t="str">
        <f>Inputs!P29</f>
        <v>None</v>
      </c>
      <c r="R20" s="188">
        <f>Inputs!Q29</f>
        <v>0</v>
      </c>
      <c r="S20" s="188">
        <f>Inputs!R29</f>
        <v>0</v>
      </c>
      <c r="T20" s="189" t="str">
        <f>'Sys Admin'!R34</f>
        <v>None</v>
      </c>
      <c r="U20" s="189" t="str">
        <f>'Sys Admin'!T34</f>
        <v>Prospective</v>
      </c>
      <c r="V20" s="189">
        <f>'Sys Admin'!V34</f>
        <v>0</v>
      </c>
      <c r="W20" s="189">
        <f t="shared" si="0"/>
        <v>0</v>
      </c>
      <c r="X20" s="189">
        <f t="shared" si="1"/>
        <v>2</v>
      </c>
      <c r="Y20" s="189">
        <f t="shared" si="2"/>
        <v>0</v>
      </c>
      <c r="Z20">
        <f t="shared" si="3"/>
        <v>0</v>
      </c>
      <c r="AA20">
        <f t="shared" si="4"/>
        <v>0</v>
      </c>
      <c r="AB20">
        <f t="shared" si="5"/>
        <v>0</v>
      </c>
      <c r="AC20">
        <f t="shared" si="6"/>
        <v>0</v>
      </c>
      <c r="AD20" s="15">
        <f t="shared" si="7"/>
        <v>0</v>
      </c>
    </row>
    <row r="21" spans="1:30">
      <c r="A21" s="20" t="str">
        <f>Inputs!A30</f>
        <v>T-PLAT</v>
      </c>
      <c r="B21" s="20">
        <f>Inputs!B30</f>
        <v>12</v>
      </c>
      <c r="C21" s="20" t="s">
        <v>39</v>
      </c>
      <c r="D21" s="20" t="str">
        <f>Inputs!C30</f>
        <v>Prospective</v>
      </c>
      <c r="E21" s="188">
        <f>'Sys Admin Calculation Y2'!E21</f>
        <v>0</v>
      </c>
      <c r="F21" s="188">
        <f>'Sys Admin Calculation Y2'!F21*1.05</f>
        <v>0</v>
      </c>
      <c r="G21" s="188">
        <f>'Sys Admin Calculation Y2'!G21*1.05</f>
        <v>0</v>
      </c>
      <c r="H21" s="188">
        <f>'Sys Admin Calculation Y2'!H21</f>
        <v>0</v>
      </c>
      <c r="I21" s="188">
        <f>'Sys Admin Calculation Y2'!I21</f>
        <v>0</v>
      </c>
      <c r="J21" s="188">
        <f>Inputs!I30</f>
        <v>0</v>
      </c>
      <c r="K21" s="188">
        <f>Inputs!J30</f>
        <v>0</v>
      </c>
      <c r="L21" s="188">
        <f>Inputs!K30</f>
        <v>0</v>
      </c>
      <c r="M21" s="188">
        <f>Inputs!L30</f>
        <v>0</v>
      </c>
      <c r="N21" s="188">
        <f>Inputs!M30</f>
        <v>0</v>
      </c>
      <c r="O21" s="188">
        <f>Inputs!N30</f>
        <v>0</v>
      </c>
      <c r="P21" s="188">
        <f>Inputs!O30</f>
        <v>0</v>
      </c>
      <c r="Q21" s="188" t="str">
        <f>Inputs!P30</f>
        <v>None</v>
      </c>
      <c r="R21" s="188">
        <f>Inputs!Q30</f>
        <v>0</v>
      </c>
      <c r="S21" s="188">
        <f>Inputs!R30</f>
        <v>0</v>
      </c>
      <c r="T21" s="189" t="str">
        <f>'Sys Admin'!R35</f>
        <v>None</v>
      </c>
      <c r="U21" s="189" t="str">
        <f>'Sys Admin'!T35</f>
        <v>Prospective</v>
      </c>
      <c r="V21" s="189">
        <f>'Sys Admin'!V35</f>
        <v>0</v>
      </c>
      <c r="W21" s="189">
        <f t="shared" si="0"/>
        <v>0</v>
      </c>
      <c r="X21" s="189">
        <f t="shared" si="1"/>
        <v>2</v>
      </c>
      <c r="Y21" s="189">
        <f t="shared" si="2"/>
        <v>0</v>
      </c>
      <c r="Z21">
        <f t="shared" si="3"/>
        <v>0</v>
      </c>
      <c r="AA21">
        <f t="shared" si="4"/>
        <v>0</v>
      </c>
      <c r="AB21">
        <f t="shared" si="5"/>
        <v>0</v>
      </c>
      <c r="AC21">
        <f t="shared" si="6"/>
        <v>0</v>
      </c>
      <c r="AD21" s="15">
        <f t="shared" si="7"/>
        <v>0</v>
      </c>
    </row>
    <row r="22" spans="1:30">
      <c r="W22" s="189"/>
      <c r="Y22" s="189">
        <f>SUM(Y5:Y21)</f>
        <v>0</v>
      </c>
      <c r="Z22" s="189">
        <f>SUM(Z5:Z21)</f>
        <v>15717.769200000002</v>
      </c>
      <c r="AA22" s="189">
        <f>SUM(AA5:AA21)</f>
        <v>15717.769200000002</v>
      </c>
      <c r="AB22" s="189">
        <f>SUM(AB5:AB21)</f>
        <v>539273.8125</v>
      </c>
      <c r="AC22" s="189">
        <f>SUM(AC5:AC21)</f>
        <v>137733.27256499999</v>
      </c>
    </row>
    <row r="23" spans="1:30">
      <c r="E23" s="253" t="s">
        <v>79</v>
      </c>
      <c r="F23" s="253"/>
      <c r="G23" s="253"/>
      <c r="H23" s="253"/>
      <c r="I23" s="253"/>
    </row>
    <row r="24" spans="1:30">
      <c r="A24" t="s">
        <v>364</v>
      </c>
      <c r="B24" t="s">
        <v>349</v>
      </c>
      <c r="E24" t="str">
        <f>E4</f>
        <v>Enablement Cost</v>
      </c>
      <c r="F24" t="str">
        <f>F4</f>
        <v>Data Related Cost</v>
      </c>
      <c r="G24" t="str">
        <f>G4</f>
        <v>Analysts Cost</v>
      </c>
      <c r="H24" t="str">
        <f>H4</f>
        <v>Overhead Costs</v>
      </c>
      <c r="I24" t="str">
        <f>I4</f>
        <v>Platform Services</v>
      </c>
      <c r="J24" t="s">
        <v>394</v>
      </c>
      <c r="K24" t="s">
        <v>395</v>
      </c>
      <c r="L24" t="s">
        <v>396</v>
      </c>
      <c r="M24" t="s">
        <v>13</v>
      </c>
      <c r="N24" t="s">
        <v>203</v>
      </c>
      <c r="O24" t="s">
        <v>46</v>
      </c>
      <c r="P24" t="s">
        <v>366</v>
      </c>
      <c r="Q24" t="s">
        <v>313</v>
      </c>
      <c r="R24" t="s">
        <v>202</v>
      </c>
      <c r="S24" t="s">
        <v>223</v>
      </c>
      <c r="T24" t="s">
        <v>224</v>
      </c>
      <c r="U24" t="s">
        <v>225</v>
      </c>
      <c r="V24" t="s">
        <v>216</v>
      </c>
    </row>
    <row r="25" spans="1:30">
      <c r="A25">
        <f>'Sys Admin'!E38</f>
        <v>0</v>
      </c>
      <c r="B25">
        <f>'Sys Admin'!F38</f>
        <v>0</v>
      </c>
      <c r="D25" t="s">
        <v>95</v>
      </c>
      <c r="E25" s="197">
        <f>'Enablement Services'!E22</f>
        <v>18000</v>
      </c>
      <c r="F25" s="197">
        <v>0</v>
      </c>
      <c r="G25" s="197">
        <v>0</v>
      </c>
      <c r="H25" s="197">
        <f>L34</f>
        <v>923.4140625</v>
      </c>
      <c r="I25" s="197">
        <f>L41</f>
        <v>177.49133062500002</v>
      </c>
      <c r="J25" s="198">
        <f>B25*Q25*E25</f>
        <v>0</v>
      </c>
      <c r="K25">
        <f>F25*B25*(12-A25)</f>
        <v>0</v>
      </c>
      <c r="L25">
        <f>G25*B25*(12-A25)</f>
        <v>0</v>
      </c>
      <c r="M25" s="105">
        <f>H25*Q25*B25</f>
        <v>0</v>
      </c>
      <c r="N25" s="105">
        <f>I25*B25*Q25</f>
        <v>0</v>
      </c>
      <c r="O25" s="197">
        <f>SUM(J25:N25)</f>
        <v>0</v>
      </c>
      <c r="P25" s="198">
        <f>O25</f>
        <v>0</v>
      </c>
      <c r="Q25">
        <v>1</v>
      </c>
      <c r="R25" t="s">
        <v>95</v>
      </c>
      <c r="S25" s="198"/>
    </row>
    <row r="26" spans="1:30">
      <c r="A26">
        <f>'Sys Admin'!E39</f>
        <v>0</v>
      </c>
      <c r="B26">
        <f>'Sys Admin'!F39</f>
        <v>0</v>
      </c>
      <c r="D26" t="s">
        <v>36</v>
      </c>
      <c r="E26" s="197">
        <f>'Enablement Services'!E23+'Enablement Services'!E24</f>
        <v>40000</v>
      </c>
      <c r="F26" s="197">
        <v>0</v>
      </c>
      <c r="G26" s="197">
        <v>0</v>
      </c>
      <c r="H26" s="197">
        <f>L35</f>
        <v>1</v>
      </c>
      <c r="I26" s="197">
        <f>L42</f>
        <v>1</v>
      </c>
      <c r="J26" s="198">
        <f>B26*Q26*E26</f>
        <v>0</v>
      </c>
      <c r="K26">
        <f>F26*B26*(12-A26)</f>
        <v>0</v>
      </c>
      <c r="L26">
        <f>G26*B26*(12-A26)</f>
        <v>0</v>
      </c>
      <c r="M26" s="105">
        <f>H26*Q26*B26</f>
        <v>0</v>
      </c>
      <c r="N26" s="105">
        <f>I26*B26*Q26</f>
        <v>0</v>
      </c>
      <c r="O26" s="197">
        <f>E26*Q26+F26+G26+H26+I26</f>
        <v>40002</v>
      </c>
      <c r="P26">
        <f>'Sys Admin Calculation Y3'!O26*B26</f>
        <v>0</v>
      </c>
      <c r="Q26">
        <v>1</v>
      </c>
      <c r="R26" t="s">
        <v>36</v>
      </c>
      <c r="S26" s="198"/>
      <c r="V26" s="199">
        <v>5000</v>
      </c>
    </row>
    <row r="27" spans="1:30">
      <c r="A27">
        <f>'Sys Admin'!R48</f>
        <v>4</v>
      </c>
      <c r="B27">
        <f>'Sys Admin'!R43</f>
        <v>0</v>
      </c>
      <c r="D27" t="s">
        <v>367</v>
      </c>
      <c r="E27" s="197">
        <f>'Prospective Project Calculation'!X2</f>
        <v>25000</v>
      </c>
      <c r="F27" s="197">
        <f>'Prospective Project Calculation'!S2</f>
        <v>2056.34</v>
      </c>
      <c r="G27" s="197">
        <f>'Prospective Project Calculation'!P2</f>
        <v>375.76</v>
      </c>
      <c r="H27" s="197">
        <f>$L$36</f>
        <v>4924.875</v>
      </c>
      <c r="I27" s="197">
        <f>$L$43</f>
        <v>1262.1605733333336</v>
      </c>
      <c r="J27">
        <f>E27*MIN(6,(12-A27))*B27</f>
        <v>0</v>
      </c>
      <c r="K27">
        <f>(F27*(1+0.05)^(12-A27))*B27</f>
        <v>0</v>
      </c>
      <c r="L27">
        <f>(G27*(1+0.05)^(12-A27))*B27</f>
        <v>0</v>
      </c>
      <c r="M27">
        <f>H27*(12-A27)*B27</f>
        <v>0</v>
      </c>
      <c r="N27">
        <f>I27*(12-A27)*B27</f>
        <v>0</v>
      </c>
      <c r="O27" s="197">
        <f>SUM(J27:N27)</f>
        <v>0</v>
      </c>
      <c r="P27" s="198">
        <f>O27</f>
        <v>0</v>
      </c>
      <c r="Q27">
        <f>'Sys Admin'!F49</f>
        <v>6</v>
      </c>
      <c r="R27" t="s">
        <v>8</v>
      </c>
      <c r="S27" s="198">
        <f>E27</f>
        <v>25000</v>
      </c>
      <c r="T27" s="198">
        <f>E28</f>
        <v>18000</v>
      </c>
      <c r="U27" s="198">
        <f>E29</f>
        <v>12500</v>
      </c>
    </row>
    <row r="28" spans="1:30">
      <c r="A28">
        <f>'Sys Admin'!S48</f>
        <v>3</v>
      </c>
      <c r="B28">
        <f>'Sys Admin'!S43</f>
        <v>0</v>
      </c>
      <c r="D28" t="s">
        <v>368</v>
      </c>
      <c r="E28" s="197">
        <f>'Prospective Project Calculation'!W2</f>
        <v>18000</v>
      </c>
      <c r="F28" s="197">
        <f>'Prospective Project Calculation'!R2</f>
        <v>853.07416666666666</v>
      </c>
      <c r="G28" s="197">
        <f>'Prospective Project Calculation'!O2</f>
        <v>250.50666666666666</v>
      </c>
      <c r="H28" s="197">
        <f>$L$36</f>
        <v>4924.875</v>
      </c>
      <c r="I28" s="197">
        <f>$L$43</f>
        <v>1262.1605733333336</v>
      </c>
      <c r="J28">
        <f>E28*MIN(4,(12-A28))*B28</f>
        <v>0</v>
      </c>
      <c r="K28">
        <f>(F28*(1+0.05)^(12-A28))*B28</f>
        <v>0</v>
      </c>
      <c r="L28">
        <f>(G28*(1+0.05)^(12-A28))*B28</f>
        <v>0</v>
      </c>
      <c r="M28">
        <f>H28*(12-A28)*B28</f>
        <v>0</v>
      </c>
      <c r="N28">
        <f>I28*(12-A28)*B28</f>
        <v>0</v>
      </c>
      <c r="O28" s="197">
        <f>SUM(J28:N28)</f>
        <v>0</v>
      </c>
      <c r="P28" s="198">
        <f>O28</f>
        <v>0</v>
      </c>
      <c r="Q28">
        <f>'Sys Admin'!G49</f>
        <v>4</v>
      </c>
    </row>
    <row r="29" spans="1:30">
      <c r="A29">
        <f>'Sys Admin'!T48</f>
        <v>2</v>
      </c>
      <c r="B29">
        <f>'Sys Admin'!T43</f>
        <v>0</v>
      </c>
      <c r="D29" t="s">
        <v>369</v>
      </c>
      <c r="E29" s="197">
        <f>'Prospective Project Calculation'!V2</f>
        <v>12500</v>
      </c>
      <c r="F29" s="197">
        <f>'Prospective Project Calculation'!Q2</f>
        <v>435.04333333333335</v>
      </c>
      <c r="G29" s="197">
        <f>'Prospective Project Calculation'!N2</f>
        <v>125.25333333333333</v>
      </c>
      <c r="H29" s="197">
        <f>$L$36</f>
        <v>4924.875</v>
      </c>
      <c r="I29" s="197">
        <f>$L$43</f>
        <v>1262.1605733333336</v>
      </c>
      <c r="J29">
        <f>E29*MIN(2,(12-A29))*B29</f>
        <v>0</v>
      </c>
      <c r="K29">
        <f>(F29*(1+0.05)^(12-A29))*B29</f>
        <v>0</v>
      </c>
      <c r="L29">
        <f>(G29*(1+0.05)^(12-A29))*B29</f>
        <v>0</v>
      </c>
      <c r="M29">
        <f>H29*(12-A29)*B29</f>
        <v>0</v>
      </c>
      <c r="N29">
        <f>I29*(12-A29)*B29</f>
        <v>0</v>
      </c>
      <c r="O29" s="197">
        <f>SUM(J29:N29)</f>
        <v>0</v>
      </c>
      <c r="P29" s="198">
        <f>O29</f>
        <v>0</v>
      </c>
      <c r="Q29">
        <f>'Sys Admin'!H49</f>
        <v>2</v>
      </c>
    </row>
    <row r="30" spans="1:30">
      <c r="J30" s="198">
        <f>SUM(J25:J29)</f>
        <v>0</v>
      </c>
      <c r="K30" s="198">
        <f>SUM(K25:K29)</f>
        <v>0</v>
      </c>
      <c r="L30" s="198">
        <f>SUM(L25:L29)</f>
        <v>0</v>
      </c>
      <c r="M30" s="198">
        <f>SUM(M25:M29)</f>
        <v>0</v>
      </c>
      <c r="N30" s="198">
        <f>SUM(N25:N29)</f>
        <v>0</v>
      </c>
    </row>
    <row r="31" spans="1:30">
      <c r="F31" t="s">
        <v>379</v>
      </c>
      <c r="G31" t="s">
        <v>380</v>
      </c>
      <c r="H31" t="s">
        <v>264</v>
      </c>
      <c r="T31" t="s">
        <v>8</v>
      </c>
      <c r="U31" t="s">
        <v>37</v>
      </c>
      <c r="V31" t="str">
        <f>T31&amp;U31</f>
        <v>ActiveHigh</v>
      </c>
      <c r="W31">
        <v>6</v>
      </c>
      <c r="X31" s="198">
        <f t="shared" ref="X31:Y33" si="8">F27</f>
        <v>2056.34</v>
      </c>
      <c r="Y31" s="198">
        <f t="shared" si="8"/>
        <v>375.76</v>
      </c>
    </row>
    <row r="32" spans="1:30" ht="15.75" thickBot="1">
      <c r="A32" t="s">
        <v>370</v>
      </c>
      <c r="D32" t="s">
        <v>341</v>
      </c>
      <c r="E32" t="s">
        <v>359</v>
      </c>
      <c r="F32" t="s">
        <v>46</v>
      </c>
      <c r="H32" t="s">
        <v>13</v>
      </c>
      <c r="T32" t="s">
        <v>8</v>
      </c>
      <c r="U32" t="s">
        <v>38</v>
      </c>
      <c r="V32" t="str">
        <f>T32&amp;U32</f>
        <v>ActiveMedium</v>
      </c>
      <c r="W32">
        <v>4</v>
      </c>
      <c r="X32" s="198">
        <f t="shared" si="8"/>
        <v>853.07416666666666</v>
      </c>
      <c r="Y32" s="198">
        <f t="shared" si="8"/>
        <v>250.50666666666666</v>
      </c>
    </row>
    <row r="33" spans="1:25">
      <c r="A33" t="str">
        <f>'Other Overhead C '!A17</f>
        <v>Platform DevOps (including testing, features)</v>
      </c>
      <c r="D33">
        <f>'Sys Admin'!T15</f>
        <v>0.75</v>
      </c>
      <c r="E33" s="105">
        <f>D33*'Rate Sheet'!B4*'Rate Sheet'!B10</f>
        <v>25050</v>
      </c>
      <c r="F33" s="105">
        <f>E33*12</f>
        <v>300600</v>
      </c>
      <c r="H33" s="60" t="s">
        <v>77</v>
      </c>
      <c r="I33" s="61" t="s">
        <v>80</v>
      </c>
      <c r="J33" s="61" t="s">
        <v>79</v>
      </c>
      <c r="K33" s="61" t="s">
        <v>113</v>
      </c>
      <c r="L33" s="62" t="s">
        <v>81</v>
      </c>
      <c r="N33" t="s">
        <v>386</v>
      </c>
      <c r="O33" t="s">
        <v>384</v>
      </c>
      <c r="P33" t="s">
        <v>385</v>
      </c>
      <c r="Q33" t="s">
        <v>359</v>
      </c>
      <c r="T33" t="s">
        <v>8</v>
      </c>
      <c r="U33" t="s">
        <v>39</v>
      </c>
      <c r="V33" t="str">
        <f>T33&amp;U33</f>
        <v>ActiveLow</v>
      </c>
      <c r="W33">
        <v>2</v>
      </c>
      <c r="X33" s="198">
        <f t="shared" si="8"/>
        <v>435.04333333333335</v>
      </c>
      <c r="Y33" s="198">
        <f t="shared" si="8"/>
        <v>125.25333333333333</v>
      </c>
    </row>
    <row r="34" spans="1:25">
      <c r="A34" t="str">
        <f>'Other Overhead C '!A18</f>
        <v>Standard Enablement,O&amp;M/Support</v>
      </c>
      <c r="D34">
        <f>'Sys Admin'!T16</f>
        <v>0.75</v>
      </c>
      <c r="E34" s="105">
        <f>D34*'Rate Sheet'!B5*'Rate Sheet'!B10</f>
        <v>18787.5</v>
      </c>
      <c r="F34" s="105">
        <f>E34*12</f>
        <v>225450</v>
      </c>
      <c r="H34" s="20" t="s">
        <v>262</v>
      </c>
      <c r="I34" s="59">
        <f>'Other Overhead C '!J7</f>
        <v>0.05</v>
      </c>
      <c r="J34" s="14">
        <f>$G$35*I34</f>
        <v>3693.65625</v>
      </c>
      <c r="K34" s="32">
        <f>'Sys Admin'!T6</f>
        <v>4</v>
      </c>
      <c r="L34" s="22">
        <f>J34/K34</f>
        <v>923.4140625</v>
      </c>
      <c r="N34" t="str">
        <f t="shared" ref="N34:N47" si="9">O34&amp;P34</f>
        <v>Planning/DiscoveryGold</v>
      </c>
      <c r="O34" t="s">
        <v>95</v>
      </c>
      <c r="P34" t="s">
        <v>223</v>
      </c>
      <c r="Q34" s="196">
        <f>'Enablement Services'!C61</f>
        <v>30000</v>
      </c>
    </row>
    <row r="35" spans="1:25">
      <c r="A35" t="s">
        <v>377</v>
      </c>
      <c r="E35" s="105">
        <f>'Other Overhead C '!F13</f>
        <v>244800</v>
      </c>
      <c r="F35" s="105">
        <f>SUM(F33:F34,E35)</f>
        <v>770850</v>
      </c>
      <c r="G35" s="105">
        <f>F35/12* (1+'Rate Sheet'!B8)</f>
        <v>73873.125</v>
      </c>
      <c r="H35" s="20" t="s">
        <v>36</v>
      </c>
      <c r="I35" s="59">
        <f>'Other Overhead C '!J8</f>
        <v>0.3</v>
      </c>
      <c r="J35" s="14">
        <f>$G$35*I35</f>
        <v>22161.9375</v>
      </c>
      <c r="K35" s="32">
        <f>'Sys Admin'!T8</f>
        <v>0</v>
      </c>
      <c r="L35" s="22">
        <f>IF(K35=0,1,J35/K35)</f>
        <v>1</v>
      </c>
      <c r="N35" t="str">
        <f t="shared" si="9"/>
        <v>Planning/DiscoverySilver</v>
      </c>
      <c r="O35" t="s">
        <v>95</v>
      </c>
      <c r="P35" t="s">
        <v>224</v>
      </c>
      <c r="Q35" s="196">
        <f>'Enablement Services'!C62</f>
        <v>18000</v>
      </c>
    </row>
    <row r="36" spans="1:25">
      <c r="A36" t="s">
        <v>378</v>
      </c>
      <c r="E36">
        <f>'Platform Cloud Costs'!G2*1.05</f>
        <v>14199.30645</v>
      </c>
      <c r="H36" s="20" t="s">
        <v>8</v>
      </c>
      <c r="I36" s="59">
        <f>'Other Overhead C '!J9</f>
        <v>0.6</v>
      </c>
      <c r="J36" s="14">
        <f>$G$35*I36</f>
        <v>44323.875</v>
      </c>
      <c r="K36" s="32">
        <f>'Sys Admin'!T10</f>
        <v>9</v>
      </c>
      <c r="L36" s="22">
        <f>J36/K36</f>
        <v>4924.875</v>
      </c>
      <c r="N36" t="str">
        <f t="shared" si="9"/>
        <v>Planning/DiscoveryBronze</v>
      </c>
      <c r="O36" t="s">
        <v>95</v>
      </c>
      <c r="P36" t="s">
        <v>225</v>
      </c>
      <c r="Q36" s="196">
        <f>'Enablement Services'!C63</f>
        <v>0</v>
      </c>
    </row>
    <row r="37" spans="1:25">
      <c r="H37" s="20" t="s">
        <v>96</v>
      </c>
      <c r="I37" s="59">
        <f>'Other Overhead C '!J10</f>
        <v>0.05</v>
      </c>
      <c r="J37" s="14">
        <f>$G$35*I37</f>
        <v>3693.65625</v>
      </c>
      <c r="K37" s="32">
        <f>'Sys Admin'!T12</f>
        <v>0</v>
      </c>
      <c r="L37" s="22">
        <f>IF(K37=0,1,J37/K37)</f>
        <v>1</v>
      </c>
      <c r="N37" t="str">
        <f t="shared" si="9"/>
        <v>Planning/DiscoveryNone</v>
      </c>
      <c r="O37" t="s">
        <v>95</v>
      </c>
      <c r="P37" t="s">
        <v>216</v>
      </c>
      <c r="Q37" s="196">
        <f>'Enablement Services'!C64</f>
        <v>0</v>
      </c>
    </row>
    <row r="38" spans="1:25">
      <c r="N38" t="str">
        <f t="shared" si="9"/>
        <v>OnboardingGold</v>
      </c>
      <c r="O38" t="s">
        <v>36</v>
      </c>
      <c r="P38" t="s">
        <v>223</v>
      </c>
      <c r="Q38" s="196">
        <f>'Enablement Services'!C65</f>
        <v>73000</v>
      </c>
    </row>
    <row r="39" spans="1:25" ht="15.75" thickBot="1">
      <c r="H39" t="s">
        <v>203</v>
      </c>
      <c r="N39" t="str">
        <f t="shared" si="9"/>
        <v>OnboardingSilver</v>
      </c>
      <c r="O39" t="s">
        <v>36</v>
      </c>
      <c r="P39" t="s">
        <v>224</v>
      </c>
      <c r="Q39" s="196">
        <f>'Enablement Services'!C66</f>
        <v>40000</v>
      </c>
    </row>
    <row r="40" spans="1:25">
      <c r="H40" s="60" t="s">
        <v>77</v>
      </c>
      <c r="I40" s="61" t="s">
        <v>80</v>
      </c>
      <c r="J40" s="61" t="s">
        <v>79</v>
      </c>
      <c r="K40" s="61" t="s">
        <v>113</v>
      </c>
      <c r="L40" s="62" t="s">
        <v>81</v>
      </c>
      <c r="N40" t="str">
        <f t="shared" si="9"/>
        <v>OnboardingBronze</v>
      </c>
      <c r="O40" t="s">
        <v>36</v>
      </c>
      <c r="P40" t="s">
        <v>225</v>
      </c>
      <c r="Q40" s="196">
        <f>'Enablement Services'!C67</f>
        <v>15000</v>
      </c>
    </row>
    <row r="41" spans="1:25">
      <c r="H41" s="20" t="s">
        <v>262</v>
      </c>
      <c r="I41" s="59">
        <f>'Platform Cloud Costs'!G7</f>
        <v>0.05</v>
      </c>
      <c r="J41" s="14">
        <f>$E$36*I41</f>
        <v>709.96532250000007</v>
      </c>
      <c r="K41" s="32">
        <f>'Sys Admin'!T6</f>
        <v>4</v>
      </c>
      <c r="L41" s="22">
        <f>J41/K41</f>
        <v>177.49133062500002</v>
      </c>
      <c r="N41" t="str">
        <f t="shared" si="9"/>
        <v>OnboardingNone</v>
      </c>
      <c r="O41" t="s">
        <v>36</v>
      </c>
      <c r="P41" t="s">
        <v>216</v>
      </c>
      <c r="Q41" s="196">
        <f>'Enablement Services'!C68</f>
        <v>0</v>
      </c>
    </row>
    <row r="42" spans="1:25">
      <c r="H42" s="20" t="s">
        <v>36</v>
      </c>
      <c r="I42" s="59">
        <f>'Platform Cloud Costs'!G8</f>
        <v>0.15</v>
      </c>
      <c r="J42" s="14">
        <f>$E$36*I42</f>
        <v>2129.8959675000001</v>
      </c>
      <c r="K42" s="32">
        <f>'Sys Admin'!T8</f>
        <v>0</v>
      </c>
      <c r="L42" s="22">
        <f>IF(K42=0,1,J42/K42)</f>
        <v>1</v>
      </c>
      <c r="N42" t="str">
        <f t="shared" si="9"/>
        <v>ActiveGold</v>
      </c>
      <c r="O42" t="s">
        <v>8</v>
      </c>
      <c r="P42" t="s">
        <v>223</v>
      </c>
      <c r="Q42" s="196">
        <f>'Enablement Services'!C69</f>
        <v>25000</v>
      </c>
    </row>
    <row r="43" spans="1:25">
      <c r="H43" s="20" t="s">
        <v>8</v>
      </c>
      <c r="I43" s="59">
        <f>'Platform Cloud Costs'!G9</f>
        <v>0.8</v>
      </c>
      <c r="J43" s="14">
        <f>$E$36*I43</f>
        <v>11359.445160000001</v>
      </c>
      <c r="K43" s="32">
        <f>'Sys Admin'!T10</f>
        <v>9</v>
      </c>
      <c r="L43" s="22">
        <f>J43/K43</f>
        <v>1262.1605733333336</v>
      </c>
      <c r="N43" t="str">
        <f t="shared" si="9"/>
        <v>ActiveSilver</v>
      </c>
      <c r="O43" t="s">
        <v>8</v>
      </c>
      <c r="P43" t="s">
        <v>224</v>
      </c>
      <c r="Q43" s="196">
        <f>'Enablement Services'!C70</f>
        <v>18000</v>
      </c>
    </row>
    <row r="44" spans="1:25">
      <c r="H44" s="20" t="s">
        <v>96</v>
      </c>
      <c r="I44" s="59">
        <f>'Platform Cloud Costs'!G10</f>
        <v>0.05</v>
      </c>
      <c r="J44" s="14">
        <f>$E$36*I44</f>
        <v>709.96532250000007</v>
      </c>
      <c r="K44" s="32">
        <f>'Sys Admin'!T12</f>
        <v>0</v>
      </c>
      <c r="L44" s="22">
        <f>IF(K44=0,1,J44/K44)</f>
        <v>1</v>
      </c>
      <c r="N44" t="str">
        <f t="shared" si="9"/>
        <v>ActiveBronze</v>
      </c>
      <c r="O44" t="s">
        <v>8</v>
      </c>
      <c r="P44" t="s">
        <v>225</v>
      </c>
      <c r="Q44" s="196">
        <f>'Enablement Services'!C71</f>
        <v>12500</v>
      </c>
    </row>
    <row r="45" spans="1:25">
      <c r="N45" t="str">
        <f t="shared" si="9"/>
        <v>ActiveNone</v>
      </c>
      <c r="O45" t="s">
        <v>8</v>
      </c>
      <c r="P45" t="s">
        <v>216</v>
      </c>
      <c r="Q45" s="196">
        <f>'Enablement Services'!C72</f>
        <v>0</v>
      </c>
    </row>
    <row r="46" spans="1:25">
      <c r="N46" t="str">
        <f t="shared" si="9"/>
        <v>ProspectiveNone</v>
      </c>
      <c r="O46" t="s">
        <v>78</v>
      </c>
      <c r="P46" t="s">
        <v>216</v>
      </c>
      <c r="Q46" s="15">
        <v>0</v>
      </c>
    </row>
    <row r="47" spans="1:25">
      <c r="B47" t="s">
        <v>388</v>
      </c>
      <c r="N47" t="str">
        <f t="shared" si="9"/>
        <v>Export/RetirementGold</v>
      </c>
      <c r="O47" t="s">
        <v>96</v>
      </c>
      <c r="P47" t="s">
        <v>223</v>
      </c>
      <c r="Q47">
        <v>0</v>
      </c>
    </row>
    <row r="48" spans="1:25">
      <c r="C48" t="s">
        <v>349</v>
      </c>
      <c r="D48" t="s">
        <v>391</v>
      </c>
      <c r="E48" t="s">
        <v>392</v>
      </c>
      <c r="F48" t="s">
        <v>393</v>
      </c>
      <c r="N48" t="str">
        <f>O48&amp;P48</f>
        <v>Export/RetirementSilver</v>
      </c>
      <c r="O48" t="s">
        <v>96</v>
      </c>
      <c r="P48" t="s">
        <v>224</v>
      </c>
      <c r="Q48">
        <v>0</v>
      </c>
    </row>
    <row r="49" spans="2:17">
      <c r="B49" t="s">
        <v>202</v>
      </c>
      <c r="C49" s="198">
        <f>J30</f>
        <v>0</v>
      </c>
      <c r="D49">
        <f>Y22</f>
        <v>0</v>
      </c>
      <c r="E49" s="198">
        <f>SUM(C49:D49)</f>
        <v>0</v>
      </c>
      <c r="N49" t="str">
        <f>O49&amp;P49</f>
        <v>Export/RetirementBronze</v>
      </c>
      <c r="O49" t="s">
        <v>96</v>
      </c>
      <c r="P49" t="s">
        <v>225</v>
      </c>
      <c r="Q49">
        <v>0</v>
      </c>
    </row>
    <row r="50" spans="2:17">
      <c r="B50" t="s">
        <v>289</v>
      </c>
      <c r="C50" s="198">
        <f>K30</f>
        <v>0</v>
      </c>
      <c r="D50">
        <f>Z22</f>
        <v>15717.769200000002</v>
      </c>
      <c r="N50" t="str">
        <f>O50&amp;P50</f>
        <v>Export/RetirementNone</v>
      </c>
      <c r="O50" t="s">
        <v>96</v>
      </c>
      <c r="P50" t="s">
        <v>216</v>
      </c>
      <c r="Q50">
        <v>0</v>
      </c>
    </row>
    <row r="51" spans="2:17">
      <c r="B51" t="s">
        <v>389</v>
      </c>
      <c r="C51" s="198">
        <f>L30</f>
        <v>0</v>
      </c>
      <c r="D51">
        <f>AA22</f>
        <v>15717.769200000002</v>
      </c>
      <c r="E51" s="198">
        <f>SUM(C50:D51)</f>
        <v>31435.538400000005</v>
      </c>
    </row>
    <row r="52" spans="2:17">
      <c r="B52" t="s">
        <v>13</v>
      </c>
      <c r="C52" s="198">
        <f>M30</f>
        <v>0</v>
      </c>
      <c r="D52">
        <f>AB22</f>
        <v>539273.8125</v>
      </c>
      <c r="E52" s="198">
        <f>SUM(C52:D52)</f>
        <v>539273.8125</v>
      </c>
    </row>
    <row r="53" spans="2:17">
      <c r="B53" t="s">
        <v>390</v>
      </c>
      <c r="C53" s="198">
        <f>N30</f>
        <v>0</v>
      </c>
      <c r="D53">
        <f>AC22</f>
        <v>137733.27256499999</v>
      </c>
      <c r="E53" s="198">
        <f>SUM(C53:D53)</f>
        <v>137733.27256499999</v>
      </c>
    </row>
  </sheetData>
  <mergeCells count="5">
    <mergeCell ref="Z2:AC2"/>
    <mergeCell ref="A3:D3"/>
    <mergeCell ref="E3:I3"/>
    <mergeCell ref="J3:N3"/>
    <mergeCell ref="E23:I2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9" tint="-0.499984740745262"/>
  </sheetPr>
  <dimension ref="A1:T145"/>
  <sheetViews>
    <sheetView topLeftCell="A7" zoomScale="85" zoomScaleNormal="85" workbookViewId="0">
      <selection activeCell="F30" sqref="F30"/>
    </sheetView>
  </sheetViews>
  <sheetFormatPr defaultRowHeight="15"/>
  <cols>
    <col min="1" max="1" width="39.42578125" customWidth="1"/>
    <col min="2" max="2" width="21.140625" customWidth="1"/>
    <col min="3" max="3" width="35.85546875" customWidth="1"/>
    <col min="4" max="4" width="22.5703125" customWidth="1"/>
    <col min="5" max="5" width="21.42578125" customWidth="1"/>
    <col min="6" max="7" width="21.140625" customWidth="1"/>
    <col min="8" max="8" width="20.7109375" customWidth="1"/>
    <col min="9" max="9" width="30.7109375" customWidth="1"/>
    <col min="10" max="10" width="19" bestFit="1" customWidth="1"/>
    <col min="11" max="11" width="15" bestFit="1" customWidth="1"/>
    <col min="12" max="12" width="19.140625" customWidth="1"/>
    <col min="13" max="13" width="21.7109375" bestFit="1" customWidth="1"/>
    <col min="14" max="14" width="17.7109375" customWidth="1"/>
    <col min="15" max="15" width="19.7109375" customWidth="1"/>
    <col min="16" max="16" width="17.28515625" customWidth="1"/>
    <col min="17" max="17" width="21" customWidth="1"/>
    <col min="18" max="18" width="24.7109375" customWidth="1"/>
    <col min="19" max="19" width="23.28515625" customWidth="1"/>
    <col min="20" max="20" width="18.140625" customWidth="1"/>
    <col min="21" max="21" width="26.85546875" customWidth="1"/>
  </cols>
  <sheetData>
    <row r="1" spans="1:20">
      <c r="A1" s="129" t="s">
        <v>244</v>
      </c>
      <c r="S1" s="20" t="s">
        <v>159</v>
      </c>
    </row>
    <row r="2" spans="1:20">
      <c r="B2" t="s">
        <v>241</v>
      </c>
      <c r="C2" t="s">
        <v>184</v>
      </c>
      <c r="D2" t="s">
        <v>243</v>
      </c>
      <c r="E2" t="s">
        <v>242</v>
      </c>
      <c r="F2" t="s">
        <v>86</v>
      </c>
      <c r="G2" t="s">
        <v>97</v>
      </c>
      <c r="I2" t="s">
        <v>187</v>
      </c>
      <c r="S2" s="20" t="s">
        <v>158</v>
      </c>
    </row>
    <row r="3" spans="1:20">
      <c r="B3" t="s">
        <v>221</v>
      </c>
      <c r="C3" t="s">
        <v>37</v>
      </c>
      <c r="D3" t="s">
        <v>37</v>
      </c>
      <c r="E3" t="s">
        <v>223</v>
      </c>
      <c r="F3" t="s">
        <v>83</v>
      </c>
      <c r="G3" t="s">
        <v>95</v>
      </c>
      <c r="I3" s="68" t="s">
        <v>189</v>
      </c>
      <c r="J3" s="12">
        <v>4</v>
      </c>
      <c r="S3" s="20" t="s">
        <v>232</v>
      </c>
    </row>
    <row r="4" spans="1:20">
      <c r="B4" t="s">
        <v>222</v>
      </c>
      <c r="C4" t="s">
        <v>38</v>
      </c>
      <c r="D4" t="s">
        <v>38</v>
      </c>
      <c r="E4" t="s">
        <v>224</v>
      </c>
      <c r="F4" t="s">
        <v>84</v>
      </c>
      <c r="G4" t="s">
        <v>36</v>
      </c>
      <c r="I4" s="68" t="s">
        <v>73</v>
      </c>
      <c r="J4" s="12">
        <v>0</v>
      </c>
      <c r="S4" s="20" t="s">
        <v>174</v>
      </c>
    </row>
    <row r="5" spans="1:20">
      <c r="C5" t="s">
        <v>215</v>
      </c>
      <c r="D5" t="s">
        <v>39</v>
      </c>
      <c r="E5" t="s">
        <v>225</v>
      </c>
      <c r="G5" t="s">
        <v>8</v>
      </c>
      <c r="I5" s="68" t="s">
        <v>72</v>
      </c>
      <c r="J5" s="12">
        <v>9</v>
      </c>
      <c r="S5" s="20" t="s">
        <v>161</v>
      </c>
    </row>
    <row r="6" spans="1:20">
      <c r="C6" t="s">
        <v>216</v>
      </c>
      <c r="E6" t="s">
        <v>216</v>
      </c>
      <c r="G6" t="s">
        <v>96</v>
      </c>
      <c r="I6" s="68" t="s">
        <v>188</v>
      </c>
      <c r="J6" s="12">
        <v>0</v>
      </c>
      <c r="S6" s="20" t="s">
        <v>235</v>
      </c>
    </row>
    <row r="7" spans="1:20">
      <c r="G7" t="s">
        <v>78</v>
      </c>
      <c r="S7" s="36" t="s">
        <v>236</v>
      </c>
    </row>
    <row r="8" spans="1:20">
      <c r="S8" s="112" t="s">
        <v>157</v>
      </c>
    </row>
    <row r="9" spans="1:20">
      <c r="S9" s="112" t="s">
        <v>172</v>
      </c>
    </row>
    <row r="11" spans="1:20" ht="15.75" thickBot="1">
      <c r="D11" s="149" t="s">
        <v>301</v>
      </c>
      <c r="I11" s="68"/>
      <c r="J11" s="12"/>
      <c r="N11" s="149" t="s">
        <v>300</v>
      </c>
      <c r="O11" s="149" t="s">
        <v>302</v>
      </c>
      <c r="P11" s="149"/>
      <c r="Q11" s="149" t="s">
        <v>300</v>
      </c>
      <c r="S11" s="149" t="s">
        <v>360</v>
      </c>
    </row>
    <row r="12" spans="1:20" ht="30">
      <c r="A12" s="255" t="s">
        <v>245</v>
      </c>
      <c r="B12" s="256"/>
      <c r="C12" s="257"/>
      <c r="D12" s="258" t="s">
        <v>212</v>
      </c>
      <c r="E12" s="259"/>
      <c r="F12" s="259"/>
      <c r="G12" s="260"/>
      <c r="H12" s="261"/>
      <c r="I12" s="262" t="s">
        <v>365</v>
      </c>
      <c r="J12" s="259"/>
      <c r="K12" s="259"/>
      <c r="L12" s="259"/>
      <c r="M12" s="260"/>
      <c r="N12" s="123" t="s">
        <v>299</v>
      </c>
      <c r="O12" s="126" t="s">
        <v>298</v>
      </c>
      <c r="P12" s="138" t="s">
        <v>240</v>
      </c>
      <c r="Q12" s="2" t="s">
        <v>247</v>
      </c>
      <c r="R12" s="2" t="s">
        <v>352</v>
      </c>
      <c r="S12" t="s">
        <v>95</v>
      </c>
      <c r="T12" t="s">
        <v>36</v>
      </c>
    </row>
    <row r="13" spans="1:20">
      <c r="A13" s="20" t="s">
        <v>211</v>
      </c>
      <c r="B13" s="12" t="s">
        <v>25</v>
      </c>
      <c r="C13" s="21" t="s">
        <v>213</v>
      </c>
      <c r="D13" s="31" t="s">
        <v>10</v>
      </c>
      <c r="E13" s="32" t="s">
        <v>181</v>
      </c>
      <c r="F13" s="32" t="s">
        <v>26</v>
      </c>
      <c r="G13" s="113" t="s">
        <v>185</v>
      </c>
      <c r="H13" s="33" t="s">
        <v>186</v>
      </c>
      <c r="I13" s="107" t="s">
        <v>10</v>
      </c>
      <c r="J13" s="32" t="s">
        <v>181</v>
      </c>
      <c r="K13" s="32" t="s">
        <v>26</v>
      </c>
      <c r="L13" s="32" t="s">
        <v>13</v>
      </c>
      <c r="M13" s="113" t="s">
        <v>303</v>
      </c>
      <c r="N13" s="124"/>
      <c r="O13" s="127"/>
      <c r="P13" s="122"/>
      <c r="Q13" s="2"/>
      <c r="R13" s="2"/>
    </row>
    <row r="14" spans="1:20">
      <c r="A14" s="20" t="s">
        <v>160</v>
      </c>
      <c r="B14" s="12">
        <v>12</v>
      </c>
      <c r="C14" s="21" t="s">
        <v>95</v>
      </c>
      <c r="D14" s="115">
        <v>0</v>
      </c>
      <c r="E14" s="13">
        <v>0</v>
      </c>
      <c r="F14" s="13">
        <v>0</v>
      </c>
      <c r="G14" s="116">
        <f>'Other Overhead C '!$M$7</f>
        <v>923.4140625</v>
      </c>
      <c r="H14" s="27">
        <f>'Platform Cloud Costs'!$J$7</f>
        <v>169.03936250000001</v>
      </c>
      <c r="I14" s="117">
        <v>0</v>
      </c>
      <c r="J14" s="13">
        <v>0</v>
      </c>
      <c r="K14" s="13">
        <v>0</v>
      </c>
      <c r="L14" s="13">
        <f t="shared" ref="L14:M18" si="0">G14</f>
        <v>923.4140625</v>
      </c>
      <c r="M14" s="116">
        <f t="shared" si="0"/>
        <v>169.03936250000001</v>
      </c>
      <c r="N14" s="125">
        <v>20000</v>
      </c>
      <c r="O14" s="127">
        <v>5</v>
      </c>
      <c r="P14" s="122" t="s">
        <v>216</v>
      </c>
      <c r="Q14" s="2"/>
      <c r="R14" s="182">
        <f>SUM(D14:H14)*12</f>
        <v>13109.4411</v>
      </c>
    </row>
    <row r="15" spans="1:20">
      <c r="A15" s="20" t="s">
        <v>159</v>
      </c>
      <c r="B15" s="12">
        <v>12</v>
      </c>
      <c r="C15" s="21" t="s">
        <v>8</v>
      </c>
      <c r="D15" s="115">
        <v>0</v>
      </c>
      <c r="E15" s="148">
        <f>D39</f>
        <v>20.96</v>
      </c>
      <c r="F15" s="13"/>
      <c r="G15" s="116">
        <f>'Other Overhead C '!$M$9</f>
        <v>4924.875</v>
      </c>
      <c r="H15" s="27">
        <f>'Platform Cloud Costs'!$J$9</f>
        <v>1202.0576888888891</v>
      </c>
      <c r="I15" s="117">
        <v>0</v>
      </c>
      <c r="J15" s="148">
        <f>AVERAGE(D39:F39)</f>
        <v>477.21333333333337</v>
      </c>
      <c r="K15" s="13"/>
      <c r="L15" s="13">
        <f t="shared" si="0"/>
        <v>4924.875</v>
      </c>
      <c r="M15" s="116">
        <f t="shared" si="0"/>
        <v>1202.0576888888891</v>
      </c>
      <c r="N15" s="125">
        <v>0</v>
      </c>
      <c r="O15" s="127">
        <v>5</v>
      </c>
      <c r="P15" s="122" t="s">
        <v>216</v>
      </c>
      <c r="Q15" s="184">
        <v>0.04</v>
      </c>
      <c r="R15" s="182">
        <f t="shared" ref="R15:R30" si="1">SUM(D15:H15)*12</f>
        <v>73774.712266666669</v>
      </c>
    </row>
    <row r="16" spans="1:20">
      <c r="A16" s="20" t="s">
        <v>158</v>
      </c>
      <c r="B16" s="12">
        <v>12</v>
      </c>
      <c r="C16" s="21" t="s">
        <v>8</v>
      </c>
      <c r="D16" s="115">
        <v>0</v>
      </c>
      <c r="E16" s="148">
        <f>D38</f>
        <v>62.03</v>
      </c>
      <c r="F16" s="148">
        <f>D103</f>
        <v>0</v>
      </c>
      <c r="G16" s="116">
        <f>'Other Overhead C '!$M$9</f>
        <v>4924.875</v>
      </c>
      <c r="H16" s="27">
        <f>'Platform Cloud Costs'!$J$9</f>
        <v>1202.0576888888891</v>
      </c>
      <c r="I16" s="117">
        <v>0</v>
      </c>
      <c r="J16" s="148">
        <f>AVERAGE(D38:F38)</f>
        <v>49.360000000000007</v>
      </c>
      <c r="K16" s="148">
        <f>AVERAGE(D103:F103)</f>
        <v>0</v>
      </c>
      <c r="L16" s="13">
        <f t="shared" si="0"/>
        <v>4924.875</v>
      </c>
      <c r="M16" s="116">
        <f t="shared" si="0"/>
        <v>1202.0576888888891</v>
      </c>
      <c r="N16" s="125">
        <v>0</v>
      </c>
      <c r="O16" s="127">
        <v>8</v>
      </c>
      <c r="P16" s="122" t="s">
        <v>216</v>
      </c>
      <c r="Q16" s="184">
        <v>0.04</v>
      </c>
      <c r="R16" s="182">
        <f t="shared" si="1"/>
        <v>74267.552266666666</v>
      </c>
    </row>
    <row r="17" spans="1:18">
      <c r="A17" s="20" t="s">
        <v>232</v>
      </c>
      <c r="B17" s="12">
        <v>12</v>
      </c>
      <c r="C17" s="21" t="s">
        <v>8</v>
      </c>
      <c r="D17" s="115">
        <v>0</v>
      </c>
      <c r="E17" s="13">
        <v>0</v>
      </c>
      <c r="F17" s="148">
        <f>D100</f>
        <v>148.24</v>
      </c>
      <c r="G17" s="116">
        <f>'Other Overhead C '!$M$9</f>
        <v>4924.875</v>
      </c>
      <c r="H17" s="27">
        <f>'Platform Cloud Costs'!$J$9</f>
        <v>1202.0576888888891</v>
      </c>
      <c r="I17" s="117">
        <v>0</v>
      </c>
      <c r="J17" s="13">
        <v>0</v>
      </c>
      <c r="K17" s="148">
        <f>AVERAGE(D100:F100)</f>
        <v>170.27333333333334</v>
      </c>
      <c r="L17" s="13">
        <f t="shared" si="0"/>
        <v>4924.875</v>
      </c>
      <c r="M17" s="116">
        <f t="shared" si="0"/>
        <v>1202.0576888888891</v>
      </c>
      <c r="N17" s="125">
        <v>0</v>
      </c>
      <c r="O17" s="127">
        <v>5</v>
      </c>
      <c r="P17" s="122" t="s">
        <v>216</v>
      </c>
      <c r="Q17" s="184">
        <v>0.04</v>
      </c>
      <c r="R17" s="182">
        <f t="shared" si="1"/>
        <v>75302.07226666667</v>
      </c>
    </row>
    <row r="18" spans="1:18">
      <c r="A18" s="20" t="s">
        <v>174</v>
      </c>
      <c r="B18" s="12">
        <v>12</v>
      </c>
      <c r="C18" s="21" t="s">
        <v>8</v>
      </c>
      <c r="D18" s="115">
        <v>0</v>
      </c>
      <c r="E18" s="13">
        <v>0</v>
      </c>
      <c r="F18" s="148">
        <f>D101</f>
        <v>93.63</v>
      </c>
      <c r="G18" s="116">
        <f>'Other Overhead C '!$M$9</f>
        <v>4924.875</v>
      </c>
      <c r="H18" s="27">
        <f>'Platform Cloud Costs'!$J$9</f>
        <v>1202.0576888888891</v>
      </c>
      <c r="I18" s="117">
        <v>0</v>
      </c>
      <c r="J18" s="13">
        <v>0</v>
      </c>
      <c r="K18" s="148">
        <f>AVERAGE(D101:F101)</f>
        <v>95.11</v>
      </c>
      <c r="L18" s="13">
        <f t="shared" si="0"/>
        <v>4924.875</v>
      </c>
      <c r="M18" s="116">
        <f t="shared" si="0"/>
        <v>1202.0576888888891</v>
      </c>
      <c r="N18" s="125">
        <v>0</v>
      </c>
      <c r="O18" s="127">
        <v>10</v>
      </c>
      <c r="P18" s="122" t="s">
        <v>216</v>
      </c>
      <c r="Q18" s="184">
        <v>0.04</v>
      </c>
      <c r="R18" s="182">
        <f t="shared" si="1"/>
        <v>74646.752266666677</v>
      </c>
    </row>
    <row r="19" spans="1:18">
      <c r="A19" s="20" t="s">
        <v>233</v>
      </c>
      <c r="B19" s="12">
        <v>12</v>
      </c>
      <c r="C19" s="21" t="s">
        <v>95</v>
      </c>
      <c r="D19" s="115">
        <v>0</v>
      </c>
      <c r="E19" s="13">
        <v>0</v>
      </c>
      <c r="F19" s="13">
        <v>0</v>
      </c>
      <c r="G19" s="116">
        <f>'Other Overhead C '!M7</f>
        <v>923.4140625</v>
      </c>
      <c r="H19" s="27">
        <f>'Platform Cloud Costs'!$J$7</f>
        <v>169.03936250000001</v>
      </c>
      <c r="I19" s="117">
        <v>0</v>
      </c>
      <c r="J19" s="13">
        <v>0</v>
      </c>
      <c r="K19" s="13">
        <v>0</v>
      </c>
      <c r="L19" s="13">
        <v>0</v>
      </c>
      <c r="M19" s="116">
        <v>0</v>
      </c>
      <c r="N19" s="125">
        <v>0</v>
      </c>
      <c r="O19" s="127">
        <v>0</v>
      </c>
      <c r="P19" s="122" t="s">
        <v>216</v>
      </c>
      <c r="Q19" s="2"/>
      <c r="R19" s="182">
        <f t="shared" si="1"/>
        <v>13109.4411</v>
      </c>
    </row>
    <row r="20" spans="1:18">
      <c r="A20" s="20" t="s">
        <v>234</v>
      </c>
      <c r="B20" s="12">
        <v>12</v>
      </c>
      <c r="C20" s="21" t="s">
        <v>95</v>
      </c>
      <c r="D20" s="115">
        <v>0</v>
      </c>
      <c r="E20" s="13">
        <v>0</v>
      </c>
      <c r="F20" s="13">
        <v>0</v>
      </c>
      <c r="G20" s="116">
        <f>'Other Overhead C '!$M$7</f>
        <v>923.4140625</v>
      </c>
      <c r="H20" s="27">
        <f>'Platform Cloud Costs'!$J$7</f>
        <v>169.03936250000001</v>
      </c>
      <c r="I20" s="117">
        <v>0</v>
      </c>
      <c r="J20" s="13">
        <v>0</v>
      </c>
      <c r="K20" s="13">
        <v>0</v>
      </c>
      <c r="L20" s="13">
        <f t="shared" ref="L20:M23" si="2">G20</f>
        <v>923.4140625</v>
      </c>
      <c r="M20" s="116">
        <f t="shared" si="2"/>
        <v>169.03936250000001</v>
      </c>
      <c r="N20" s="125">
        <v>0</v>
      </c>
      <c r="O20" s="127">
        <v>0</v>
      </c>
      <c r="P20" s="122" t="s">
        <v>216</v>
      </c>
      <c r="Q20" s="2"/>
      <c r="R20" s="182">
        <f t="shared" si="1"/>
        <v>13109.4411</v>
      </c>
    </row>
    <row r="21" spans="1:18">
      <c r="A21" s="20" t="s">
        <v>161</v>
      </c>
      <c r="B21" s="12">
        <v>12</v>
      </c>
      <c r="C21" s="21" t="s">
        <v>8</v>
      </c>
      <c r="D21" s="115">
        <v>0</v>
      </c>
      <c r="E21" s="148">
        <f>D41</f>
        <v>131.35</v>
      </c>
      <c r="F21" s="13"/>
      <c r="G21" s="116">
        <f>'Other Overhead C '!$M$9</f>
        <v>4924.875</v>
      </c>
      <c r="H21" s="27">
        <f>'Platform Cloud Costs'!$J$9</f>
        <v>1202.0576888888891</v>
      </c>
      <c r="I21" s="117">
        <v>0</v>
      </c>
      <c r="J21" s="148">
        <f>AVERAGE(D41:F41)</f>
        <v>187.05333333333331</v>
      </c>
      <c r="K21" s="13"/>
      <c r="L21" s="13">
        <f t="shared" si="2"/>
        <v>4924.875</v>
      </c>
      <c r="M21" s="116">
        <f t="shared" si="2"/>
        <v>1202.0576888888891</v>
      </c>
      <c r="N21" s="125">
        <v>0</v>
      </c>
      <c r="O21" s="127">
        <v>5</v>
      </c>
      <c r="P21" s="122" t="s">
        <v>216</v>
      </c>
      <c r="Q21" s="184">
        <v>0.04</v>
      </c>
      <c r="R21" s="182">
        <f t="shared" si="1"/>
        <v>75099.392266666677</v>
      </c>
    </row>
    <row r="22" spans="1:18">
      <c r="A22" s="20" t="s">
        <v>235</v>
      </c>
      <c r="B22" s="12">
        <v>12</v>
      </c>
      <c r="C22" s="21" t="s">
        <v>8</v>
      </c>
      <c r="D22" s="115">
        <v>0</v>
      </c>
      <c r="E22" s="13">
        <v>0</v>
      </c>
      <c r="F22" s="148">
        <f>D102</f>
        <v>0</v>
      </c>
      <c r="G22" s="116">
        <f>'Other Overhead C '!$M$9</f>
        <v>4924.875</v>
      </c>
      <c r="H22" s="27">
        <f>'Platform Cloud Costs'!$J$9</f>
        <v>1202.0576888888891</v>
      </c>
      <c r="I22" s="117">
        <v>0</v>
      </c>
      <c r="J22" s="13"/>
      <c r="K22" s="13"/>
      <c r="L22" s="13">
        <f t="shared" si="2"/>
        <v>4924.875</v>
      </c>
      <c r="M22" s="116">
        <f t="shared" si="2"/>
        <v>1202.0576888888891</v>
      </c>
      <c r="N22" s="125">
        <v>0</v>
      </c>
      <c r="O22" s="127">
        <v>3</v>
      </c>
      <c r="P22" s="122" t="s">
        <v>216</v>
      </c>
      <c r="Q22" s="184">
        <v>0.04</v>
      </c>
      <c r="R22" s="182">
        <f t="shared" si="1"/>
        <v>73523.192266666665</v>
      </c>
    </row>
    <row r="23" spans="1:18">
      <c r="A23" s="36" t="s">
        <v>236</v>
      </c>
      <c r="B23" s="12">
        <v>12</v>
      </c>
      <c r="C23" s="111" t="s">
        <v>8</v>
      </c>
      <c r="D23" s="115">
        <v>0</v>
      </c>
      <c r="E23" s="13">
        <v>0</v>
      </c>
      <c r="F23" s="13">
        <v>0</v>
      </c>
      <c r="G23" s="116">
        <f>'Other Overhead C '!$M$9</f>
        <v>4924.875</v>
      </c>
      <c r="H23" s="27">
        <f>'Platform Cloud Costs'!$J$9</f>
        <v>1202.0576888888891</v>
      </c>
      <c r="I23" s="119">
        <v>0</v>
      </c>
      <c r="J23" s="118"/>
      <c r="K23" s="118"/>
      <c r="L23" s="13">
        <f t="shared" si="2"/>
        <v>4924.875</v>
      </c>
      <c r="M23" s="116">
        <f t="shared" si="2"/>
        <v>1202.0576888888891</v>
      </c>
      <c r="N23" s="125">
        <v>0</v>
      </c>
      <c r="O23" s="127">
        <v>1</v>
      </c>
      <c r="P23" s="122" t="s">
        <v>216</v>
      </c>
      <c r="Q23" s="184">
        <v>0.04</v>
      </c>
      <c r="R23" s="182">
        <f t="shared" si="1"/>
        <v>73523.192266666665</v>
      </c>
    </row>
    <row r="24" spans="1:18">
      <c r="A24" s="112" t="s">
        <v>237</v>
      </c>
      <c r="B24" s="12">
        <v>12</v>
      </c>
      <c r="C24" s="21" t="s">
        <v>78</v>
      </c>
      <c r="D24" s="115">
        <v>0</v>
      </c>
      <c r="E24" s="13">
        <v>0</v>
      </c>
      <c r="F24" s="13">
        <v>0</v>
      </c>
      <c r="G24" s="116">
        <v>0</v>
      </c>
      <c r="H24" s="27">
        <v>0</v>
      </c>
      <c r="I24" s="117">
        <v>0</v>
      </c>
      <c r="J24" s="13">
        <v>0</v>
      </c>
      <c r="K24" s="13">
        <v>0</v>
      </c>
      <c r="L24" s="13">
        <v>0</v>
      </c>
      <c r="M24" s="116">
        <v>0</v>
      </c>
      <c r="N24" s="125">
        <v>0</v>
      </c>
      <c r="O24" s="127">
        <v>0</v>
      </c>
      <c r="P24" s="122" t="s">
        <v>216</v>
      </c>
      <c r="Q24" s="2"/>
      <c r="R24" s="182">
        <f t="shared" si="1"/>
        <v>0</v>
      </c>
    </row>
    <row r="25" spans="1:18">
      <c r="A25" s="112" t="s">
        <v>238</v>
      </c>
      <c r="B25" s="12">
        <v>12</v>
      </c>
      <c r="C25" s="21" t="s">
        <v>78</v>
      </c>
      <c r="D25" s="115">
        <v>0</v>
      </c>
      <c r="E25" s="13">
        <v>0</v>
      </c>
      <c r="F25" s="13">
        <v>0</v>
      </c>
      <c r="G25" s="116">
        <v>0</v>
      </c>
      <c r="H25" s="27">
        <v>0</v>
      </c>
      <c r="I25" s="117">
        <v>0</v>
      </c>
      <c r="J25" s="13">
        <v>0</v>
      </c>
      <c r="K25" s="13">
        <v>0</v>
      </c>
      <c r="L25" s="13">
        <v>0</v>
      </c>
      <c r="M25" s="116">
        <v>0</v>
      </c>
      <c r="N25" s="125">
        <v>0</v>
      </c>
      <c r="O25" s="127">
        <v>0</v>
      </c>
      <c r="P25" s="122" t="s">
        <v>216</v>
      </c>
      <c r="Q25" s="2"/>
      <c r="R25" s="182">
        <f t="shared" si="1"/>
        <v>0</v>
      </c>
    </row>
    <row r="26" spans="1:18">
      <c r="A26" s="112" t="s">
        <v>157</v>
      </c>
      <c r="B26" s="12">
        <v>12</v>
      </c>
      <c r="C26" s="21" t="s">
        <v>8</v>
      </c>
      <c r="D26" s="115">
        <v>0</v>
      </c>
      <c r="E26" s="148">
        <f>D37</f>
        <v>973.7</v>
      </c>
      <c r="F26" s="13">
        <v>0</v>
      </c>
      <c r="G26" s="116">
        <f>'Other Overhead C '!$M$9</f>
        <v>4924.875</v>
      </c>
      <c r="H26" s="27">
        <f>'Platform Cloud Costs'!$J$9</f>
        <v>1202.0576888888891</v>
      </c>
      <c r="I26" s="117">
        <v>0</v>
      </c>
      <c r="J26" s="148">
        <f>AVERAGE(D37:F37)</f>
        <v>1109.17</v>
      </c>
      <c r="K26" s="13"/>
      <c r="L26" s="13">
        <f>G26</f>
        <v>4924.875</v>
      </c>
      <c r="M26" s="116">
        <f>H26</f>
        <v>1202.0576888888891</v>
      </c>
      <c r="N26" s="125">
        <v>0</v>
      </c>
      <c r="O26" s="127">
        <v>3</v>
      </c>
      <c r="P26" s="122" t="s">
        <v>216</v>
      </c>
      <c r="Q26" s="184">
        <v>0.04</v>
      </c>
      <c r="R26" s="182">
        <f t="shared" si="1"/>
        <v>85207.592266666674</v>
      </c>
    </row>
    <row r="27" spans="1:18">
      <c r="A27" s="112" t="s">
        <v>172</v>
      </c>
      <c r="B27" s="12">
        <v>12</v>
      </c>
      <c r="C27" s="21" t="s">
        <v>8</v>
      </c>
      <c r="D27" s="115">
        <v>0</v>
      </c>
      <c r="E27" s="13">
        <v>0</v>
      </c>
      <c r="F27" s="148">
        <f>D99</f>
        <v>353.49</v>
      </c>
      <c r="G27" s="116">
        <f>'Other Overhead C '!$M$9</f>
        <v>4924.875</v>
      </c>
      <c r="H27" s="27">
        <f>'Platform Cloud Costs'!$J$9</f>
        <v>1202.0576888888891</v>
      </c>
      <c r="I27" s="117">
        <v>0</v>
      </c>
      <c r="J27" s="13">
        <v>0</v>
      </c>
      <c r="K27" s="148">
        <f>AVERAGE(D99:F99)</f>
        <v>449.72333333333336</v>
      </c>
      <c r="L27" s="13">
        <f>G27</f>
        <v>4924.875</v>
      </c>
      <c r="M27" s="116">
        <f>H27</f>
        <v>1202.0576888888891</v>
      </c>
      <c r="N27" s="125">
        <v>0</v>
      </c>
      <c r="O27" s="127">
        <v>0</v>
      </c>
      <c r="P27" s="122" t="s">
        <v>216</v>
      </c>
      <c r="Q27" s="184">
        <v>0.04</v>
      </c>
      <c r="R27" s="182">
        <f t="shared" si="1"/>
        <v>77765.07226666667</v>
      </c>
    </row>
    <row r="28" spans="1:18">
      <c r="A28" s="112" t="s">
        <v>239</v>
      </c>
      <c r="B28" s="12">
        <v>12</v>
      </c>
      <c r="C28" s="21" t="s">
        <v>95</v>
      </c>
      <c r="D28" s="115">
        <v>0</v>
      </c>
      <c r="E28" s="13">
        <v>0</v>
      </c>
      <c r="F28" s="13">
        <v>0</v>
      </c>
      <c r="G28" s="116">
        <f>'Other Overhead C '!$M$7</f>
        <v>923.4140625</v>
      </c>
      <c r="H28" s="27">
        <f>'Platform Cloud Costs'!$J$7</f>
        <v>169.03936250000001</v>
      </c>
      <c r="I28" s="117">
        <v>0</v>
      </c>
      <c r="J28" s="13">
        <v>0</v>
      </c>
      <c r="K28" s="13">
        <v>0</v>
      </c>
      <c r="L28" s="13">
        <v>0</v>
      </c>
      <c r="M28" s="116">
        <v>0</v>
      </c>
      <c r="N28" s="125">
        <v>0</v>
      </c>
      <c r="O28" s="127">
        <v>0</v>
      </c>
      <c r="P28" s="122" t="s">
        <v>216</v>
      </c>
      <c r="Q28" s="2"/>
      <c r="R28" s="182">
        <f t="shared" si="1"/>
        <v>13109.4411</v>
      </c>
    </row>
    <row r="29" spans="1:18">
      <c r="A29" s="112" t="s">
        <v>230</v>
      </c>
      <c r="B29" s="12">
        <v>12</v>
      </c>
      <c r="C29" s="21" t="s">
        <v>78</v>
      </c>
      <c r="D29" s="115">
        <v>0</v>
      </c>
      <c r="E29" s="13">
        <v>0</v>
      </c>
      <c r="F29" s="13">
        <v>0</v>
      </c>
      <c r="G29" s="116">
        <v>0</v>
      </c>
      <c r="H29" s="27">
        <v>0</v>
      </c>
      <c r="I29" s="117">
        <v>0</v>
      </c>
      <c r="J29" s="13">
        <v>0</v>
      </c>
      <c r="K29" s="13">
        <v>0</v>
      </c>
      <c r="L29" s="13">
        <v>0</v>
      </c>
      <c r="M29" s="116">
        <v>0</v>
      </c>
      <c r="N29" s="125">
        <v>0</v>
      </c>
      <c r="O29" s="127">
        <v>0</v>
      </c>
      <c r="P29" s="122" t="s">
        <v>216</v>
      </c>
      <c r="Q29" s="2"/>
      <c r="R29" s="182">
        <f t="shared" si="1"/>
        <v>0</v>
      </c>
    </row>
    <row r="30" spans="1:18" ht="15.75" thickBot="1">
      <c r="A30" s="46" t="s">
        <v>231</v>
      </c>
      <c r="B30" s="12">
        <v>12</v>
      </c>
      <c r="C30" s="40" t="s">
        <v>78</v>
      </c>
      <c r="D30" s="115">
        <v>0</v>
      </c>
      <c r="E30" s="13">
        <v>0</v>
      </c>
      <c r="F30" s="13">
        <v>0</v>
      </c>
      <c r="G30" s="116">
        <v>0</v>
      </c>
      <c r="H30" s="29">
        <v>0</v>
      </c>
      <c r="I30" s="121">
        <v>0</v>
      </c>
      <c r="J30" s="48">
        <v>0</v>
      </c>
      <c r="K30" s="48">
        <v>0</v>
      </c>
      <c r="L30" s="48">
        <v>0</v>
      </c>
      <c r="M30" s="120">
        <v>0</v>
      </c>
      <c r="N30" s="125">
        <v>0</v>
      </c>
      <c r="O30" s="128">
        <v>0</v>
      </c>
      <c r="P30" s="122" t="s">
        <v>216</v>
      </c>
      <c r="Q30" s="2"/>
      <c r="R30" s="182">
        <f t="shared" si="1"/>
        <v>0</v>
      </c>
    </row>
    <row r="31" spans="1:18">
      <c r="A31" s="91"/>
      <c r="G31" s="116"/>
    </row>
    <row r="33" spans="1:18">
      <c r="A33" t="s">
        <v>85</v>
      </c>
    </row>
    <row r="35" spans="1:18" ht="15.75">
      <c r="A35" t="s">
        <v>165</v>
      </c>
      <c r="D35" s="253" t="s">
        <v>154</v>
      </c>
      <c r="E35" s="253"/>
      <c r="F35" s="253"/>
      <c r="G35" s="253"/>
      <c r="L35" s="263" t="s">
        <v>155</v>
      </c>
      <c r="M35" s="263"/>
      <c r="N35" s="263"/>
      <c r="P35" s="265" t="s">
        <v>156</v>
      </c>
      <c r="Q35" s="265"/>
      <c r="R35" s="265"/>
    </row>
    <row r="36" spans="1:18" ht="15.75">
      <c r="D36" s="69">
        <v>43709</v>
      </c>
      <c r="E36" s="69">
        <v>43678</v>
      </c>
      <c r="F36" s="69">
        <v>43647</v>
      </c>
      <c r="G36" s="69">
        <v>43617</v>
      </c>
      <c r="H36" s="70" t="s">
        <v>39</v>
      </c>
      <c r="I36" s="71" t="s">
        <v>38</v>
      </c>
      <c r="J36" s="72" t="s">
        <v>37</v>
      </c>
      <c r="L36" s="70" t="s">
        <v>39</v>
      </c>
      <c r="M36" s="71" t="s">
        <v>38</v>
      </c>
      <c r="N36" s="72" t="s">
        <v>37</v>
      </c>
      <c r="P36" s="70" t="s">
        <v>39</v>
      </c>
      <c r="Q36" s="71" t="s">
        <v>38</v>
      </c>
      <c r="R36" s="72" t="s">
        <v>37</v>
      </c>
    </row>
    <row r="37" spans="1:18" ht="18">
      <c r="A37" s="94" t="s">
        <v>157</v>
      </c>
      <c r="B37" s="94"/>
      <c r="C37" s="94"/>
      <c r="D37" s="73">
        <v>973.7</v>
      </c>
      <c r="E37" s="73">
        <v>1001.41</v>
      </c>
      <c r="F37" s="73">
        <v>1352.4</v>
      </c>
      <c r="G37" s="73">
        <v>2145.92</v>
      </c>
      <c r="H37" s="73">
        <f>D37</f>
        <v>973.7</v>
      </c>
      <c r="I37" s="73">
        <f>(SUM(D37:G37))/4</f>
        <v>1368.3575000000001</v>
      </c>
      <c r="J37" s="73">
        <f>G37</f>
        <v>2145.92</v>
      </c>
      <c r="K37" s="73"/>
      <c r="L37" s="73">
        <f>(0.1*H37)+H37</f>
        <v>1071.0700000000002</v>
      </c>
      <c r="M37" s="73">
        <f>(0.1*I37)+I37</f>
        <v>1505.19325</v>
      </c>
      <c r="N37" s="73">
        <f>(0.1*J37)+J37</f>
        <v>2360.5120000000002</v>
      </c>
      <c r="O37" s="73"/>
      <c r="P37" s="73">
        <f>(0.2*H37)+H37</f>
        <v>1168.44</v>
      </c>
      <c r="Q37" s="73">
        <f>(0.2*I37)+I37</f>
        <v>1642.029</v>
      </c>
      <c r="R37" s="73">
        <f>(0.2*J37)+J37</f>
        <v>2575.1040000000003</v>
      </c>
    </row>
    <row r="38" spans="1:18" ht="18">
      <c r="A38" s="94" t="s">
        <v>158</v>
      </c>
      <c r="B38" s="94"/>
      <c r="C38" s="94"/>
      <c r="D38" s="73">
        <v>62.03</v>
      </c>
      <c r="E38" s="73">
        <v>62.2</v>
      </c>
      <c r="F38" s="73">
        <v>23.85</v>
      </c>
      <c r="G38" s="73">
        <v>60.95</v>
      </c>
      <c r="H38" s="73">
        <f>F38</f>
        <v>23.85</v>
      </c>
      <c r="I38" s="73">
        <f>(SUM(D38:G38))/4</f>
        <v>52.257500000000007</v>
      </c>
      <c r="J38" s="73">
        <f>E38</f>
        <v>62.2</v>
      </c>
      <c r="K38" s="73"/>
      <c r="L38" s="73">
        <f t="shared" ref="L38:N95" si="3">(0.1*H38)+H38</f>
        <v>26.235000000000003</v>
      </c>
      <c r="M38" s="73">
        <f t="shared" si="3"/>
        <v>57.483250000000012</v>
      </c>
      <c r="N38" s="73">
        <f t="shared" si="3"/>
        <v>68.42</v>
      </c>
      <c r="O38" s="73"/>
      <c r="P38" s="73">
        <f t="shared" ref="P38:R41" si="4">(0.2*H38)+H38</f>
        <v>28.62</v>
      </c>
      <c r="Q38" s="73">
        <f t="shared" si="4"/>
        <v>62.70900000000001</v>
      </c>
      <c r="R38" s="73">
        <f t="shared" si="4"/>
        <v>74.64</v>
      </c>
    </row>
    <row r="39" spans="1:18" ht="18">
      <c r="A39" s="94" t="s">
        <v>159</v>
      </c>
      <c r="B39" s="94"/>
      <c r="C39" s="94"/>
      <c r="D39" s="73">
        <v>20.96</v>
      </c>
      <c r="E39" s="73">
        <v>1410.19</v>
      </c>
      <c r="F39" s="73">
        <v>0.49</v>
      </c>
      <c r="G39" s="73">
        <v>3.51</v>
      </c>
      <c r="H39" s="73">
        <f>F39</f>
        <v>0.49</v>
      </c>
      <c r="I39" s="73">
        <f>(SUM(D39:G39))/4</f>
        <v>358.78750000000002</v>
      </c>
      <c r="J39" s="73">
        <f>E39</f>
        <v>1410.19</v>
      </c>
      <c r="K39" s="73"/>
      <c r="L39" s="73">
        <f t="shared" si="3"/>
        <v>0.53900000000000003</v>
      </c>
      <c r="M39" s="73">
        <f t="shared" si="3"/>
        <v>394.66625000000005</v>
      </c>
      <c r="N39" s="73">
        <f t="shared" si="3"/>
        <v>1551.2090000000001</v>
      </c>
      <c r="O39" s="73"/>
      <c r="P39" s="73">
        <f t="shared" si="4"/>
        <v>0.58799999999999997</v>
      </c>
      <c r="Q39" s="73">
        <f t="shared" si="4"/>
        <v>430.54500000000002</v>
      </c>
      <c r="R39" s="73">
        <f t="shared" si="4"/>
        <v>1692.2280000000001</v>
      </c>
    </row>
    <row r="40" spans="1:18" ht="18">
      <c r="A40" s="94" t="s">
        <v>160</v>
      </c>
      <c r="B40" s="94"/>
      <c r="C40" s="94"/>
      <c r="D40" s="73">
        <v>21.45</v>
      </c>
      <c r="E40" s="73">
        <v>21</v>
      </c>
      <c r="F40" s="73">
        <v>0</v>
      </c>
      <c r="G40" s="73">
        <v>19.43</v>
      </c>
      <c r="H40" s="73">
        <f>F40</f>
        <v>0</v>
      </c>
      <c r="I40" s="73">
        <f>(SUM(D40:G40))/4</f>
        <v>15.47</v>
      </c>
      <c r="J40" s="73">
        <f>D40</f>
        <v>21.45</v>
      </c>
      <c r="K40" s="73"/>
      <c r="L40" s="73">
        <f t="shared" si="3"/>
        <v>0</v>
      </c>
      <c r="M40" s="73">
        <f t="shared" si="3"/>
        <v>17.016999999999999</v>
      </c>
      <c r="N40" s="73">
        <f t="shared" si="3"/>
        <v>23.594999999999999</v>
      </c>
      <c r="O40" s="73"/>
      <c r="P40" s="73">
        <f t="shared" si="4"/>
        <v>0</v>
      </c>
      <c r="Q40" s="73">
        <f t="shared" si="4"/>
        <v>18.564</v>
      </c>
      <c r="R40" s="73">
        <f t="shared" si="4"/>
        <v>25.74</v>
      </c>
    </row>
    <row r="41" spans="1:18" ht="18">
      <c r="A41" s="94" t="s">
        <v>161</v>
      </c>
      <c r="B41" s="94"/>
      <c r="C41" s="94"/>
      <c r="D41" s="73">
        <v>131.35</v>
      </c>
      <c r="E41" s="73">
        <v>419.02</v>
      </c>
      <c r="F41" s="73">
        <v>10.79</v>
      </c>
      <c r="G41" s="73">
        <v>15.33</v>
      </c>
      <c r="H41" s="73">
        <f>F41</f>
        <v>10.79</v>
      </c>
      <c r="I41" s="73">
        <f>(SUM(D41:G41))/4</f>
        <v>144.1225</v>
      </c>
      <c r="J41" s="73">
        <f>E41</f>
        <v>419.02</v>
      </c>
      <c r="K41" s="73"/>
      <c r="L41" s="73">
        <f t="shared" si="3"/>
        <v>11.869</v>
      </c>
      <c r="M41" s="73">
        <f t="shared" si="3"/>
        <v>158.53475</v>
      </c>
      <c r="N41" s="73">
        <f t="shared" si="3"/>
        <v>460.92199999999997</v>
      </c>
      <c r="O41" s="73"/>
      <c r="P41" s="73">
        <f t="shared" si="4"/>
        <v>12.947999999999999</v>
      </c>
      <c r="Q41" s="73">
        <f t="shared" si="4"/>
        <v>172.947</v>
      </c>
      <c r="R41" s="73">
        <f t="shared" si="4"/>
        <v>502.82399999999996</v>
      </c>
    </row>
    <row r="43" spans="1:18">
      <c r="A43" s="64" t="s">
        <v>162</v>
      </c>
      <c r="B43" s="64"/>
      <c r="C43" s="64"/>
      <c r="D43" s="95">
        <v>7.6999999999999999E-2</v>
      </c>
      <c r="E43" s="96" t="s">
        <v>163</v>
      </c>
      <c r="F43" s="95">
        <v>5.1299999999999998E-2</v>
      </c>
      <c r="G43" s="97"/>
    </row>
    <row r="46" spans="1:18">
      <c r="D46" s="253" t="s">
        <v>164</v>
      </c>
      <c r="E46" s="253"/>
      <c r="F46" s="253"/>
      <c r="G46" s="253"/>
    </row>
    <row r="47" spans="1:18" ht="15.75">
      <c r="D47" s="69">
        <v>43709</v>
      </c>
      <c r="E47" s="69">
        <v>43678</v>
      </c>
      <c r="F47" s="69">
        <v>43647</v>
      </c>
      <c r="G47" s="69">
        <v>43617</v>
      </c>
      <c r="H47" s="70" t="s">
        <v>39</v>
      </c>
      <c r="I47" s="71" t="s">
        <v>38</v>
      </c>
      <c r="J47" s="72" t="s">
        <v>37</v>
      </c>
    </row>
    <row r="48" spans="1:18" ht="18">
      <c r="A48" s="94" t="s">
        <v>157</v>
      </c>
      <c r="B48" s="94"/>
      <c r="C48" s="94"/>
      <c r="D48" s="253"/>
      <c r="E48" s="253"/>
      <c r="F48" s="253"/>
      <c r="G48" s="253"/>
    </row>
    <row r="49" spans="1:18">
      <c r="A49" t="s">
        <v>105</v>
      </c>
      <c r="D49" s="73">
        <v>17.61</v>
      </c>
      <c r="E49" s="73">
        <v>18.73</v>
      </c>
      <c r="F49" s="73">
        <v>18.760000000000002</v>
      </c>
      <c r="G49" s="73">
        <v>17.73</v>
      </c>
      <c r="H49" s="73">
        <f>D49</f>
        <v>17.61</v>
      </c>
      <c r="I49" s="73">
        <f t="shared" ref="I49:I55" si="5">(SUM(D49:G49))/4</f>
        <v>18.207500000000003</v>
      </c>
      <c r="J49" s="73">
        <f>F49</f>
        <v>18.760000000000002</v>
      </c>
      <c r="K49" s="73"/>
      <c r="L49" s="73">
        <f t="shared" si="3"/>
        <v>19.370999999999999</v>
      </c>
      <c r="M49" s="73">
        <f t="shared" si="3"/>
        <v>20.028250000000003</v>
      </c>
      <c r="N49" s="73">
        <f t="shared" si="3"/>
        <v>20.636000000000003</v>
      </c>
      <c r="O49" s="73"/>
      <c r="P49" s="73">
        <f t="shared" ref="P49:R95" si="6">(0.2*H49)+H49</f>
        <v>21.131999999999998</v>
      </c>
      <c r="Q49" s="73">
        <f t="shared" si="6"/>
        <v>21.849000000000004</v>
      </c>
      <c r="R49" s="73">
        <f t="shared" si="6"/>
        <v>22.512</v>
      </c>
    </row>
    <row r="50" spans="1:18">
      <c r="A50" t="s">
        <v>106</v>
      </c>
      <c r="D50" s="73">
        <v>0</v>
      </c>
      <c r="E50" s="73">
        <v>0</v>
      </c>
      <c r="F50" s="73">
        <v>0</v>
      </c>
      <c r="G50" s="73">
        <v>0</v>
      </c>
      <c r="H50" s="73">
        <f>D50</f>
        <v>0</v>
      </c>
      <c r="I50" s="73">
        <f t="shared" si="5"/>
        <v>0</v>
      </c>
      <c r="J50" s="73">
        <f>D50</f>
        <v>0</v>
      </c>
      <c r="K50" s="73"/>
      <c r="L50" s="73">
        <f t="shared" si="3"/>
        <v>0</v>
      </c>
      <c r="M50" s="73">
        <f t="shared" si="3"/>
        <v>0</v>
      </c>
      <c r="N50" s="73">
        <f t="shared" si="3"/>
        <v>0</v>
      </c>
      <c r="O50" s="73"/>
      <c r="P50" s="73">
        <f t="shared" si="6"/>
        <v>0</v>
      </c>
      <c r="Q50" s="73">
        <f t="shared" si="6"/>
        <v>0</v>
      </c>
      <c r="R50" s="73">
        <f t="shared" si="6"/>
        <v>0</v>
      </c>
    </row>
    <row r="51" spans="1:18">
      <c r="A51" t="s">
        <v>107</v>
      </c>
      <c r="D51" s="73">
        <v>39.200000000000003</v>
      </c>
      <c r="E51" s="73">
        <v>39.17</v>
      </c>
      <c r="F51" s="73">
        <v>39.630000000000003</v>
      </c>
      <c r="G51" s="73">
        <v>43.5</v>
      </c>
      <c r="H51" s="73">
        <f>E51</f>
        <v>39.17</v>
      </c>
      <c r="I51" s="73">
        <f t="shared" si="5"/>
        <v>40.375</v>
      </c>
      <c r="J51" s="73">
        <f>G51</f>
        <v>43.5</v>
      </c>
      <c r="K51" s="73"/>
      <c r="L51" s="73">
        <f t="shared" si="3"/>
        <v>43.087000000000003</v>
      </c>
      <c r="M51" s="73">
        <f t="shared" si="3"/>
        <v>44.412500000000001</v>
      </c>
      <c r="N51" s="73">
        <f t="shared" si="3"/>
        <v>47.85</v>
      </c>
      <c r="O51" s="73"/>
      <c r="P51" s="73">
        <f t="shared" si="6"/>
        <v>47.004000000000005</v>
      </c>
      <c r="Q51" s="73">
        <f t="shared" si="6"/>
        <v>48.45</v>
      </c>
      <c r="R51" s="73">
        <f t="shared" si="6"/>
        <v>52.2</v>
      </c>
    </row>
    <row r="52" spans="1:18">
      <c r="A52" t="s">
        <v>108</v>
      </c>
      <c r="D52" s="73">
        <v>89.66</v>
      </c>
      <c r="E52" s="73">
        <v>84.54</v>
      </c>
      <c r="F52" s="73">
        <v>88.26</v>
      </c>
      <c r="G52" s="73">
        <v>0</v>
      </c>
      <c r="H52" s="73">
        <f>G52</f>
        <v>0</v>
      </c>
      <c r="I52" s="73">
        <f t="shared" si="5"/>
        <v>65.614999999999995</v>
      </c>
      <c r="J52" s="73">
        <f>D52</f>
        <v>89.66</v>
      </c>
      <c r="K52" s="73"/>
      <c r="L52" s="73">
        <f t="shared" si="3"/>
        <v>0</v>
      </c>
      <c r="M52" s="73">
        <f t="shared" si="3"/>
        <v>72.17649999999999</v>
      </c>
      <c r="N52" s="73">
        <f t="shared" si="3"/>
        <v>98.625999999999991</v>
      </c>
      <c r="O52" s="73"/>
      <c r="P52" s="73">
        <f t="shared" si="6"/>
        <v>0</v>
      </c>
      <c r="Q52" s="73">
        <f t="shared" si="6"/>
        <v>78.738</v>
      </c>
      <c r="R52" s="73">
        <f t="shared" si="6"/>
        <v>107.592</v>
      </c>
    </row>
    <row r="53" spans="1:18">
      <c r="A53" t="s">
        <v>151</v>
      </c>
      <c r="D53" s="73">
        <v>108.23</v>
      </c>
      <c r="E53" s="73">
        <v>111.84</v>
      </c>
      <c r="F53" s="73">
        <v>111.76</v>
      </c>
      <c r="G53" s="73">
        <v>108.16</v>
      </c>
      <c r="H53" s="73">
        <f>G53</f>
        <v>108.16</v>
      </c>
      <c r="I53" s="73">
        <f t="shared" si="5"/>
        <v>109.9975</v>
      </c>
      <c r="J53" s="73">
        <f>E53</f>
        <v>111.84</v>
      </c>
      <c r="K53" s="73"/>
      <c r="L53" s="73">
        <f t="shared" si="3"/>
        <v>118.976</v>
      </c>
      <c r="M53" s="73">
        <f t="shared" si="3"/>
        <v>120.99725000000001</v>
      </c>
      <c r="N53" s="73">
        <f t="shared" si="3"/>
        <v>123.024</v>
      </c>
      <c r="O53" s="73"/>
      <c r="P53" s="73">
        <f t="shared" si="6"/>
        <v>129.792</v>
      </c>
      <c r="Q53" s="73">
        <f t="shared" si="6"/>
        <v>131.99700000000001</v>
      </c>
      <c r="R53" s="73">
        <f t="shared" si="6"/>
        <v>134.208</v>
      </c>
    </row>
    <row r="54" spans="1:18">
      <c r="A54" t="s">
        <v>152</v>
      </c>
      <c r="D54" s="73">
        <v>719</v>
      </c>
      <c r="E54" s="73">
        <v>742</v>
      </c>
      <c r="F54" s="73">
        <v>743</v>
      </c>
      <c r="G54" s="73">
        <v>1183</v>
      </c>
      <c r="H54" s="73">
        <f>D54</f>
        <v>719</v>
      </c>
      <c r="I54" s="73">
        <f t="shared" si="5"/>
        <v>846.75</v>
      </c>
      <c r="J54" s="73">
        <f>G54</f>
        <v>1183</v>
      </c>
      <c r="K54" s="73"/>
      <c r="L54" s="73">
        <f t="shared" si="3"/>
        <v>790.9</v>
      </c>
      <c r="M54" s="73">
        <f t="shared" si="3"/>
        <v>931.42499999999995</v>
      </c>
      <c r="N54" s="73">
        <f t="shared" si="3"/>
        <v>1301.3</v>
      </c>
      <c r="O54" s="73"/>
      <c r="P54" s="73">
        <f t="shared" si="6"/>
        <v>862.8</v>
      </c>
      <c r="Q54" s="73">
        <f t="shared" si="6"/>
        <v>1016.1</v>
      </c>
      <c r="R54" s="73">
        <f t="shared" si="6"/>
        <v>1419.6</v>
      </c>
    </row>
    <row r="55" spans="1:18">
      <c r="A55" t="s">
        <v>153</v>
      </c>
      <c r="D55" s="73">
        <v>0</v>
      </c>
      <c r="E55" s="73">
        <v>0</v>
      </c>
      <c r="F55" s="73">
        <v>0</v>
      </c>
      <c r="G55" s="73">
        <v>0</v>
      </c>
      <c r="H55" s="73">
        <f>D55</f>
        <v>0</v>
      </c>
      <c r="I55" s="73">
        <f t="shared" si="5"/>
        <v>0</v>
      </c>
      <c r="J55" s="73">
        <f>D55</f>
        <v>0</v>
      </c>
      <c r="K55" s="73"/>
      <c r="L55" s="73">
        <f t="shared" si="3"/>
        <v>0</v>
      </c>
      <c r="M55" s="73">
        <f t="shared" si="3"/>
        <v>0</v>
      </c>
      <c r="N55" s="73">
        <f t="shared" si="3"/>
        <v>0</v>
      </c>
      <c r="O55" s="73"/>
      <c r="P55" s="73">
        <f t="shared" si="6"/>
        <v>0</v>
      </c>
      <c r="Q55" s="73">
        <f t="shared" si="6"/>
        <v>0</v>
      </c>
      <c r="R55" s="73">
        <f t="shared" si="6"/>
        <v>0</v>
      </c>
    </row>
    <row r="56" spans="1:18">
      <c r="D56" s="73"/>
      <c r="E56" s="73"/>
      <c r="F56" s="73"/>
      <c r="G56" s="73"/>
      <c r="H56" s="73"/>
      <c r="I56" s="73"/>
      <c r="J56" s="73"/>
      <c r="K56" s="73"/>
      <c r="L56" s="73"/>
      <c r="M56" s="73"/>
      <c r="N56" s="73"/>
      <c r="O56" s="73"/>
      <c r="P56" s="73"/>
      <c r="Q56" s="73"/>
      <c r="R56" s="73"/>
    </row>
    <row r="57" spans="1:18">
      <c r="D57" s="73"/>
      <c r="E57" s="73"/>
      <c r="F57" s="73"/>
      <c r="G57" s="73"/>
      <c r="H57" s="73"/>
      <c r="I57" s="73"/>
      <c r="J57" s="73"/>
      <c r="K57" s="73"/>
      <c r="L57" s="73"/>
      <c r="M57" s="73"/>
      <c r="N57" s="73"/>
      <c r="O57" s="73"/>
      <c r="P57" s="73"/>
      <c r="Q57" s="73"/>
      <c r="R57" s="73"/>
    </row>
    <row r="58" spans="1:18" ht="18">
      <c r="A58" s="94" t="s">
        <v>158</v>
      </c>
      <c r="B58" s="94"/>
      <c r="C58" s="94"/>
      <c r="D58" s="264"/>
      <c r="E58" s="264"/>
      <c r="F58" s="264"/>
      <c r="G58" s="264"/>
      <c r="H58" s="73"/>
      <c r="I58" s="73"/>
      <c r="J58" s="73"/>
      <c r="K58" s="73"/>
      <c r="L58" s="73"/>
      <c r="M58" s="73"/>
      <c r="N58" s="73"/>
      <c r="O58" s="73"/>
      <c r="P58" s="73"/>
      <c r="Q58" s="73"/>
      <c r="R58" s="73"/>
    </row>
    <row r="59" spans="1:18">
      <c r="A59" t="s">
        <v>105</v>
      </c>
      <c r="D59" s="73">
        <v>0</v>
      </c>
      <c r="E59" s="73">
        <v>0</v>
      </c>
      <c r="F59" s="73">
        <v>0.69</v>
      </c>
      <c r="G59" s="73">
        <v>0</v>
      </c>
      <c r="H59" s="73">
        <f>D59</f>
        <v>0</v>
      </c>
      <c r="I59" s="73">
        <f t="shared" ref="I59:I65" si="7">(SUM(D59:G59))/4</f>
        <v>0.17249999999999999</v>
      </c>
      <c r="J59" s="73">
        <f>F59</f>
        <v>0.69</v>
      </c>
      <c r="K59" s="73"/>
      <c r="L59" s="73">
        <f t="shared" si="3"/>
        <v>0</v>
      </c>
      <c r="M59" s="73">
        <f t="shared" si="3"/>
        <v>0.18974999999999997</v>
      </c>
      <c r="N59" s="73">
        <f t="shared" si="3"/>
        <v>0.7589999999999999</v>
      </c>
      <c r="O59" s="73"/>
      <c r="P59" s="73">
        <f t="shared" si="6"/>
        <v>0</v>
      </c>
      <c r="Q59" s="73">
        <f t="shared" si="6"/>
        <v>0.20699999999999999</v>
      </c>
      <c r="R59" s="73">
        <f t="shared" si="6"/>
        <v>0.82799999999999996</v>
      </c>
    </row>
    <row r="60" spans="1:18">
      <c r="A60" t="s">
        <v>106</v>
      </c>
      <c r="D60" s="73">
        <v>0.67</v>
      </c>
      <c r="E60" s="73">
        <v>0.65</v>
      </c>
      <c r="F60" s="73">
        <v>0</v>
      </c>
      <c r="G60" s="73">
        <v>0</v>
      </c>
      <c r="H60" s="73">
        <f>G60</f>
        <v>0</v>
      </c>
      <c r="I60" s="73">
        <f t="shared" si="7"/>
        <v>0.33</v>
      </c>
      <c r="J60" s="73">
        <f>D60</f>
        <v>0.67</v>
      </c>
      <c r="K60" s="73"/>
      <c r="L60" s="73">
        <f t="shared" si="3"/>
        <v>0</v>
      </c>
      <c r="M60" s="73">
        <f t="shared" si="3"/>
        <v>0.36299999999999999</v>
      </c>
      <c r="N60" s="73">
        <f t="shared" si="3"/>
        <v>0.7370000000000001</v>
      </c>
      <c r="O60" s="73"/>
      <c r="P60" s="73">
        <f t="shared" si="6"/>
        <v>0</v>
      </c>
      <c r="Q60" s="73">
        <f t="shared" si="6"/>
        <v>0.39600000000000002</v>
      </c>
      <c r="R60" s="73">
        <f t="shared" si="6"/>
        <v>0.80400000000000005</v>
      </c>
    </row>
    <row r="61" spans="1:18">
      <c r="A61" t="s">
        <v>107</v>
      </c>
      <c r="D61" s="73">
        <v>0.02</v>
      </c>
      <c r="E61" s="73">
        <v>0.01</v>
      </c>
      <c r="F61" s="73">
        <v>0.01</v>
      </c>
      <c r="G61" s="73">
        <v>0</v>
      </c>
      <c r="H61" s="73">
        <f>G61</f>
        <v>0</v>
      </c>
      <c r="I61" s="73">
        <f t="shared" si="7"/>
        <v>0.01</v>
      </c>
      <c r="J61" s="73">
        <f>D61</f>
        <v>0.02</v>
      </c>
      <c r="K61" s="73"/>
      <c r="L61" s="73">
        <f t="shared" si="3"/>
        <v>0</v>
      </c>
      <c r="M61" s="73">
        <f t="shared" si="3"/>
        <v>1.0999999999999999E-2</v>
      </c>
      <c r="N61" s="73">
        <f t="shared" si="3"/>
        <v>2.1999999999999999E-2</v>
      </c>
      <c r="O61" s="73"/>
      <c r="P61" s="73">
        <f t="shared" si="6"/>
        <v>0</v>
      </c>
      <c r="Q61" s="73">
        <f t="shared" si="6"/>
        <v>1.2E-2</v>
      </c>
      <c r="R61" s="73">
        <f t="shared" si="6"/>
        <v>2.4E-2</v>
      </c>
    </row>
    <row r="62" spans="1:18">
      <c r="A62" t="s">
        <v>108</v>
      </c>
      <c r="D62" s="73">
        <v>60.53</v>
      </c>
      <c r="E62" s="73">
        <v>60.53</v>
      </c>
      <c r="F62" s="73">
        <v>79.17</v>
      </c>
      <c r="G62" s="73">
        <v>21.54</v>
      </c>
      <c r="H62" s="73">
        <f>G62</f>
        <v>21.54</v>
      </c>
      <c r="I62" s="73">
        <f t="shared" si="7"/>
        <v>55.442500000000003</v>
      </c>
      <c r="J62" s="73">
        <f>F62</f>
        <v>79.17</v>
      </c>
      <c r="K62" s="73"/>
      <c r="L62" s="73">
        <f t="shared" si="3"/>
        <v>23.693999999999999</v>
      </c>
      <c r="M62" s="73">
        <f t="shared" si="3"/>
        <v>60.986750000000001</v>
      </c>
      <c r="N62" s="73">
        <f t="shared" si="3"/>
        <v>87.087000000000003</v>
      </c>
      <c r="O62" s="73"/>
      <c r="P62" s="73">
        <f t="shared" si="6"/>
        <v>25.847999999999999</v>
      </c>
      <c r="Q62" s="73">
        <f t="shared" si="6"/>
        <v>66.531000000000006</v>
      </c>
      <c r="R62" s="73">
        <f t="shared" si="6"/>
        <v>95.004000000000005</v>
      </c>
    </row>
    <row r="63" spans="1:18">
      <c r="A63" t="s">
        <v>151</v>
      </c>
      <c r="D63" s="73">
        <v>0</v>
      </c>
      <c r="E63" s="73">
        <v>0</v>
      </c>
      <c r="F63" s="73">
        <v>0</v>
      </c>
      <c r="G63" s="73">
        <v>0</v>
      </c>
      <c r="H63" s="73">
        <f>D63</f>
        <v>0</v>
      </c>
      <c r="I63" s="73">
        <f t="shared" si="7"/>
        <v>0</v>
      </c>
      <c r="J63" s="73">
        <f>D63</f>
        <v>0</v>
      </c>
      <c r="K63" s="73"/>
      <c r="L63" s="73">
        <f t="shared" si="3"/>
        <v>0</v>
      </c>
      <c r="M63" s="73">
        <f t="shared" si="3"/>
        <v>0</v>
      </c>
      <c r="N63" s="73">
        <f t="shared" si="3"/>
        <v>0</v>
      </c>
      <c r="O63" s="73"/>
      <c r="P63" s="73">
        <f t="shared" si="6"/>
        <v>0</v>
      </c>
      <c r="Q63" s="73">
        <f t="shared" si="6"/>
        <v>0</v>
      </c>
      <c r="R63" s="73">
        <f t="shared" si="6"/>
        <v>0</v>
      </c>
    </row>
    <row r="64" spans="1:18">
      <c r="A64" t="s">
        <v>152</v>
      </c>
      <c r="D64" s="73">
        <v>0</v>
      </c>
      <c r="E64" s="73">
        <v>0</v>
      </c>
      <c r="F64" s="73">
        <v>0</v>
      </c>
      <c r="G64" s="73">
        <v>0</v>
      </c>
      <c r="H64" s="73">
        <f>D64</f>
        <v>0</v>
      </c>
      <c r="I64" s="73">
        <f t="shared" si="7"/>
        <v>0</v>
      </c>
      <c r="J64" s="73">
        <f>D64</f>
        <v>0</v>
      </c>
      <c r="K64" s="73"/>
      <c r="L64" s="73">
        <f t="shared" si="3"/>
        <v>0</v>
      </c>
      <c r="M64" s="73">
        <f t="shared" si="3"/>
        <v>0</v>
      </c>
      <c r="N64" s="73">
        <f t="shared" si="3"/>
        <v>0</v>
      </c>
      <c r="O64" s="73"/>
      <c r="P64" s="73">
        <f t="shared" si="6"/>
        <v>0</v>
      </c>
      <c r="Q64" s="73">
        <f t="shared" si="6"/>
        <v>0</v>
      </c>
      <c r="R64" s="73">
        <f t="shared" si="6"/>
        <v>0</v>
      </c>
    </row>
    <row r="65" spans="1:18">
      <c r="A65" t="s">
        <v>153</v>
      </c>
      <c r="D65" s="73">
        <v>0.81</v>
      </c>
      <c r="E65" s="73">
        <v>1.01</v>
      </c>
      <c r="F65" s="73">
        <v>1.1000000000000001</v>
      </c>
      <c r="G65" s="73">
        <v>2.2000000000000002</v>
      </c>
      <c r="H65" s="73">
        <f>D65</f>
        <v>0.81</v>
      </c>
      <c r="I65" s="73">
        <f t="shared" si="7"/>
        <v>1.28</v>
      </c>
      <c r="J65" s="73">
        <f>G65</f>
        <v>2.2000000000000002</v>
      </c>
      <c r="K65" s="73"/>
      <c r="L65" s="73">
        <f t="shared" si="3"/>
        <v>0.89100000000000001</v>
      </c>
      <c r="M65" s="73">
        <f t="shared" si="3"/>
        <v>1.4079999999999999</v>
      </c>
      <c r="N65" s="73">
        <f t="shared" si="3"/>
        <v>2.4200000000000004</v>
      </c>
      <c r="O65" s="73"/>
      <c r="P65" s="73">
        <f t="shared" si="6"/>
        <v>0.97200000000000009</v>
      </c>
      <c r="Q65" s="73">
        <f t="shared" si="6"/>
        <v>1.536</v>
      </c>
      <c r="R65" s="73">
        <f t="shared" si="6"/>
        <v>2.64</v>
      </c>
    </row>
    <row r="66" spans="1:18">
      <c r="D66" s="73"/>
      <c r="E66" s="73"/>
      <c r="F66" s="73"/>
      <c r="G66" s="73"/>
      <c r="H66" s="73"/>
      <c r="I66" s="73"/>
      <c r="J66" s="73"/>
      <c r="K66" s="73"/>
      <c r="L66" s="73"/>
      <c r="M66" s="73"/>
      <c r="N66" s="73"/>
      <c r="O66" s="73"/>
      <c r="P66" s="73"/>
      <c r="Q66" s="73"/>
      <c r="R66" s="73"/>
    </row>
    <row r="67" spans="1:18">
      <c r="D67" s="73"/>
      <c r="E67" s="73"/>
      <c r="F67" s="73"/>
      <c r="G67" s="73"/>
      <c r="H67" s="73"/>
      <c r="I67" s="73"/>
      <c r="J67" s="73"/>
      <c r="K67" s="73"/>
      <c r="L67" s="73"/>
      <c r="M67" s="73"/>
      <c r="N67" s="73"/>
      <c r="O67" s="73"/>
      <c r="P67" s="73"/>
      <c r="Q67" s="73"/>
      <c r="R67" s="73"/>
    </row>
    <row r="68" spans="1:18" ht="18">
      <c r="A68" s="94" t="s">
        <v>159</v>
      </c>
      <c r="B68" s="94"/>
      <c r="C68" s="94"/>
      <c r="D68" s="264"/>
      <c r="E68" s="264"/>
      <c r="F68" s="264"/>
      <c r="G68" s="264"/>
      <c r="H68" s="73"/>
      <c r="I68" s="73"/>
      <c r="J68" s="73"/>
      <c r="K68" s="73"/>
      <c r="L68" s="73"/>
      <c r="M68" s="73"/>
      <c r="N68" s="73"/>
      <c r="O68" s="73"/>
      <c r="P68" s="73"/>
      <c r="Q68" s="73"/>
      <c r="R68" s="73"/>
    </row>
    <row r="69" spans="1:18">
      <c r="A69" t="s">
        <v>105</v>
      </c>
      <c r="D69" s="73">
        <v>0</v>
      </c>
      <c r="E69" s="73">
        <v>0</v>
      </c>
      <c r="F69" s="73">
        <v>0</v>
      </c>
      <c r="G69" s="73">
        <v>0</v>
      </c>
      <c r="H69" s="73">
        <f>D69</f>
        <v>0</v>
      </c>
      <c r="I69" s="73">
        <f t="shared" ref="I69:I75" si="8">(SUM(D69:G69))/4</f>
        <v>0</v>
      </c>
      <c r="J69" s="73">
        <f>D69</f>
        <v>0</v>
      </c>
      <c r="K69" s="73"/>
      <c r="L69" s="73">
        <f t="shared" si="3"/>
        <v>0</v>
      </c>
      <c r="M69" s="73">
        <f t="shared" si="3"/>
        <v>0</v>
      </c>
      <c r="N69" s="73">
        <f t="shared" si="3"/>
        <v>0</v>
      </c>
      <c r="O69" s="73"/>
      <c r="P69" s="73">
        <f t="shared" si="6"/>
        <v>0</v>
      </c>
      <c r="Q69" s="73">
        <f t="shared" si="6"/>
        <v>0</v>
      </c>
      <c r="R69" s="73">
        <f t="shared" si="6"/>
        <v>0</v>
      </c>
    </row>
    <row r="70" spans="1:18">
      <c r="A70" t="s">
        <v>106</v>
      </c>
      <c r="D70" s="73">
        <v>0</v>
      </c>
      <c r="E70" s="73">
        <v>0</v>
      </c>
      <c r="F70" s="73">
        <v>0</v>
      </c>
      <c r="G70" s="73">
        <v>0</v>
      </c>
      <c r="H70" s="73">
        <f>D70</f>
        <v>0</v>
      </c>
      <c r="I70" s="73">
        <f t="shared" si="8"/>
        <v>0</v>
      </c>
      <c r="J70" s="73">
        <f>D70</f>
        <v>0</v>
      </c>
      <c r="K70" s="73"/>
      <c r="L70" s="73">
        <f t="shared" si="3"/>
        <v>0</v>
      </c>
      <c r="M70" s="73">
        <f t="shared" si="3"/>
        <v>0</v>
      </c>
      <c r="N70" s="73">
        <f t="shared" si="3"/>
        <v>0</v>
      </c>
      <c r="O70" s="73"/>
      <c r="P70" s="73">
        <f t="shared" si="6"/>
        <v>0</v>
      </c>
      <c r="Q70" s="73">
        <f t="shared" si="6"/>
        <v>0</v>
      </c>
      <c r="R70" s="73">
        <f t="shared" si="6"/>
        <v>0</v>
      </c>
    </row>
    <row r="71" spans="1:18">
      <c r="A71" t="s">
        <v>107</v>
      </c>
      <c r="D71" s="73">
        <v>20.96</v>
      </c>
      <c r="E71" s="73">
        <v>1410.19</v>
      </c>
      <c r="F71" s="73">
        <v>0.21</v>
      </c>
      <c r="G71" s="73">
        <v>0</v>
      </c>
      <c r="H71" s="73">
        <f>G71</f>
        <v>0</v>
      </c>
      <c r="I71" s="73">
        <f t="shared" si="8"/>
        <v>357.84000000000003</v>
      </c>
      <c r="J71" s="73">
        <f>E71</f>
        <v>1410.19</v>
      </c>
      <c r="K71" s="73"/>
      <c r="L71" s="73">
        <f t="shared" si="3"/>
        <v>0</v>
      </c>
      <c r="M71" s="73">
        <f t="shared" si="3"/>
        <v>393.62400000000002</v>
      </c>
      <c r="N71" s="73">
        <f t="shared" si="3"/>
        <v>1551.2090000000001</v>
      </c>
      <c r="O71" s="73"/>
      <c r="P71" s="73">
        <f t="shared" si="6"/>
        <v>0</v>
      </c>
      <c r="Q71" s="73">
        <f t="shared" si="6"/>
        <v>429.40800000000002</v>
      </c>
      <c r="R71" s="73">
        <f t="shared" si="6"/>
        <v>1692.2280000000001</v>
      </c>
    </row>
    <row r="72" spans="1:18">
      <c r="A72" t="s">
        <v>108</v>
      </c>
      <c r="D72" s="73">
        <v>0</v>
      </c>
      <c r="E72" s="73">
        <v>0</v>
      </c>
      <c r="F72" s="73">
        <v>0</v>
      </c>
      <c r="G72" s="73">
        <v>0</v>
      </c>
      <c r="H72" s="73">
        <f>D72</f>
        <v>0</v>
      </c>
      <c r="I72" s="73">
        <f t="shared" si="8"/>
        <v>0</v>
      </c>
      <c r="J72" s="73">
        <f>E72</f>
        <v>0</v>
      </c>
      <c r="K72" s="73"/>
      <c r="L72" s="73">
        <f t="shared" si="3"/>
        <v>0</v>
      </c>
      <c r="M72" s="73">
        <f t="shared" si="3"/>
        <v>0</v>
      </c>
      <c r="N72" s="73">
        <f t="shared" si="3"/>
        <v>0</v>
      </c>
      <c r="O72" s="73"/>
      <c r="P72" s="73">
        <f t="shared" si="6"/>
        <v>0</v>
      </c>
      <c r="Q72" s="73">
        <f t="shared" si="6"/>
        <v>0</v>
      </c>
      <c r="R72" s="73">
        <f t="shared" si="6"/>
        <v>0</v>
      </c>
    </row>
    <row r="73" spans="1:18">
      <c r="A73" t="s">
        <v>151</v>
      </c>
      <c r="D73" s="73">
        <v>0</v>
      </c>
      <c r="E73" s="73">
        <v>0</v>
      </c>
      <c r="F73" s="73">
        <v>0</v>
      </c>
      <c r="G73" s="73">
        <v>0</v>
      </c>
      <c r="H73" s="73">
        <f>D73</f>
        <v>0</v>
      </c>
      <c r="I73" s="73">
        <f t="shared" si="8"/>
        <v>0</v>
      </c>
      <c r="J73" s="73">
        <f>E73</f>
        <v>0</v>
      </c>
      <c r="K73" s="73"/>
      <c r="L73" s="73">
        <f t="shared" si="3"/>
        <v>0</v>
      </c>
      <c r="M73" s="73">
        <f t="shared" si="3"/>
        <v>0</v>
      </c>
      <c r="N73" s="73">
        <f t="shared" si="3"/>
        <v>0</v>
      </c>
      <c r="O73" s="73"/>
      <c r="P73" s="73">
        <f t="shared" si="6"/>
        <v>0</v>
      </c>
      <c r="Q73" s="73">
        <f t="shared" si="6"/>
        <v>0</v>
      </c>
      <c r="R73" s="73">
        <f t="shared" si="6"/>
        <v>0</v>
      </c>
    </row>
    <row r="74" spans="1:18">
      <c r="A74" t="s">
        <v>152</v>
      </c>
      <c r="D74" s="73">
        <v>0</v>
      </c>
      <c r="E74" s="73">
        <v>0</v>
      </c>
      <c r="F74" s="73">
        <v>0</v>
      </c>
      <c r="G74" s="73">
        <v>0</v>
      </c>
      <c r="H74" s="73">
        <f>D74</f>
        <v>0</v>
      </c>
      <c r="I74" s="73">
        <f t="shared" si="8"/>
        <v>0</v>
      </c>
      <c r="J74" s="73">
        <f>E74</f>
        <v>0</v>
      </c>
      <c r="K74" s="73"/>
      <c r="L74" s="73">
        <f t="shared" si="3"/>
        <v>0</v>
      </c>
      <c r="M74" s="73">
        <f t="shared" si="3"/>
        <v>0</v>
      </c>
      <c r="N74" s="73">
        <f t="shared" si="3"/>
        <v>0</v>
      </c>
      <c r="O74" s="73"/>
      <c r="P74" s="73">
        <f t="shared" si="6"/>
        <v>0</v>
      </c>
      <c r="Q74" s="73">
        <f t="shared" si="6"/>
        <v>0</v>
      </c>
      <c r="R74" s="73">
        <f t="shared" si="6"/>
        <v>0</v>
      </c>
    </row>
    <row r="75" spans="1:18">
      <c r="A75" t="s">
        <v>153</v>
      </c>
      <c r="D75" s="73">
        <v>0</v>
      </c>
      <c r="E75" s="73">
        <v>0</v>
      </c>
      <c r="F75" s="73">
        <v>0</v>
      </c>
      <c r="G75" s="73">
        <v>0</v>
      </c>
      <c r="H75" s="73">
        <f>D75</f>
        <v>0</v>
      </c>
      <c r="I75" s="73">
        <f t="shared" si="8"/>
        <v>0</v>
      </c>
      <c r="J75" s="73">
        <f>E75</f>
        <v>0</v>
      </c>
      <c r="K75" s="73"/>
      <c r="L75" s="73">
        <f t="shared" si="3"/>
        <v>0</v>
      </c>
      <c r="M75" s="73">
        <f t="shared" si="3"/>
        <v>0</v>
      </c>
      <c r="N75" s="73">
        <f t="shared" si="3"/>
        <v>0</v>
      </c>
      <c r="O75" s="73"/>
      <c r="P75" s="73">
        <f t="shared" si="6"/>
        <v>0</v>
      </c>
      <c r="Q75" s="73">
        <f t="shared" si="6"/>
        <v>0</v>
      </c>
      <c r="R75" s="73">
        <f t="shared" si="6"/>
        <v>0</v>
      </c>
    </row>
    <row r="76" spans="1:18">
      <c r="D76" s="73"/>
      <c r="E76" s="73"/>
      <c r="F76" s="73"/>
      <c r="G76" s="73"/>
      <c r="H76" s="73"/>
      <c r="I76" s="73"/>
      <c r="J76" s="73"/>
      <c r="K76" s="73"/>
      <c r="L76" s="73"/>
      <c r="M76" s="73"/>
      <c r="N76" s="73"/>
      <c r="O76" s="73"/>
      <c r="P76" s="73"/>
      <c r="Q76" s="73"/>
      <c r="R76" s="73"/>
    </row>
    <row r="77" spans="1:18">
      <c r="D77" s="73"/>
      <c r="E77" s="73"/>
      <c r="F77" s="73"/>
      <c r="G77" s="73"/>
      <c r="H77" s="73"/>
      <c r="I77" s="73"/>
      <c r="J77" s="73"/>
      <c r="K77" s="73"/>
      <c r="L77" s="73"/>
      <c r="M77" s="73"/>
      <c r="N77" s="73"/>
      <c r="O77" s="73"/>
      <c r="P77" s="73"/>
      <c r="Q77" s="73"/>
      <c r="R77" s="73"/>
    </row>
    <row r="78" spans="1:18" ht="18">
      <c r="A78" s="94" t="s">
        <v>160</v>
      </c>
      <c r="B78" s="94"/>
      <c r="C78" s="94"/>
      <c r="D78" s="264"/>
      <c r="E78" s="264"/>
      <c r="F78" s="264"/>
      <c r="G78" s="264"/>
      <c r="H78" s="73"/>
      <c r="I78" s="73"/>
      <c r="J78" s="73"/>
      <c r="K78" s="73"/>
      <c r="L78" s="73"/>
      <c r="M78" s="73"/>
      <c r="N78" s="73"/>
      <c r="O78" s="73"/>
      <c r="P78" s="73"/>
      <c r="Q78" s="73"/>
      <c r="R78" s="73"/>
    </row>
    <row r="79" spans="1:18">
      <c r="A79" t="s">
        <v>105</v>
      </c>
      <c r="D79" s="73">
        <v>0</v>
      </c>
      <c r="E79" s="73">
        <v>0</v>
      </c>
      <c r="F79" s="73">
        <v>0</v>
      </c>
      <c r="G79" s="73">
        <v>0</v>
      </c>
      <c r="H79" s="73">
        <f>D79</f>
        <v>0</v>
      </c>
      <c r="I79" s="73">
        <f t="shared" ref="I79:I85" si="9">(SUM(D79:G79))/4</f>
        <v>0</v>
      </c>
      <c r="J79" s="73">
        <f>E79</f>
        <v>0</v>
      </c>
      <c r="K79" s="73"/>
      <c r="L79" s="73">
        <f t="shared" si="3"/>
        <v>0</v>
      </c>
      <c r="M79" s="73">
        <f t="shared" si="3"/>
        <v>0</v>
      </c>
      <c r="N79" s="73">
        <f t="shared" si="3"/>
        <v>0</v>
      </c>
      <c r="O79" s="73"/>
      <c r="P79" s="73">
        <f t="shared" si="6"/>
        <v>0</v>
      </c>
      <c r="Q79" s="73">
        <f t="shared" si="6"/>
        <v>0</v>
      </c>
      <c r="R79" s="73">
        <f t="shared" si="6"/>
        <v>0</v>
      </c>
    </row>
    <row r="80" spans="1:18">
      <c r="A80" t="s">
        <v>106</v>
      </c>
      <c r="D80" s="73">
        <v>0</v>
      </c>
      <c r="E80" s="73">
        <v>0</v>
      </c>
      <c r="F80" s="73">
        <v>0</v>
      </c>
      <c r="G80" s="73">
        <v>0</v>
      </c>
      <c r="H80" s="73">
        <f>D80</f>
        <v>0</v>
      </c>
      <c r="I80" s="73">
        <f t="shared" si="9"/>
        <v>0</v>
      </c>
      <c r="J80" s="73">
        <f>E80</f>
        <v>0</v>
      </c>
      <c r="K80" s="73"/>
      <c r="L80" s="73">
        <f t="shared" si="3"/>
        <v>0</v>
      </c>
      <c r="M80" s="73">
        <f t="shared" si="3"/>
        <v>0</v>
      </c>
      <c r="N80" s="73">
        <f t="shared" si="3"/>
        <v>0</v>
      </c>
      <c r="O80" s="73"/>
      <c r="P80" s="73">
        <f t="shared" si="6"/>
        <v>0</v>
      </c>
      <c r="Q80" s="73">
        <f t="shared" si="6"/>
        <v>0</v>
      </c>
      <c r="R80" s="73">
        <f t="shared" si="6"/>
        <v>0</v>
      </c>
    </row>
    <row r="81" spans="1:18">
      <c r="A81" t="s">
        <v>107</v>
      </c>
      <c r="D81" s="73">
        <v>0</v>
      </c>
      <c r="E81" s="73">
        <v>0</v>
      </c>
      <c r="F81" s="73">
        <v>0</v>
      </c>
      <c r="G81" s="73">
        <v>0</v>
      </c>
      <c r="H81" s="73">
        <f>D81</f>
        <v>0</v>
      </c>
      <c r="I81" s="73">
        <f t="shared" si="9"/>
        <v>0</v>
      </c>
      <c r="J81" s="73">
        <f>E81</f>
        <v>0</v>
      </c>
      <c r="K81" s="73"/>
      <c r="L81" s="73">
        <f t="shared" si="3"/>
        <v>0</v>
      </c>
      <c r="M81" s="73">
        <f t="shared" si="3"/>
        <v>0</v>
      </c>
      <c r="N81" s="73">
        <f t="shared" si="3"/>
        <v>0</v>
      </c>
      <c r="O81" s="73"/>
      <c r="P81" s="73">
        <f t="shared" si="6"/>
        <v>0</v>
      </c>
      <c r="Q81" s="73">
        <f t="shared" si="6"/>
        <v>0</v>
      </c>
      <c r="R81" s="73">
        <f t="shared" si="6"/>
        <v>0</v>
      </c>
    </row>
    <row r="82" spans="1:18">
      <c r="A82" t="s">
        <v>108</v>
      </c>
      <c r="D82" s="73">
        <v>21.45</v>
      </c>
      <c r="E82" s="73">
        <v>21</v>
      </c>
      <c r="F82" s="73">
        <v>0</v>
      </c>
      <c r="G82" s="73">
        <v>0</v>
      </c>
      <c r="H82" s="73">
        <f>G82</f>
        <v>0</v>
      </c>
      <c r="I82" s="73">
        <f t="shared" si="9"/>
        <v>10.612500000000001</v>
      </c>
      <c r="J82" s="73">
        <f>D82</f>
        <v>21.45</v>
      </c>
      <c r="K82" s="73"/>
      <c r="L82" s="73">
        <f t="shared" si="3"/>
        <v>0</v>
      </c>
      <c r="M82" s="73">
        <f t="shared" si="3"/>
        <v>11.67375</v>
      </c>
      <c r="N82" s="73">
        <f t="shared" si="3"/>
        <v>23.594999999999999</v>
      </c>
      <c r="O82" s="73"/>
      <c r="P82" s="73">
        <f t="shared" si="6"/>
        <v>0</v>
      </c>
      <c r="Q82" s="73">
        <f t="shared" si="6"/>
        <v>12.735000000000001</v>
      </c>
      <c r="R82" s="73">
        <f t="shared" si="6"/>
        <v>25.74</v>
      </c>
    </row>
    <row r="83" spans="1:18">
      <c r="A83" t="s">
        <v>151</v>
      </c>
      <c r="D83" s="73">
        <v>0</v>
      </c>
      <c r="E83" s="73">
        <v>0</v>
      </c>
      <c r="F83" s="73">
        <v>0</v>
      </c>
      <c r="G83" s="73">
        <v>0</v>
      </c>
      <c r="H83" s="73">
        <f>D83</f>
        <v>0</v>
      </c>
      <c r="I83" s="73">
        <f t="shared" si="9"/>
        <v>0</v>
      </c>
      <c r="J83" s="73">
        <f>D83</f>
        <v>0</v>
      </c>
      <c r="K83" s="73"/>
      <c r="L83" s="73">
        <f t="shared" si="3"/>
        <v>0</v>
      </c>
      <c r="M83" s="73">
        <f t="shared" si="3"/>
        <v>0</v>
      </c>
      <c r="N83" s="73">
        <f t="shared" si="3"/>
        <v>0</v>
      </c>
      <c r="O83" s="73"/>
      <c r="P83" s="73">
        <f t="shared" si="6"/>
        <v>0</v>
      </c>
      <c r="Q83" s="73">
        <f t="shared" si="6"/>
        <v>0</v>
      </c>
      <c r="R83" s="73">
        <f t="shared" si="6"/>
        <v>0</v>
      </c>
    </row>
    <row r="84" spans="1:18">
      <c r="A84" t="s">
        <v>152</v>
      </c>
      <c r="D84" s="73">
        <v>0</v>
      </c>
      <c r="E84" s="73">
        <v>0</v>
      </c>
      <c r="F84" s="73">
        <v>0</v>
      </c>
      <c r="G84" s="73">
        <v>0</v>
      </c>
      <c r="H84" s="73">
        <f>D84</f>
        <v>0</v>
      </c>
      <c r="I84" s="73">
        <f t="shared" si="9"/>
        <v>0</v>
      </c>
      <c r="J84" s="73">
        <f>D84</f>
        <v>0</v>
      </c>
      <c r="K84" s="73"/>
      <c r="L84" s="73">
        <f t="shared" si="3"/>
        <v>0</v>
      </c>
      <c r="M84" s="73">
        <f t="shared" si="3"/>
        <v>0</v>
      </c>
      <c r="N84" s="73">
        <f t="shared" si="3"/>
        <v>0</v>
      </c>
      <c r="O84" s="73"/>
      <c r="P84" s="73">
        <f t="shared" si="6"/>
        <v>0</v>
      </c>
      <c r="Q84" s="73">
        <f t="shared" si="6"/>
        <v>0</v>
      </c>
      <c r="R84" s="73">
        <f t="shared" si="6"/>
        <v>0</v>
      </c>
    </row>
    <row r="85" spans="1:18">
      <c r="A85" t="s">
        <v>153</v>
      </c>
      <c r="D85" s="73">
        <v>0</v>
      </c>
      <c r="E85" s="73">
        <v>0</v>
      </c>
      <c r="F85" s="73">
        <v>0</v>
      </c>
      <c r="G85" s="73">
        <v>0</v>
      </c>
      <c r="H85" s="73">
        <f>D85</f>
        <v>0</v>
      </c>
      <c r="I85" s="73">
        <f t="shared" si="9"/>
        <v>0</v>
      </c>
      <c r="J85" s="73">
        <f>D85</f>
        <v>0</v>
      </c>
      <c r="K85" s="73"/>
      <c r="L85" s="73">
        <f t="shared" si="3"/>
        <v>0</v>
      </c>
      <c r="M85" s="73">
        <f t="shared" si="3"/>
        <v>0</v>
      </c>
      <c r="N85" s="73">
        <f t="shared" si="3"/>
        <v>0</v>
      </c>
      <c r="O85" s="73"/>
      <c r="P85" s="73">
        <f t="shared" si="6"/>
        <v>0</v>
      </c>
      <c r="Q85" s="73">
        <f t="shared" si="6"/>
        <v>0</v>
      </c>
      <c r="R85" s="73">
        <f t="shared" si="6"/>
        <v>0</v>
      </c>
    </row>
    <row r="86" spans="1:18">
      <c r="D86" s="73"/>
      <c r="E86" s="73"/>
      <c r="F86" s="73"/>
      <c r="G86" s="73"/>
      <c r="H86" s="73"/>
      <c r="I86" s="73"/>
      <c r="J86" s="73"/>
      <c r="K86" s="73"/>
      <c r="L86" s="73"/>
      <c r="M86" s="73"/>
      <c r="N86" s="73"/>
      <c r="O86" s="73"/>
      <c r="P86" s="73"/>
      <c r="Q86" s="73"/>
      <c r="R86" s="73"/>
    </row>
    <row r="87" spans="1:18">
      <c r="D87" s="73"/>
      <c r="E87" s="73"/>
      <c r="F87" s="73"/>
      <c r="G87" s="73"/>
      <c r="H87" s="73"/>
      <c r="I87" s="73"/>
      <c r="J87" s="73"/>
      <c r="K87" s="73"/>
      <c r="L87" s="73"/>
      <c r="M87" s="73"/>
      <c r="N87" s="73"/>
      <c r="O87" s="73"/>
      <c r="P87" s="73"/>
      <c r="Q87" s="73"/>
      <c r="R87" s="73"/>
    </row>
    <row r="88" spans="1:18" ht="18">
      <c r="A88" s="94" t="s">
        <v>161</v>
      </c>
      <c r="B88" s="94"/>
      <c r="C88" s="94"/>
      <c r="D88" s="264"/>
      <c r="E88" s="264"/>
      <c r="F88" s="264"/>
      <c r="G88" s="264"/>
      <c r="H88" s="73"/>
      <c r="I88" s="73"/>
      <c r="J88" s="73"/>
      <c r="K88" s="73"/>
      <c r="L88" s="73"/>
      <c r="M88" s="73"/>
      <c r="N88" s="73"/>
      <c r="O88" s="73"/>
      <c r="P88" s="73"/>
      <c r="Q88" s="73"/>
      <c r="R88" s="73"/>
    </row>
    <row r="89" spans="1:18">
      <c r="A89" t="s">
        <v>105</v>
      </c>
      <c r="D89" s="73">
        <v>0</v>
      </c>
      <c r="E89" s="73">
        <v>0</v>
      </c>
      <c r="F89" s="73">
        <v>0</v>
      </c>
      <c r="G89" s="73">
        <v>0</v>
      </c>
      <c r="H89" s="73">
        <f>D89</f>
        <v>0</v>
      </c>
      <c r="I89" s="73">
        <f t="shared" ref="I89:I95" si="10">(SUM(D89:G89))/4</f>
        <v>0</v>
      </c>
      <c r="J89" s="73">
        <f>D89</f>
        <v>0</v>
      </c>
      <c r="K89" s="73"/>
      <c r="L89" s="73">
        <f t="shared" si="3"/>
        <v>0</v>
      </c>
      <c r="M89" s="73">
        <f t="shared" si="3"/>
        <v>0</v>
      </c>
      <c r="N89" s="73">
        <f t="shared" si="3"/>
        <v>0</v>
      </c>
      <c r="O89" s="73"/>
      <c r="P89" s="73">
        <f t="shared" si="6"/>
        <v>0</v>
      </c>
      <c r="Q89" s="73">
        <f t="shared" si="6"/>
        <v>0</v>
      </c>
      <c r="R89" s="73">
        <f t="shared" si="6"/>
        <v>0</v>
      </c>
    </row>
    <row r="90" spans="1:18">
      <c r="A90" t="s">
        <v>106</v>
      </c>
      <c r="D90" s="73">
        <v>24.71</v>
      </c>
      <c r="E90" s="73">
        <v>22.06</v>
      </c>
      <c r="F90" s="73">
        <v>19.309999999999999</v>
      </c>
      <c r="G90" s="73">
        <v>0</v>
      </c>
      <c r="H90" s="73">
        <f>G90</f>
        <v>0</v>
      </c>
      <c r="I90" s="73">
        <f t="shared" si="10"/>
        <v>16.52</v>
      </c>
      <c r="J90" s="73">
        <f>D90</f>
        <v>24.71</v>
      </c>
      <c r="K90" s="73"/>
      <c r="L90" s="73">
        <f t="shared" si="3"/>
        <v>0</v>
      </c>
      <c r="M90" s="73">
        <f t="shared" si="3"/>
        <v>18.172000000000001</v>
      </c>
      <c r="N90" s="73">
        <f t="shared" si="3"/>
        <v>27.181000000000001</v>
      </c>
      <c r="O90" s="73"/>
      <c r="P90" s="73">
        <f t="shared" si="6"/>
        <v>0</v>
      </c>
      <c r="Q90" s="73">
        <f t="shared" si="6"/>
        <v>19.823999999999998</v>
      </c>
      <c r="R90" s="73">
        <f t="shared" si="6"/>
        <v>29.652000000000001</v>
      </c>
    </row>
    <row r="91" spans="1:18">
      <c r="A91" t="s">
        <v>107</v>
      </c>
      <c r="D91" s="73">
        <v>0</v>
      </c>
      <c r="E91" s="73">
        <v>0</v>
      </c>
      <c r="F91" s="73">
        <v>0</v>
      </c>
      <c r="G91" s="73">
        <v>0</v>
      </c>
      <c r="H91" s="73">
        <f>D91</f>
        <v>0</v>
      </c>
      <c r="I91" s="73">
        <f t="shared" si="10"/>
        <v>0</v>
      </c>
      <c r="J91" s="73">
        <f>D91</f>
        <v>0</v>
      </c>
      <c r="K91" s="73"/>
      <c r="L91" s="73">
        <f t="shared" si="3"/>
        <v>0</v>
      </c>
      <c r="M91" s="73">
        <f t="shared" si="3"/>
        <v>0</v>
      </c>
      <c r="N91" s="73">
        <f t="shared" si="3"/>
        <v>0</v>
      </c>
      <c r="O91" s="73"/>
      <c r="P91" s="73">
        <f t="shared" si="6"/>
        <v>0</v>
      </c>
      <c r="Q91" s="73">
        <f t="shared" si="6"/>
        <v>0</v>
      </c>
      <c r="R91" s="73">
        <f t="shared" si="6"/>
        <v>0</v>
      </c>
    </row>
    <row r="92" spans="1:18">
      <c r="A92" t="s">
        <v>108</v>
      </c>
      <c r="D92" s="73">
        <v>106.64</v>
      </c>
      <c r="E92" s="73">
        <v>396.96</v>
      </c>
      <c r="F92" s="73">
        <v>30.77</v>
      </c>
      <c r="G92" s="73">
        <v>10.78</v>
      </c>
      <c r="H92" s="73">
        <f>G92</f>
        <v>10.78</v>
      </c>
      <c r="I92" s="73">
        <f t="shared" si="10"/>
        <v>136.28749999999999</v>
      </c>
      <c r="J92" s="73">
        <f>E92</f>
        <v>396.96</v>
      </c>
      <c r="K92" s="73"/>
      <c r="L92" s="73">
        <f t="shared" si="3"/>
        <v>11.857999999999999</v>
      </c>
      <c r="M92" s="73">
        <f t="shared" si="3"/>
        <v>149.91624999999999</v>
      </c>
      <c r="N92" s="73">
        <f t="shared" si="3"/>
        <v>436.65599999999995</v>
      </c>
      <c r="O92" s="73"/>
      <c r="P92" s="73">
        <f t="shared" si="6"/>
        <v>12.936</v>
      </c>
      <c r="Q92" s="73">
        <f t="shared" si="6"/>
        <v>163.54499999999999</v>
      </c>
      <c r="R92" s="73">
        <f t="shared" si="6"/>
        <v>476.35199999999998</v>
      </c>
    </row>
    <row r="93" spans="1:18">
      <c r="A93" t="s">
        <v>151</v>
      </c>
      <c r="D93" s="73">
        <v>0</v>
      </c>
      <c r="E93" s="73">
        <v>0</v>
      </c>
      <c r="F93" s="73">
        <v>0</v>
      </c>
      <c r="G93" s="73">
        <v>0</v>
      </c>
      <c r="H93" s="73">
        <f>D93</f>
        <v>0</v>
      </c>
      <c r="I93" s="73">
        <f t="shared" si="10"/>
        <v>0</v>
      </c>
      <c r="J93" s="73">
        <f>E93</f>
        <v>0</v>
      </c>
      <c r="K93" s="73"/>
      <c r="L93" s="73">
        <f t="shared" si="3"/>
        <v>0</v>
      </c>
      <c r="M93" s="73">
        <f t="shared" si="3"/>
        <v>0</v>
      </c>
      <c r="N93" s="73">
        <f t="shared" si="3"/>
        <v>0</v>
      </c>
      <c r="O93" s="73"/>
      <c r="P93" s="73">
        <f t="shared" si="6"/>
        <v>0</v>
      </c>
      <c r="Q93" s="73">
        <f t="shared" si="6"/>
        <v>0</v>
      </c>
      <c r="R93" s="73">
        <f t="shared" si="6"/>
        <v>0</v>
      </c>
    </row>
    <row r="94" spans="1:18">
      <c r="A94" t="s">
        <v>152</v>
      </c>
      <c r="D94" s="73">
        <v>0</v>
      </c>
      <c r="E94" s="73">
        <v>0</v>
      </c>
      <c r="F94" s="73">
        <v>0</v>
      </c>
      <c r="G94" s="73">
        <v>0</v>
      </c>
      <c r="H94" s="73">
        <f>D94</f>
        <v>0</v>
      </c>
      <c r="I94" s="73">
        <f t="shared" si="10"/>
        <v>0</v>
      </c>
      <c r="J94" s="73">
        <f>E94</f>
        <v>0</v>
      </c>
      <c r="K94" s="73"/>
      <c r="L94" s="73">
        <f t="shared" si="3"/>
        <v>0</v>
      </c>
      <c r="M94" s="73">
        <f t="shared" si="3"/>
        <v>0</v>
      </c>
      <c r="N94" s="73">
        <f t="shared" si="3"/>
        <v>0</v>
      </c>
      <c r="O94" s="73"/>
      <c r="P94" s="73">
        <f t="shared" si="6"/>
        <v>0</v>
      </c>
      <c r="Q94" s="73">
        <f t="shared" si="6"/>
        <v>0</v>
      </c>
      <c r="R94" s="73">
        <f t="shared" si="6"/>
        <v>0</v>
      </c>
    </row>
    <row r="95" spans="1:18">
      <c r="A95" t="s">
        <v>153</v>
      </c>
      <c r="D95" s="73">
        <v>0</v>
      </c>
      <c r="E95" s="73">
        <v>0</v>
      </c>
      <c r="F95" s="73">
        <v>0</v>
      </c>
      <c r="G95" s="73">
        <v>0</v>
      </c>
      <c r="H95" s="73">
        <f>D95</f>
        <v>0</v>
      </c>
      <c r="I95" s="73">
        <f t="shared" si="10"/>
        <v>0</v>
      </c>
      <c r="J95" s="73">
        <f>E95</f>
        <v>0</v>
      </c>
      <c r="K95" s="73"/>
      <c r="L95" s="73">
        <f t="shared" si="3"/>
        <v>0</v>
      </c>
      <c r="M95" s="73">
        <f t="shared" si="3"/>
        <v>0</v>
      </c>
      <c r="N95" s="73">
        <f t="shared" si="3"/>
        <v>0</v>
      </c>
      <c r="O95" s="73"/>
      <c r="P95" s="73">
        <f t="shared" si="6"/>
        <v>0</v>
      </c>
      <c r="Q95" s="73">
        <f t="shared" si="6"/>
        <v>0</v>
      </c>
      <c r="R95" s="73">
        <f t="shared" si="6"/>
        <v>0</v>
      </c>
    </row>
    <row r="97" spans="1:18" ht="15.75">
      <c r="A97" t="s">
        <v>55</v>
      </c>
      <c r="D97" s="253" t="s">
        <v>171</v>
      </c>
      <c r="E97" s="253"/>
      <c r="F97" s="253"/>
      <c r="G97" s="253"/>
      <c r="L97" s="263" t="s">
        <v>155</v>
      </c>
      <c r="M97" s="263"/>
      <c r="N97" s="263"/>
      <c r="P97" s="265" t="s">
        <v>156</v>
      </c>
      <c r="Q97" s="265"/>
      <c r="R97" s="265"/>
    </row>
    <row r="98" spans="1:18" ht="15.75">
      <c r="D98" s="69">
        <v>43709</v>
      </c>
      <c r="E98" s="69">
        <v>43678</v>
      </c>
      <c r="F98" s="69">
        <v>43647</v>
      </c>
      <c r="G98" s="69">
        <v>43617</v>
      </c>
      <c r="H98" s="70" t="s">
        <v>39</v>
      </c>
      <c r="I98" s="71" t="s">
        <v>38</v>
      </c>
      <c r="J98" s="72" t="s">
        <v>37</v>
      </c>
      <c r="L98" s="70" t="s">
        <v>39</v>
      </c>
      <c r="M98" s="71" t="s">
        <v>38</v>
      </c>
      <c r="N98" s="72" t="s">
        <v>37</v>
      </c>
      <c r="P98" s="70" t="s">
        <v>39</v>
      </c>
      <c r="Q98" s="71" t="s">
        <v>38</v>
      </c>
      <c r="R98" s="72" t="s">
        <v>37</v>
      </c>
    </row>
    <row r="99" spans="1:18" ht="18">
      <c r="A99" s="94" t="s">
        <v>172</v>
      </c>
      <c r="B99" s="94"/>
      <c r="C99" s="94"/>
      <c r="D99" s="73">
        <v>353.49</v>
      </c>
      <c r="E99" s="73">
        <v>696.23</v>
      </c>
      <c r="F99" s="73">
        <v>299.45</v>
      </c>
      <c r="G99" s="73">
        <v>153.87</v>
      </c>
      <c r="H99" s="73">
        <f>G99</f>
        <v>153.87</v>
      </c>
      <c r="I99" s="73">
        <f>(SUM(D99:G99))/4</f>
        <v>375.76</v>
      </c>
      <c r="J99" s="73">
        <f>G99</f>
        <v>153.87</v>
      </c>
      <c r="K99" s="73"/>
      <c r="L99" s="73">
        <f>(0.1*H99)+H99</f>
        <v>169.25700000000001</v>
      </c>
      <c r="M99" s="73">
        <f>(0.1*I99)+I99</f>
        <v>413.33600000000001</v>
      </c>
      <c r="N99" s="73">
        <f>(0.1*J99)+J99</f>
        <v>169.25700000000001</v>
      </c>
      <c r="O99" s="73"/>
      <c r="P99" s="73">
        <f>(0.2*H99)+H99</f>
        <v>184.64400000000001</v>
      </c>
      <c r="Q99" s="73">
        <f>(0.2*I99)+I99</f>
        <v>450.91199999999998</v>
      </c>
      <c r="R99" s="73">
        <f>(0.2*J99)+J99</f>
        <v>184.64400000000001</v>
      </c>
    </row>
    <row r="100" spans="1:18" ht="18">
      <c r="A100" s="94" t="s">
        <v>173</v>
      </c>
      <c r="B100" s="94"/>
      <c r="C100" s="94"/>
      <c r="D100" s="73">
        <v>148.24</v>
      </c>
      <c r="E100" s="73">
        <v>192.99</v>
      </c>
      <c r="F100" s="73">
        <v>169.59</v>
      </c>
      <c r="G100" s="73">
        <v>0</v>
      </c>
      <c r="H100" s="73">
        <f>G100</f>
        <v>0</v>
      </c>
      <c r="I100" s="73">
        <f>(SUM(D100:G100))/4</f>
        <v>127.70500000000001</v>
      </c>
      <c r="J100" s="73">
        <f>E100</f>
        <v>192.99</v>
      </c>
      <c r="K100" s="73"/>
      <c r="L100" s="73">
        <f t="shared" ref="L100:N103" si="11">(0.1*H100)+H100</f>
        <v>0</v>
      </c>
      <c r="M100" s="73">
        <f t="shared" si="11"/>
        <v>140.47550000000001</v>
      </c>
      <c r="N100" s="73">
        <f t="shared" si="11"/>
        <v>212.28900000000002</v>
      </c>
      <c r="O100" s="73"/>
      <c r="P100" s="73">
        <f t="shared" ref="P100:R103" si="12">(0.2*H100)+H100</f>
        <v>0</v>
      </c>
      <c r="Q100" s="73">
        <f t="shared" si="12"/>
        <v>153.24600000000001</v>
      </c>
      <c r="R100" s="73">
        <f t="shared" si="12"/>
        <v>231.58800000000002</v>
      </c>
    </row>
    <row r="101" spans="1:18" ht="18">
      <c r="A101" s="94" t="s">
        <v>174</v>
      </c>
      <c r="B101" s="94"/>
      <c r="C101" s="94"/>
      <c r="D101" s="73">
        <v>93.63</v>
      </c>
      <c r="E101" s="73">
        <v>95.33</v>
      </c>
      <c r="F101" s="73">
        <v>96.37</v>
      </c>
      <c r="G101" s="73">
        <v>30.82</v>
      </c>
      <c r="H101" s="73">
        <f>G101</f>
        <v>30.82</v>
      </c>
      <c r="I101" s="73">
        <f>(SUM(D101:G101))/4</f>
        <v>79.037499999999994</v>
      </c>
      <c r="J101" s="73">
        <f>E101</f>
        <v>95.33</v>
      </c>
      <c r="K101" s="73"/>
      <c r="L101" s="73">
        <f t="shared" si="11"/>
        <v>33.902000000000001</v>
      </c>
      <c r="M101" s="73">
        <f t="shared" si="11"/>
        <v>86.941249999999997</v>
      </c>
      <c r="N101" s="73">
        <f t="shared" si="11"/>
        <v>104.863</v>
      </c>
      <c r="O101" s="73"/>
      <c r="P101" s="73">
        <f t="shared" si="12"/>
        <v>36.984000000000002</v>
      </c>
      <c r="Q101" s="73">
        <f t="shared" si="12"/>
        <v>94.844999999999999</v>
      </c>
      <c r="R101" s="73">
        <f t="shared" si="12"/>
        <v>114.396</v>
      </c>
    </row>
    <row r="102" spans="1:18" ht="18">
      <c r="A102" s="94" t="s">
        <v>175</v>
      </c>
      <c r="B102" s="94"/>
      <c r="C102" s="94"/>
      <c r="D102" s="73">
        <v>0</v>
      </c>
      <c r="E102" s="73">
        <v>0</v>
      </c>
      <c r="F102" s="73">
        <v>0</v>
      </c>
      <c r="G102" s="73">
        <v>0</v>
      </c>
      <c r="H102" s="73">
        <f>F102</f>
        <v>0</v>
      </c>
      <c r="I102" s="73">
        <f>(SUM(D102:G102))/4</f>
        <v>0</v>
      </c>
      <c r="J102" s="73">
        <f>D102</f>
        <v>0</v>
      </c>
      <c r="K102" s="73"/>
      <c r="L102" s="73">
        <f t="shared" si="11"/>
        <v>0</v>
      </c>
      <c r="M102" s="73">
        <f t="shared" si="11"/>
        <v>0</v>
      </c>
      <c r="N102" s="73">
        <f t="shared" si="11"/>
        <v>0</v>
      </c>
      <c r="O102" s="73"/>
      <c r="P102" s="73">
        <f t="shared" si="12"/>
        <v>0</v>
      </c>
      <c r="Q102" s="73">
        <f t="shared" si="12"/>
        <v>0</v>
      </c>
      <c r="R102" s="73">
        <f t="shared" si="12"/>
        <v>0</v>
      </c>
    </row>
    <row r="103" spans="1:18" ht="18">
      <c r="A103" s="94" t="s">
        <v>158</v>
      </c>
      <c r="B103" s="94"/>
      <c r="C103" s="94"/>
      <c r="D103" s="73">
        <v>0</v>
      </c>
      <c r="E103" s="73">
        <v>0</v>
      </c>
      <c r="F103" s="73">
        <v>0</v>
      </c>
      <c r="G103" s="73">
        <v>0</v>
      </c>
      <c r="H103" s="73">
        <v>0</v>
      </c>
      <c r="I103" s="73">
        <f>(SUM(D103:G103))/4</f>
        <v>0</v>
      </c>
      <c r="J103" s="73">
        <v>0</v>
      </c>
      <c r="L103" s="73">
        <v>0</v>
      </c>
      <c r="M103" s="73">
        <f t="shared" si="11"/>
        <v>0</v>
      </c>
      <c r="N103" s="73">
        <v>0</v>
      </c>
      <c r="O103" s="73"/>
      <c r="P103" s="73">
        <v>0</v>
      </c>
      <c r="Q103" s="73">
        <f t="shared" si="12"/>
        <v>0</v>
      </c>
      <c r="R103" s="73">
        <v>0</v>
      </c>
    </row>
    <row r="108" spans="1:18">
      <c r="D108" s="253" t="s">
        <v>176</v>
      </c>
      <c r="E108" s="253"/>
      <c r="F108" s="253"/>
      <c r="G108" s="253"/>
    </row>
    <row r="109" spans="1:18" ht="15.75">
      <c r="D109" s="69">
        <v>43709</v>
      </c>
      <c r="E109" s="69">
        <v>43678</v>
      </c>
      <c r="F109" s="69">
        <v>43647</v>
      </c>
      <c r="G109" s="69">
        <v>43617</v>
      </c>
      <c r="H109" s="70" t="s">
        <v>39</v>
      </c>
      <c r="I109" s="71" t="s">
        <v>38</v>
      </c>
      <c r="J109" s="72" t="s">
        <v>37</v>
      </c>
    </row>
    <row r="110" spans="1:18" ht="18">
      <c r="A110" s="94" t="s">
        <v>172</v>
      </c>
      <c r="B110" s="94"/>
      <c r="C110" s="94"/>
      <c r="D110" s="253"/>
      <c r="E110" s="253"/>
      <c r="F110" s="253"/>
      <c r="G110" s="253"/>
    </row>
    <row r="111" spans="1:18">
      <c r="A111" t="s">
        <v>108</v>
      </c>
      <c r="D111" s="73">
        <v>353.49</v>
      </c>
      <c r="E111" s="73">
        <v>696.23</v>
      </c>
      <c r="F111" s="73">
        <v>299.45</v>
      </c>
      <c r="G111" s="73">
        <v>153.87</v>
      </c>
      <c r="H111" s="73">
        <f>G111</f>
        <v>153.87</v>
      </c>
      <c r="I111" s="73">
        <f>(SUM(D111:G111))/4</f>
        <v>375.76</v>
      </c>
      <c r="J111" s="73">
        <f>G111</f>
        <v>153.87</v>
      </c>
      <c r="K111" s="73"/>
      <c r="L111" s="73">
        <f>(0.1*H111)+H111</f>
        <v>169.25700000000001</v>
      </c>
      <c r="M111" s="73">
        <f>(0.1*I111)+I111</f>
        <v>413.33600000000001</v>
      </c>
      <c r="N111" s="73">
        <f>(0.1*J111)+J111</f>
        <v>169.25700000000001</v>
      </c>
      <c r="O111" s="73"/>
      <c r="P111" s="73">
        <f>(0.2*H111)+H111</f>
        <v>184.64400000000001</v>
      </c>
      <c r="Q111" s="73">
        <f>(0.2*I111)+I111</f>
        <v>450.91199999999998</v>
      </c>
      <c r="R111" s="73">
        <f>(0.2*J111)+J111</f>
        <v>184.64400000000001</v>
      </c>
    </row>
    <row r="112" spans="1:18">
      <c r="D112" s="73"/>
      <c r="E112" s="73"/>
      <c r="F112" s="73"/>
      <c r="G112" s="73"/>
      <c r="H112" s="73"/>
      <c r="I112" s="73"/>
      <c r="J112" s="73"/>
      <c r="K112" s="73"/>
      <c r="L112" s="73"/>
      <c r="M112" s="73"/>
      <c r="N112" s="73"/>
      <c r="O112" s="73"/>
      <c r="P112" s="73"/>
      <c r="Q112" s="73"/>
      <c r="R112" s="73"/>
    </row>
    <row r="113" spans="1:18">
      <c r="D113" s="73"/>
      <c r="E113" s="73"/>
      <c r="F113" s="73"/>
      <c r="G113" s="73"/>
      <c r="H113" s="73"/>
      <c r="I113" s="73"/>
      <c r="J113" s="73"/>
      <c r="K113" s="73"/>
      <c r="L113" s="73"/>
      <c r="M113" s="73"/>
      <c r="N113" s="73"/>
      <c r="O113" s="73"/>
      <c r="P113" s="73"/>
      <c r="Q113" s="73"/>
      <c r="R113" s="73"/>
    </row>
    <row r="114" spans="1:18" ht="18">
      <c r="A114" s="94" t="s">
        <v>173</v>
      </c>
      <c r="B114" s="94"/>
      <c r="C114" s="94"/>
      <c r="D114" s="264"/>
      <c r="E114" s="264"/>
      <c r="F114" s="264"/>
      <c r="G114" s="264"/>
      <c r="H114" s="73"/>
      <c r="I114" s="73"/>
      <c r="J114" s="73"/>
      <c r="K114" s="73"/>
      <c r="L114" s="73"/>
      <c r="M114" s="73"/>
      <c r="N114" s="73"/>
      <c r="O114" s="73"/>
      <c r="P114" s="73"/>
      <c r="Q114" s="73"/>
      <c r="R114" s="73"/>
    </row>
    <row r="115" spans="1:18">
      <c r="A115" t="s">
        <v>108</v>
      </c>
      <c r="D115" s="73">
        <v>148.24</v>
      </c>
      <c r="E115" s="73">
        <v>192.99</v>
      </c>
      <c r="F115" s="73">
        <v>169.59</v>
      </c>
      <c r="G115" s="73">
        <v>0</v>
      </c>
      <c r="H115" s="73">
        <f>G115</f>
        <v>0</v>
      </c>
      <c r="I115" s="73">
        <f>(SUM(D115:G115))/4</f>
        <v>127.70500000000001</v>
      </c>
      <c r="J115" s="73">
        <f>E115</f>
        <v>192.99</v>
      </c>
      <c r="K115" s="73"/>
      <c r="L115" s="73">
        <f>(0.1*H115)+H115</f>
        <v>0</v>
      </c>
      <c r="M115" s="73">
        <f>(0.1*I115)+I115</f>
        <v>140.47550000000001</v>
      </c>
      <c r="N115" s="73">
        <f>(0.1*J115)+J115</f>
        <v>212.28900000000002</v>
      </c>
      <c r="O115" s="73"/>
      <c r="P115" s="73">
        <f>(0.2*H115)+H115</f>
        <v>0</v>
      </c>
      <c r="Q115" s="73">
        <f>(0.2*I115)+I115</f>
        <v>153.24600000000001</v>
      </c>
      <c r="R115" s="73">
        <f>(0.2*J115)+J115</f>
        <v>231.58800000000002</v>
      </c>
    </row>
    <row r="116" spans="1:18">
      <c r="D116" s="73"/>
      <c r="E116" s="73"/>
      <c r="F116" s="73"/>
      <c r="G116" s="73"/>
      <c r="H116" s="73"/>
      <c r="I116" s="73"/>
      <c r="J116" s="73"/>
      <c r="K116" s="73"/>
      <c r="L116" s="73"/>
      <c r="M116" s="73"/>
      <c r="N116" s="73"/>
      <c r="O116" s="73"/>
      <c r="P116" s="73"/>
      <c r="Q116" s="73"/>
      <c r="R116" s="73"/>
    </row>
    <row r="117" spans="1:18">
      <c r="D117" s="73"/>
      <c r="E117" s="73"/>
      <c r="F117" s="73"/>
      <c r="G117" s="73"/>
      <c r="H117" s="73"/>
      <c r="I117" s="73"/>
      <c r="J117" s="73"/>
      <c r="K117" s="73"/>
      <c r="L117" s="73"/>
      <c r="M117" s="73"/>
      <c r="N117" s="73"/>
      <c r="O117" s="73"/>
      <c r="P117" s="73"/>
      <c r="Q117" s="73"/>
      <c r="R117" s="73"/>
    </row>
    <row r="118" spans="1:18" ht="18">
      <c r="A118" s="94" t="s">
        <v>174</v>
      </c>
      <c r="B118" s="94"/>
      <c r="C118" s="94"/>
      <c r="D118" s="264"/>
      <c r="E118" s="264"/>
      <c r="F118" s="264"/>
      <c r="G118" s="264"/>
      <c r="H118" s="73"/>
      <c r="I118" s="73"/>
      <c r="J118" s="73"/>
      <c r="K118" s="73"/>
      <c r="L118" s="73"/>
      <c r="M118" s="73"/>
      <c r="N118" s="73"/>
      <c r="O118" s="73"/>
      <c r="P118" s="73"/>
      <c r="Q118" s="73"/>
      <c r="R118" s="73"/>
    </row>
    <row r="119" spans="1:18">
      <c r="A119" t="s">
        <v>108</v>
      </c>
      <c r="D119" s="73">
        <v>93.63</v>
      </c>
      <c r="E119" s="73">
        <v>95.33</v>
      </c>
      <c r="F119" s="73">
        <v>96.37</v>
      </c>
      <c r="G119" s="73">
        <v>30.82</v>
      </c>
      <c r="H119" s="73">
        <f>G119</f>
        <v>30.82</v>
      </c>
      <c r="I119" s="73">
        <f>(SUM(D119:G119))/4</f>
        <v>79.037499999999994</v>
      </c>
      <c r="J119" s="73">
        <f>E119</f>
        <v>95.33</v>
      </c>
      <c r="K119" s="73"/>
      <c r="L119" s="73">
        <f>(0.1*H119)+H119</f>
        <v>33.902000000000001</v>
      </c>
      <c r="M119" s="73">
        <f>(0.1*I119)+I119</f>
        <v>86.941249999999997</v>
      </c>
      <c r="N119" s="73">
        <f>(0.1*J119)+J119</f>
        <v>104.863</v>
      </c>
      <c r="O119" s="73"/>
      <c r="P119" s="73">
        <f>(0.2*H119)+H119</f>
        <v>36.984000000000002</v>
      </c>
      <c r="Q119" s="73">
        <f>(0.2*I119)+I119</f>
        <v>94.844999999999999</v>
      </c>
      <c r="R119" s="73">
        <f>(0.2*J119)+J119</f>
        <v>114.396</v>
      </c>
    </row>
    <row r="120" spans="1:18">
      <c r="D120" s="73"/>
      <c r="E120" s="73"/>
      <c r="F120" s="73"/>
      <c r="G120" s="73"/>
      <c r="H120" s="73"/>
      <c r="I120" s="73"/>
      <c r="J120" s="73"/>
      <c r="K120" s="73"/>
      <c r="L120" s="73"/>
      <c r="M120" s="73"/>
      <c r="N120" s="73"/>
      <c r="O120" s="73"/>
      <c r="P120" s="73"/>
      <c r="Q120" s="73"/>
      <c r="R120" s="73"/>
    </row>
    <row r="121" spans="1:18">
      <c r="D121" s="73"/>
      <c r="E121" s="73"/>
      <c r="F121" s="73"/>
      <c r="G121" s="73"/>
      <c r="H121" s="73"/>
      <c r="I121" s="73"/>
      <c r="J121" s="73"/>
      <c r="K121" s="73"/>
      <c r="L121" s="73"/>
      <c r="M121" s="73"/>
      <c r="N121" s="73"/>
      <c r="O121" s="73"/>
      <c r="P121" s="73"/>
      <c r="Q121" s="73"/>
      <c r="R121" s="73"/>
    </row>
    <row r="122" spans="1:18" ht="18">
      <c r="A122" s="94" t="s">
        <v>175</v>
      </c>
      <c r="B122" s="94"/>
      <c r="C122" s="94"/>
      <c r="D122" s="264"/>
      <c r="E122" s="264"/>
      <c r="F122" s="264"/>
      <c r="G122" s="264"/>
      <c r="H122" s="73"/>
      <c r="I122" s="73"/>
      <c r="J122" s="73"/>
      <c r="K122" s="73"/>
      <c r="L122" s="73"/>
      <c r="M122" s="73"/>
      <c r="N122" s="73"/>
      <c r="O122" s="73"/>
      <c r="P122" s="73"/>
      <c r="Q122" s="73"/>
      <c r="R122" s="73"/>
    </row>
    <row r="123" spans="1:18">
      <c r="A123" t="s">
        <v>108</v>
      </c>
      <c r="D123" s="73">
        <v>0</v>
      </c>
      <c r="E123" s="73">
        <v>0</v>
      </c>
      <c r="F123" s="73">
        <v>0</v>
      </c>
      <c r="G123" s="73">
        <v>0</v>
      </c>
      <c r="H123" s="73">
        <f>F123</f>
        <v>0</v>
      </c>
      <c r="I123" s="73">
        <f>(SUM(D123:G123))/4</f>
        <v>0</v>
      </c>
      <c r="J123" s="73">
        <f>D123</f>
        <v>0</v>
      </c>
      <c r="K123" s="73"/>
      <c r="L123" s="73">
        <f>(0.1*H123)+H123</f>
        <v>0</v>
      </c>
      <c r="M123" s="73">
        <f>(0.1*I123)+I123</f>
        <v>0</v>
      </c>
      <c r="N123" s="73">
        <f>(0.1*J123)+J123</f>
        <v>0</v>
      </c>
      <c r="O123" s="73"/>
      <c r="P123" s="73">
        <f>(0.2*H123)+H123</f>
        <v>0</v>
      </c>
      <c r="Q123" s="73">
        <f>(0.2*I123)+I123</f>
        <v>0</v>
      </c>
      <c r="R123" s="73">
        <f>(0.2*J123)+J123</f>
        <v>0</v>
      </c>
    </row>
    <row r="124" spans="1:18">
      <c r="D124" s="73"/>
      <c r="E124" s="73"/>
      <c r="F124" s="73"/>
      <c r="G124" s="73"/>
      <c r="H124" s="73"/>
      <c r="I124" s="73"/>
      <c r="J124" s="73"/>
      <c r="K124" s="73"/>
      <c r="L124" s="73"/>
      <c r="M124" s="73"/>
      <c r="N124" s="73"/>
      <c r="O124" s="73"/>
      <c r="P124" s="73"/>
      <c r="Q124" s="73"/>
      <c r="R124" s="73"/>
    </row>
    <row r="126" spans="1:18" ht="18">
      <c r="A126" s="94" t="s">
        <v>158</v>
      </c>
      <c r="B126" s="94"/>
      <c r="C126" s="94"/>
      <c r="D126" s="253"/>
      <c r="E126" s="253"/>
      <c r="F126" s="253"/>
      <c r="G126" s="253"/>
    </row>
    <row r="127" spans="1:18">
      <c r="A127" t="s">
        <v>108</v>
      </c>
      <c r="D127" s="73">
        <v>0</v>
      </c>
      <c r="E127" s="73">
        <v>0</v>
      </c>
      <c r="F127" s="73">
        <v>0</v>
      </c>
      <c r="G127" s="73"/>
      <c r="H127" s="73"/>
      <c r="I127" s="73"/>
      <c r="J127" s="73"/>
    </row>
    <row r="130" spans="1:16">
      <c r="A130" t="s">
        <v>193</v>
      </c>
    </row>
    <row r="131" spans="1:16">
      <c r="A131" t="s">
        <v>110</v>
      </c>
    </row>
    <row r="132" spans="1:16" ht="15.75">
      <c r="B132" s="69">
        <v>43709</v>
      </c>
      <c r="C132" s="69">
        <v>43678</v>
      </c>
      <c r="D132" s="69">
        <v>43647</v>
      </c>
      <c r="E132" s="69">
        <v>43617</v>
      </c>
      <c r="F132" s="70" t="s">
        <v>39</v>
      </c>
      <c r="G132" s="71" t="s">
        <v>38</v>
      </c>
      <c r="H132" s="72" t="s">
        <v>37</v>
      </c>
      <c r="J132" s="70" t="s">
        <v>39</v>
      </c>
      <c r="K132" s="71" t="s">
        <v>38</v>
      </c>
      <c r="L132" s="72" t="s">
        <v>37</v>
      </c>
      <c r="N132" s="70" t="s">
        <v>39</v>
      </c>
      <c r="O132" s="71" t="s">
        <v>38</v>
      </c>
      <c r="P132" s="72" t="s">
        <v>37</v>
      </c>
    </row>
    <row r="133" spans="1:16">
      <c r="A133" t="s">
        <v>45</v>
      </c>
      <c r="B133" s="73">
        <v>107.95</v>
      </c>
      <c r="C133" s="73">
        <v>111.4</v>
      </c>
      <c r="D133" s="73">
        <v>110.75</v>
      </c>
      <c r="E133" s="73">
        <v>107.7</v>
      </c>
      <c r="F133" s="74">
        <f>E133</f>
        <v>107.7</v>
      </c>
      <c r="G133" s="75">
        <f t="shared" ref="G133:G145" si="13">(SUM(B133:E133))/4</f>
        <v>109.45</v>
      </c>
      <c r="H133" s="76">
        <f>C133</f>
        <v>111.4</v>
      </c>
      <c r="I133" s="73"/>
      <c r="J133" s="73">
        <f t="shared" ref="J133:J145" si="14">(0.1*F133)+F133</f>
        <v>118.47</v>
      </c>
      <c r="K133" s="73">
        <f t="shared" ref="K133:K145" si="15">(0.1*G133)+G133</f>
        <v>120.39500000000001</v>
      </c>
      <c r="L133" s="73">
        <f t="shared" ref="L133:L145" si="16">(0.1*H133)+H133</f>
        <v>122.54</v>
      </c>
      <c r="M133" s="73"/>
      <c r="N133" s="73">
        <f t="shared" ref="N133:N145" si="17">(0.2*F133)+F133</f>
        <v>129.24</v>
      </c>
      <c r="O133" s="73">
        <f t="shared" ref="O133:O145" si="18">(0.2*G133)+G133</f>
        <v>131.34</v>
      </c>
      <c r="P133" s="73">
        <f t="shared" ref="P133:P145" si="19">(0.2*H133)+H133</f>
        <v>133.68</v>
      </c>
    </row>
    <row r="134" spans="1:16">
      <c r="A134" t="s">
        <v>98</v>
      </c>
      <c r="B134" s="73">
        <v>32.4</v>
      </c>
      <c r="C134" s="73">
        <v>33.479999999999997</v>
      </c>
      <c r="D134" s="73">
        <v>33.479999999999997</v>
      </c>
      <c r="E134" s="73">
        <v>32.4</v>
      </c>
      <c r="F134" s="74">
        <f>E134</f>
        <v>32.4</v>
      </c>
      <c r="G134" s="75">
        <f t="shared" si="13"/>
        <v>32.94</v>
      </c>
      <c r="H134" s="76">
        <f>C134</f>
        <v>33.479999999999997</v>
      </c>
      <c r="I134" s="73"/>
      <c r="J134" s="73">
        <f t="shared" si="14"/>
        <v>35.64</v>
      </c>
      <c r="K134" s="73">
        <f t="shared" si="15"/>
        <v>36.233999999999995</v>
      </c>
      <c r="L134" s="73">
        <f t="shared" si="16"/>
        <v>36.827999999999996</v>
      </c>
      <c r="M134" s="73"/>
      <c r="N134" s="73">
        <f t="shared" si="17"/>
        <v>38.879999999999995</v>
      </c>
      <c r="O134" s="73">
        <f t="shared" si="18"/>
        <v>39.527999999999999</v>
      </c>
      <c r="P134" s="73">
        <f t="shared" si="19"/>
        <v>40.175999999999995</v>
      </c>
    </row>
    <row r="135" spans="1:16">
      <c r="A135" t="s">
        <v>99</v>
      </c>
      <c r="B135" s="73">
        <f>19.15+779.31</f>
        <v>798.45999999999992</v>
      </c>
      <c r="C135" s="73">
        <f>18.46+869.64</f>
        <v>888.1</v>
      </c>
      <c r="D135" s="73">
        <f>17.91+743.31</f>
        <v>761.21999999999991</v>
      </c>
      <c r="E135" s="73">
        <f>872.42+17.28</f>
        <v>889.69999999999993</v>
      </c>
      <c r="F135" s="74">
        <f>D135</f>
        <v>761.21999999999991</v>
      </c>
      <c r="G135" s="75">
        <f t="shared" si="13"/>
        <v>834.36999999999989</v>
      </c>
      <c r="H135" s="76">
        <f>E135</f>
        <v>889.69999999999993</v>
      </c>
      <c r="I135" s="73"/>
      <c r="J135" s="73">
        <f t="shared" si="14"/>
        <v>837.34199999999987</v>
      </c>
      <c r="K135" s="73">
        <f t="shared" si="15"/>
        <v>917.8069999999999</v>
      </c>
      <c r="L135" s="73">
        <f t="shared" si="16"/>
        <v>978.67</v>
      </c>
      <c r="M135" s="73"/>
      <c r="N135" s="73">
        <f t="shared" si="17"/>
        <v>913.46399999999994</v>
      </c>
      <c r="O135" s="73">
        <f t="shared" si="18"/>
        <v>1001.2439999999999</v>
      </c>
      <c r="P135" s="73">
        <f t="shared" si="19"/>
        <v>1067.6399999999999</v>
      </c>
    </row>
    <row r="136" spans="1:16">
      <c r="A136" t="s">
        <v>100</v>
      </c>
      <c r="B136" s="73">
        <v>1</v>
      </c>
      <c r="C136" s="73">
        <v>1</v>
      </c>
      <c r="D136" s="73">
        <v>1</v>
      </c>
      <c r="E136" s="73">
        <v>1</v>
      </c>
      <c r="F136" s="74">
        <f>B136</f>
        <v>1</v>
      </c>
      <c r="G136" s="75">
        <f t="shared" si="13"/>
        <v>1</v>
      </c>
      <c r="H136" s="76">
        <f>B136</f>
        <v>1</v>
      </c>
      <c r="I136" s="73"/>
      <c r="J136" s="73">
        <f t="shared" si="14"/>
        <v>1.1000000000000001</v>
      </c>
      <c r="K136" s="73">
        <f t="shared" si="15"/>
        <v>1.1000000000000001</v>
      </c>
      <c r="L136" s="73">
        <f t="shared" si="16"/>
        <v>1.1000000000000001</v>
      </c>
      <c r="M136" s="73"/>
      <c r="N136" s="73">
        <f t="shared" si="17"/>
        <v>1.2</v>
      </c>
      <c r="O136" s="73">
        <f t="shared" si="18"/>
        <v>1.2</v>
      </c>
      <c r="P136" s="73">
        <f t="shared" si="19"/>
        <v>1.2</v>
      </c>
    </row>
    <row r="137" spans="1:16">
      <c r="A137" t="s">
        <v>101</v>
      </c>
      <c r="B137" s="73">
        <f>9.85+188.51+635.67</f>
        <v>834.03</v>
      </c>
      <c r="C137" s="73">
        <f>9.71+189+660.67</f>
        <v>859.38</v>
      </c>
      <c r="D137" s="73">
        <f>1.81+187.69+658.27</f>
        <v>847.77</v>
      </c>
      <c r="E137" s="73">
        <f>1.69+169.06+493.79</f>
        <v>664.54</v>
      </c>
      <c r="F137" s="74">
        <f t="shared" ref="F137:F144" si="20">E137</f>
        <v>664.54</v>
      </c>
      <c r="G137" s="75">
        <f t="shared" si="13"/>
        <v>801.43</v>
      </c>
      <c r="H137" s="76">
        <f>C137</f>
        <v>859.38</v>
      </c>
      <c r="I137" s="73"/>
      <c r="J137" s="73">
        <f t="shared" si="14"/>
        <v>730.99399999999991</v>
      </c>
      <c r="K137" s="73">
        <f t="shared" si="15"/>
        <v>881.57299999999998</v>
      </c>
      <c r="L137" s="73">
        <f t="shared" si="16"/>
        <v>945.31799999999998</v>
      </c>
      <c r="M137" s="73"/>
      <c r="N137" s="73">
        <f t="shared" si="17"/>
        <v>797.44799999999998</v>
      </c>
      <c r="O137" s="73">
        <f t="shared" si="18"/>
        <v>961.71599999999989</v>
      </c>
      <c r="P137" s="73">
        <f t="shared" si="19"/>
        <v>1031.2560000000001</v>
      </c>
    </row>
    <row r="138" spans="1:16">
      <c r="A138" t="s">
        <v>102</v>
      </c>
      <c r="B138" s="73">
        <v>15.96</v>
      </c>
      <c r="C138" s="73">
        <v>23.84</v>
      </c>
      <c r="D138" s="73">
        <v>15.9</v>
      </c>
      <c r="E138" s="73">
        <v>15.36</v>
      </c>
      <c r="F138" s="74">
        <f t="shared" si="20"/>
        <v>15.36</v>
      </c>
      <c r="G138" s="75">
        <f t="shared" si="13"/>
        <v>17.765000000000001</v>
      </c>
      <c r="H138" s="76">
        <f>C138</f>
        <v>23.84</v>
      </c>
      <c r="I138" s="73"/>
      <c r="J138" s="73">
        <f t="shared" si="14"/>
        <v>16.896000000000001</v>
      </c>
      <c r="K138" s="73">
        <f t="shared" si="15"/>
        <v>19.541499999999999</v>
      </c>
      <c r="L138" s="73">
        <f t="shared" si="16"/>
        <v>26.224</v>
      </c>
      <c r="M138" s="73"/>
      <c r="N138" s="73">
        <f t="shared" si="17"/>
        <v>18.431999999999999</v>
      </c>
      <c r="O138" s="73">
        <f t="shared" si="18"/>
        <v>21.318000000000001</v>
      </c>
      <c r="P138" s="73">
        <f t="shared" si="19"/>
        <v>28.608000000000001</v>
      </c>
    </row>
    <row r="139" spans="1:16">
      <c r="A139" t="s">
        <v>103</v>
      </c>
      <c r="B139" s="73">
        <v>12.37</v>
      </c>
      <c r="C139" s="73">
        <v>12.44</v>
      </c>
      <c r="D139" s="73">
        <v>11.71</v>
      </c>
      <c r="E139" s="73">
        <v>10.34</v>
      </c>
      <c r="F139" s="74">
        <f t="shared" si="20"/>
        <v>10.34</v>
      </c>
      <c r="G139" s="75">
        <f t="shared" si="13"/>
        <v>11.715</v>
      </c>
      <c r="H139" s="76">
        <f>C139</f>
        <v>12.44</v>
      </c>
      <c r="I139" s="73"/>
      <c r="J139" s="73">
        <f t="shared" si="14"/>
        <v>11.374000000000001</v>
      </c>
      <c r="K139" s="73">
        <f t="shared" si="15"/>
        <v>12.8865</v>
      </c>
      <c r="L139" s="73">
        <f t="shared" si="16"/>
        <v>13.683999999999999</v>
      </c>
      <c r="M139" s="73"/>
      <c r="N139" s="73">
        <f t="shared" si="17"/>
        <v>12.407999999999999</v>
      </c>
      <c r="O139" s="73">
        <f t="shared" si="18"/>
        <v>14.058</v>
      </c>
      <c r="P139" s="73">
        <f t="shared" si="19"/>
        <v>14.927999999999999</v>
      </c>
    </row>
    <row r="140" spans="1:16">
      <c r="A140" t="s">
        <v>104</v>
      </c>
      <c r="B140" s="73">
        <v>27.35</v>
      </c>
      <c r="C140" s="73">
        <v>58.77</v>
      </c>
      <c r="D140" s="73">
        <v>24.92</v>
      </c>
      <c r="E140" s="73">
        <v>23.27</v>
      </c>
      <c r="F140" s="74">
        <f t="shared" si="20"/>
        <v>23.27</v>
      </c>
      <c r="G140" s="75">
        <f t="shared" si="13"/>
        <v>33.577500000000001</v>
      </c>
      <c r="H140" s="76">
        <f>C140</f>
        <v>58.77</v>
      </c>
      <c r="I140" s="73"/>
      <c r="J140" s="73">
        <f t="shared" si="14"/>
        <v>25.597000000000001</v>
      </c>
      <c r="K140" s="73">
        <f t="shared" si="15"/>
        <v>36.935250000000003</v>
      </c>
      <c r="L140" s="73">
        <f t="shared" si="16"/>
        <v>64.647000000000006</v>
      </c>
      <c r="M140" s="73"/>
      <c r="N140" s="73">
        <f t="shared" si="17"/>
        <v>27.923999999999999</v>
      </c>
      <c r="O140" s="73">
        <f t="shared" si="18"/>
        <v>40.292999999999999</v>
      </c>
      <c r="P140" s="73">
        <f t="shared" si="19"/>
        <v>70.524000000000001</v>
      </c>
    </row>
    <row r="141" spans="1:16">
      <c r="A141" t="s">
        <v>105</v>
      </c>
      <c r="B141" s="73">
        <v>151.21</v>
      </c>
      <c r="C141" s="73">
        <v>151.66</v>
      </c>
      <c r="D141" s="73">
        <v>144.44999999999999</v>
      </c>
      <c r="E141" s="73">
        <v>131.69</v>
      </c>
      <c r="F141" s="74">
        <f t="shared" si="20"/>
        <v>131.69</v>
      </c>
      <c r="G141" s="75">
        <f t="shared" si="13"/>
        <v>144.7525</v>
      </c>
      <c r="H141" s="76">
        <f>C141</f>
        <v>151.66</v>
      </c>
      <c r="I141" s="73"/>
      <c r="J141" s="73">
        <f t="shared" si="14"/>
        <v>144.85900000000001</v>
      </c>
      <c r="K141" s="73">
        <f t="shared" si="15"/>
        <v>159.22774999999999</v>
      </c>
      <c r="L141" s="73">
        <f t="shared" si="16"/>
        <v>166.82599999999999</v>
      </c>
      <c r="M141" s="73"/>
      <c r="N141" s="73">
        <f t="shared" si="17"/>
        <v>158.02799999999999</v>
      </c>
      <c r="O141" s="73">
        <f t="shared" si="18"/>
        <v>173.703</v>
      </c>
      <c r="P141" s="73">
        <f t="shared" si="19"/>
        <v>181.99199999999999</v>
      </c>
    </row>
    <row r="142" spans="1:16">
      <c r="A142" s="66" t="s">
        <v>106</v>
      </c>
      <c r="B142" s="73">
        <v>1913.7</v>
      </c>
      <c r="C142" s="73">
        <v>1573.18</v>
      </c>
      <c r="D142" s="73">
        <v>1120.26</v>
      </c>
      <c r="E142" s="73">
        <v>1014.66</v>
      </c>
      <c r="F142" s="74">
        <f t="shared" si="20"/>
        <v>1014.66</v>
      </c>
      <c r="G142" s="75">
        <f t="shared" si="13"/>
        <v>1405.45</v>
      </c>
      <c r="H142" s="76">
        <f>B142</f>
        <v>1913.7</v>
      </c>
      <c r="I142" s="73"/>
      <c r="J142" s="73">
        <f t="shared" si="14"/>
        <v>1116.126</v>
      </c>
      <c r="K142" s="73">
        <f t="shared" si="15"/>
        <v>1545.9950000000001</v>
      </c>
      <c r="L142" s="73">
        <f t="shared" si="16"/>
        <v>2105.0700000000002</v>
      </c>
      <c r="M142" s="73"/>
      <c r="N142" s="73">
        <f t="shared" si="17"/>
        <v>1217.5920000000001</v>
      </c>
      <c r="O142" s="73">
        <f t="shared" si="18"/>
        <v>1686.54</v>
      </c>
      <c r="P142" s="73">
        <f t="shared" si="19"/>
        <v>2296.44</v>
      </c>
    </row>
    <row r="143" spans="1:16">
      <c r="A143" s="66" t="s">
        <v>107</v>
      </c>
      <c r="B143" s="73">
        <v>2641.41</v>
      </c>
      <c r="C143" s="73">
        <v>8387.82</v>
      </c>
      <c r="D143" s="73">
        <v>643.96</v>
      </c>
      <c r="E143" s="73">
        <v>75.81</v>
      </c>
      <c r="F143" s="74">
        <f t="shared" si="20"/>
        <v>75.81</v>
      </c>
      <c r="G143" s="75">
        <f t="shared" si="13"/>
        <v>2937.2499999999995</v>
      </c>
      <c r="H143" s="76">
        <f>C143</f>
        <v>8387.82</v>
      </c>
      <c r="I143" s="73"/>
      <c r="J143" s="73">
        <f t="shared" si="14"/>
        <v>83.391000000000005</v>
      </c>
      <c r="K143" s="73">
        <f t="shared" si="15"/>
        <v>3230.9749999999995</v>
      </c>
      <c r="L143" s="73">
        <f t="shared" si="16"/>
        <v>9226.601999999999</v>
      </c>
      <c r="M143" s="73"/>
      <c r="N143" s="73">
        <f t="shared" si="17"/>
        <v>90.972000000000008</v>
      </c>
      <c r="O143" s="73">
        <f t="shared" si="18"/>
        <v>3524.6999999999994</v>
      </c>
      <c r="P143" s="73">
        <f t="shared" si="19"/>
        <v>10065.384</v>
      </c>
    </row>
    <row r="144" spans="1:16">
      <c r="A144" s="66" t="s">
        <v>108</v>
      </c>
      <c r="B144" s="73">
        <v>6569.08</v>
      </c>
      <c r="C144" s="73">
        <v>5673.72</v>
      </c>
      <c r="D144" s="73">
        <v>4519.37</v>
      </c>
      <c r="E144" s="73">
        <v>3527.67</v>
      </c>
      <c r="F144" s="74">
        <f t="shared" si="20"/>
        <v>3527.67</v>
      </c>
      <c r="G144" s="75">
        <f t="shared" si="13"/>
        <v>5072.4599999999991</v>
      </c>
      <c r="H144" s="76">
        <f>B144</f>
        <v>6569.08</v>
      </c>
      <c r="I144" s="73"/>
      <c r="J144" s="73">
        <f t="shared" si="14"/>
        <v>3880.4369999999999</v>
      </c>
      <c r="K144" s="73">
        <f t="shared" si="15"/>
        <v>5579.7059999999992</v>
      </c>
      <c r="L144" s="73">
        <f t="shared" si="16"/>
        <v>7225.9880000000003</v>
      </c>
      <c r="M144" s="73"/>
      <c r="N144" s="73">
        <f t="shared" si="17"/>
        <v>4233.2039999999997</v>
      </c>
      <c r="O144" s="73">
        <f t="shared" si="18"/>
        <v>6086.9519999999993</v>
      </c>
      <c r="P144" s="73">
        <f t="shared" si="19"/>
        <v>7882.8959999999997</v>
      </c>
    </row>
    <row r="145" spans="1:16">
      <c r="A145" t="s">
        <v>109</v>
      </c>
      <c r="B145" s="73">
        <v>162.77000000000001</v>
      </c>
      <c r="C145" s="73">
        <v>322.83999999999997</v>
      </c>
      <c r="D145" s="73">
        <v>161.41</v>
      </c>
      <c r="E145" s="73">
        <v>781.4</v>
      </c>
      <c r="F145" s="74">
        <f>D145</f>
        <v>161.41</v>
      </c>
      <c r="G145" s="75">
        <f t="shared" si="13"/>
        <v>357.10500000000002</v>
      </c>
      <c r="H145" s="76">
        <f>E145</f>
        <v>781.4</v>
      </c>
      <c r="I145" s="73"/>
      <c r="J145" s="73">
        <f t="shared" si="14"/>
        <v>177.55099999999999</v>
      </c>
      <c r="K145" s="73">
        <f t="shared" si="15"/>
        <v>392.81550000000004</v>
      </c>
      <c r="L145" s="73">
        <f t="shared" si="16"/>
        <v>859.54</v>
      </c>
      <c r="M145" s="73"/>
      <c r="N145" s="73">
        <f t="shared" si="17"/>
        <v>193.69200000000001</v>
      </c>
      <c r="O145" s="73">
        <f t="shared" si="18"/>
        <v>428.52600000000001</v>
      </c>
      <c r="P145" s="73">
        <f t="shared" si="19"/>
        <v>937.68</v>
      </c>
    </row>
  </sheetData>
  <autoFilter ref="A13:Q30" xr:uid="{00000000-0009-0000-0000-00000E000000}"/>
  <mergeCells count="21">
    <mergeCell ref="P97:R97"/>
    <mergeCell ref="D35:G35"/>
    <mergeCell ref="L35:N35"/>
    <mergeCell ref="P35:R35"/>
    <mergeCell ref="D46:G46"/>
    <mergeCell ref="D48:G48"/>
    <mergeCell ref="D58:G58"/>
    <mergeCell ref="D114:G114"/>
    <mergeCell ref="D118:G118"/>
    <mergeCell ref="D122:G122"/>
    <mergeCell ref="D126:G126"/>
    <mergeCell ref="D68:G68"/>
    <mergeCell ref="D78:G78"/>
    <mergeCell ref="D88:G88"/>
    <mergeCell ref="D97:G97"/>
    <mergeCell ref="D12:H12"/>
    <mergeCell ref="I12:M12"/>
    <mergeCell ref="A12:C12"/>
    <mergeCell ref="D108:G108"/>
    <mergeCell ref="D110:G110"/>
    <mergeCell ref="L97:N97"/>
  </mergeCells>
  <pageMargins left="0.7" right="0.7" top="0.75" bottom="0.75" header="0.3" footer="0.3"/>
  <ignoredErrors>
    <ignoredError sqref="J15" formulaRange="1"/>
  </ignoredErrors>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B2DBCC8A5E7ED47A7D5CBE7407F1D48" ma:contentTypeVersion="15" ma:contentTypeDescription="Create a new document." ma:contentTypeScope="" ma:versionID="203ac5d638b7714ee733d8eb0ad6777b">
  <xsd:schema xmlns:xsd="http://www.w3.org/2001/XMLSchema" xmlns:xs="http://www.w3.org/2001/XMLSchema" xmlns:p="http://schemas.microsoft.com/office/2006/metadata/properties" xmlns:ns1="http://schemas.microsoft.com/sharepoint/v3" xmlns:ns3="fdc81ec3-f4f6-4609-b50f-04d22d16fef5" xmlns:ns4="c442bec3-5de2-4848-8046-1525657b99f6" targetNamespace="http://schemas.microsoft.com/office/2006/metadata/properties" ma:root="true" ma:fieldsID="2a5034bfd84c5503aa438e02c4465ef2" ns1:_="" ns3:_="" ns4:_="">
    <xsd:import namespace="http://schemas.microsoft.com/sharepoint/v3"/>
    <xsd:import namespace="fdc81ec3-f4f6-4609-b50f-04d22d16fef5"/>
    <xsd:import namespace="c442bec3-5de2-4848-8046-1525657b99f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81ec3-f4f6-4609-b50f-04d22d16fef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2bec3-5de2-4848-8046-1525657b99f6"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7C1E19E-DA7D-4CDC-BB4E-5C846B94B0E0}">
  <ds:schemaRefs>
    <ds:schemaRef ds:uri="http://purl.org/dc/elements/1.1/"/>
    <ds:schemaRef ds:uri="http://schemas.microsoft.com/office/2006/metadata/properties"/>
    <ds:schemaRef ds:uri="http://schemas.microsoft.com/office/infopath/2007/PartnerControls"/>
    <ds:schemaRef ds:uri="http://schemas.microsoft.com/sharepoint/v3"/>
    <ds:schemaRef ds:uri="c442bec3-5de2-4848-8046-1525657b99f6"/>
    <ds:schemaRef ds:uri="http://purl.org/dc/terms/"/>
    <ds:schemaRef ds:uri="http://schemas.openxmlformats.org/package/2006/metadata/core-properties"/>
    <ds:schemaRef ds:uri="http://schemas.microsoft.com/office/2006/documentManagement/types"/>
    <ds:schemaRef ds:uri="fdc81ec3-f4f6-4609-b50f-04d22d16fef5"/>
    <ds:schemaRef ds:uri="http://www.w3.org/XML/1998/namespace"/>
    <ds:schemaRef ds:uri="http://purl.org/dc/dcmitype/"/>
  </ds:schemaRefs>
</ds:datastoreItem>
</file>

<file path=customXml/itemProps2.xml><?xml version="1.0" encoding="utf-8"?>
<ds:datastoreItem xmlns:ds="http://schemas.openxmlformats.org/officeDocument/2006/customXml" ds:itemID="{EBD74A40-6451-484D-AC78-28DFDDCEAD18}">
  <ds:schemaRefs>
    <ds:schemaRef ds:uri="http://schemas.microsoft.com/sharepoint/v3/contenttype/forms"/>
  </ds:schemaRefs>
</ds:datastoreItem>
</file>

<file path=customXml/itemProps3.xml><?xml version="1.0" encoding="utf-8"?>
<ds:datastoreItem xmlns:ds="http://schemas.openxmlformats.org/officeDocument/2006/customXml" ds:itemID="{BC5A17E9-D44F-4CFA-8F83-6323C3AC41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dc81ec3-f4f6-4609-b50f-04d22d16fef5"/>
    <ds:schemaRef ds:uri="c442bec3-5de2-4848-8046-1525657b99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Intro</vt:lpstr>
      <vt:lpstr>Prospective Project</vt:lpstr>
      <vt:lpstr>Active Project</vt:lpstr>
      <vt:lpstr>Sys Admin</vt:lpstr>
      <vt:lpstr>Enablement Services</vt:lpstr>
      <vt:lpstr>Platform Cloud Costs</vt:lpstr>
      <vt:lpstr>Other Overhead C </vt:lpstr>
      <vt:lpstr>Rate Sheet</vt:lpstr>
      <vt:lpstr>Cloud Consumption</vt:lpstr>
      <vt:lpstr>Prospective Project Calculation</vt:lpstr>
      <vt:lpstr>Active Project Calculation</vt:lpstr>
      <vt:lpstr>Sys Admin Calculation</vt:lpstr>
      <vt:lpstr>Sys Admin Calculation Y2</vt:lpstr>
      <vt:lpstr>Sys Admin Calculation Y3</vt:lpstr>
      <vt:lpstr>Inputs</vt:lpstr>
    </vt:vector>
  </TitlesOfParts>
  <Company>ICFI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Gopalakrishna, Deepak</dc:creator>
  <cp:lastModifiedBy>v</cp:lastModifiedBy>
  <cp:lastPrinted>2019-12-06T16:42:24Z</cp:lastPrinted>
  <dcterms:created xsi:type="dcterms:W3CDTF">2019-10-01T14:28:12Z</dcterms:created>
  <dcterms:modified xsi:type="dcterms:W3CDTF">2019-12-09T19:36:44Z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0x0101002B2DBCC8A5E7ED47A7D5CBE7407F1D48</vt:lpwstr>
  </property>
</Properties>
</file>