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showInkAnnotation="0" codeName="ThisWorkbook"/>
  <mc:AlternateContent xmlns:mc="http://schemas.openxmlformats.org/markup-compatibility/2006">
    <mc:Choice Requires="x15">
      <x15ac:absPath xmlns:x15ac="http://schemas.microsoft.com/office/spreadsheetml/2010/11/ac" url="C:\Users\51526\Desktop\"/>
    </mc:Choice>
  </mc:AlternateContent>
  <xr:revisionPtr revIDLastSave="0" documentId="13_ncr:1_{E7055F05-6083-4145-A443-30318E39799E}" xr6:coauthVersionLast="44" xr6:coauthVersionMax="44" xr10:uidLastSave="{00000000-0000-0000-0000-000000000000}"/>
  <bookViews>
    <workbookView xWindow="-98" yWindow="-98" windowWidth="19396" windowHeight="10395" tabRatio="815" xr2:uid="{00000000-000D-0000-FFFF-FFFF00000000}"/>
  </bookViews>
  <sheets>
    <sheet name="Intro" sheetId="3" r:id="rId1"/>
    <sheet name="Prospective Project" sheetId="4" r:id="rId2"/>
    <sheet name="ESPO Services" sheetId="22" state="veryHidden" r:id="rId3"/>
    <sheet name="Active Project" sheetId="5" r:id="rId4"/>
    <sheet name="Sys Admin" sheetId="1" r:id="rId5"/>
    <sheet name="Enablement Services " sheetId="6" state="veryHidden" r:id="rId6"/>
    <sheet name="Custom ESPO Selection" sheetId="24" r:id="rId7"/>
    <sheet name="ESPO Calculator" sheetId="23" r:id="rId8"/>
    <sheet name="Platform Cloud Costs" sheetId="8" r:id="rId9"/>
    <sheet name="Platform Overhead C " sheetId="17" state="veryHidden" r:id="rId10"/>
    <sheet name="Rate Sheet" sheetId="20" state="veryHidden" r:id="rId11"/>
    <sheet name="Cloud Consumption" sheetId="16" state="veryHidden" r:id="rId12"/>
    <sheet name="Prospective Project Calculation" sheetId="12" state="veryHidden" r:id="rId13"/>
    <sheet name="Active Project Calculation" sheetId="11" state="veryHidden" r:id="rId14"/>
    <sheet name="Sys Admin Calculation" sheetId="13" state="veryHidden" r:id="rId15"/>
    <sheet name="Sys Admin Calculation Y2" sheetId="18" state="veryHidden" r:id="rId16"/>
    <sheet name="Sys Admin Calculation Y3" sheetId="19" state="veryHidden" r:id="rId17"/>
    <sheet name="Sys Admin Calculation Y4" sheetId="25" state="veryHidden" r:id="rId18"/>
    <sheet name="Sys Admin Calculation Y5" sheetId="26" state="veryHidden" r:id="rId19"/>
    <sheet name="Inputs" sheetId="14" state="veryHidden" r:id="rId20"/>
  </sheets>
  <definedNames>
    <definedName name="_xlnm._FilterDatabase" localSheetId="19" hidden="1">Inputs!$A$13:$Q$30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9" i="20" l="1"/>
  <c r="E51" i="26" l="1"/>
  <c r="E51" i="25"/>
  <c r="E51" i="19"/>
  <c r="E51" i="18"/>
  <c r="O71" i="1" s="1"/>
  <c r="E51" i="13"/>
  <c r="G26" i="26" l="1"/>
  <c r="G27" i="26"/>
  <c r="G28" i="26"/>
  <c r="G29" i="26"/>
  <c r="G30" i="26"/>
  <c r="G31" i="26"/>
  <c r="G32" i="26"/>
  <c r="G33" i="26"/>
  <c r="G34" i="26"/>
  <c r="G35" i="26"/>
  <c r="G36" i="26"/>
  <c r="F26" i="26"/>
  <c r="F27" i="26"/>
  <c r="F28" i="26"/>
  <c r="F29" i="26"/>
  <c r="F30" i="26"/>
  <c r="F31" i="26"/>
  <c r="F32" i="26"/>
  <c r="F33" i="26"/>
  <c r="F34" i="26"/>
  <c r="F35" i="26"/>
  <c r="F36" i="26"/>
  <c r="G6" i="26"/>
  <c r="G7" i="26"/>
  <c r="G8" i="26"/>
  <c r="G9" i="26"/>
  <c r="G10" i="26"/>
  <c r="G11" i="26"/>
  <c r="G12" i="26"/>
  <c r="G13" i="26"/>
  <c r="G14" i="26"/>
  <c r="G15" i="26"/>
  <c r="G16" i="26"/>
  <c r="G17" i="26"/>
  <c r="G18" i="26"/>
  <c r="G19" i="26"/>
  <c r="G20" i="26"/>
  <c r="G21" i="26"/>
  <c r="G5" i="26"/>
  <c r="F6" i="26"/>
  <c r="F7" i="26"/>
  <c r="F8" i="26"/>
  <c r="F9" i="26"/>
  <c r="F10" i="26"/>
  <c r="F11" i="26"/>
  <c r="F12" i="26"/>
  <c r="F13" i="26"/>
  <c r="F14" i="26"/>
  <c r="F15" i="26"/>
  <c r="F16" i="26"/>
  <c r="F17" i="26"/>
  <c r="F18" i="26"/>
  <c r="F19" i="26"/>
  <c r="F20" i="26"/>
  <c r="F21" i="26"/>
  <c r="F5" i="26"/>
  <c r="G26" i="25"/>
  <c r="G27" i="25"/>
  <c r="G28" i="25"/>
  <c r="G29" i="25"/>
  <c r="G30" i="25"/>
  <c r="G31" i="25"/>
  <c r="G32" i="25"/>
  <c r="G33" i="25"/>
  <c r="G34" i="25"/>
  <c r="G35" i="25"/>
  <c r="G36" i="25"/>
  <c r="F26" i="25"/>
  <c r="F27" i="25"/>
  <c r="F28" i="25"/>
  <c r="F29" i="25"/>
  <c r="F30" i="25"/>
  <c r="F31" i="25"/>
  <c r="F32" i="25"/>
  <c r="F33" i="25"/>
  <c r="F34" i="25"/>
  <c r="F35" i="25"/>
  <c r="F36" i="25"/>
  <c r="G6" i="25"/>
  <c r="G7" i="25"/>
  <c r="G8" i="25"/>
  <c r="G9" i="25"/>
  <c r="G10" i="25"/>
  <c r="G11" i="25"/>
  <c r="G12" i="25"/>
  <c r="G13" i="25"/>
  <c r="G14" i="25"/>
  <c r="G15" i="25"/>
  <c r="G16" i="25"/>
  <c r="G17" i="25"/>
  <c r="G18" i="25"/>
  <c r="G19" i="25"/>
  <c r="G20" i="25"/>
  <c r="G21" i="25"/>
  <c r="G5" i="25"/>
  <c r="F6" i="25"/>
  <c r="F7" i="25"/>
  <c r="F8" i="25"/>
  <c r="F9" i="25"/>
  <c r="F10" i="25"/>
  <c r="F11" i="25"/>
  <c r="F12" i="25"/>
  <c r="F13" i="25"/>
  <c r="F14" i="25"/>
  <c r="F15" i="25"/>
  <c r="F16" i="25"/>
  <c r="F17" i="25"/>
  <c r="F18" i="25"/>
  <c r="F19" i="25"/>
  <c r="F20" i="25"/>
  <c r="F21" i="25"/>
  <c r="F5" i="25"/>
  <c r="G26" i="19"/>
  <c r="G27" i="19"/>
  <c r="G28" i="19"/>
  <c r="G29" i="19"/>
  <c r="G30" i="19"/>
  <c r="G31" i="19"/>
  <c r="G32" i="19"/>
  <c r="G33" i="19"/>
  <c r="G34" i="19"/>
  <c r="G35" i="19"/>
  <c r="G36" i="19"/>
  <c r="F26" i="19"/>
  <c r="F27" i="19"/>
  <c r="F28" i="19"/>
  <c r="F29" i="19"/>
  <c r="F30" i="19"/>
  <c r="F31" i="19"/>
  <c r="F32" i="19"/>
  <c r="F33" i="19"/>
  <c r="F34" i="19"/>
  <c r="F35" i="19"/>
  <c r="F36" i="19"/>
  <c r="G6" i="19"/>
  <c r="G7" i="19"/>
  <c r="G8" i="19"/>
  <c r="G9" i="19"/>
  <c r="G10" i="19"/>
  <c r="G11" i="19"/>
  <c r="G12" i="19"/>
  <c r="G13" i="19"/>
  <c r="G14" i="19"/>
  <c r="G15" i="19"/>
  <c r="G16" i="19"/>
  <c r="G17" i="19"/>
  <c r="G18" i="19"/>
  <c r="G19" i="19"/>
  <c r="G20" i="19"/>
  <c r="G21" i="19"/>
  <c r="F6" i="19"/>
  <c r="F7" i="19"/>
  <c r="F8" i="19"/>
  <c r="F9" i="19"/>
  <c r="F10" i="19"/>
  <c r="F11" i="19"/>
  <c r="F12" i="19"/>
  <c r="F13" i="19"/>
  <c r="F14" i="19"/>
  <c r="F15" i="19"/>
  <c r="F16" i="19"/>
  <c r="F17" i="19"/>
  <c r="F18" i="19"/>
  <c r="F19" i="19"/>
  <c r="F20" i="19"/>
  <c r="F21" i="19"/>
  <c r="G5" i="19"/>
  <c r="F5" i="19"/>
  <c r="G6" i="18"/>
  <c r="G7" i="18"/>
  <c r="G8" i="18"/>
  <c r="G9" i="18"/>
  <c r="G10" i="18"/>
  <c r="G11" i="18"/>
  <c r="G12" i="18"/>
  <c r="G13" i="18"/>
  <c r="G14" i="18"/>
  <c r="G15" i="18"/>
  <c r="G16" i="18"/>
  <c r="G17" i="18"/>
  <c r="G18" i="18"/>
  <c r="G19" i="18"/>
  <c r="G20" i="18"/>
  <c r="G21" i="18"/>
  <c r="G23" i="18"/>
  <c r="G24" i="18"/>
  <c r="G25" i="18"/>
  <c r="G26" i="18"/>
  <c r="G27" i="18"/>
  <c r="G28" i="18"/>
  <c r="G29" i="18"/>
  <c r="G30" i="18"/>
  <c r="G31" i="18"/>
  <c r="G32" i="18"/>
  <c r="G33" i="18"/>
  <c r="G34" i="18"/>
  <c r="G35" i="18"/>
  <c r="G36" i="18"/>
  <c r="F23" i="18"/>
  <c r="F24" i="18"/>
  <c r="F25" i="18"/>
  <c r="F26" i="18"/>
  <c r="F27" i="18"/>
  <c r="F28" i="18"/>
  <c r="F29" i="18"/>
  <c r="F30" i="18"/>
  <c r="F31" i="18"/>
  <c r="F32" i="18"/>
  <c r="F33" i="18"/>
  <c r="F34" i="18"/>
  <c r="F35" i="18"/>
  <c r="F36" i="18"/>
  <c r="F6" i="18"/>
  <c r="F7" i="18"/>
  <c r="F8" i="18"/>
  <c r="F9" i="18"/>
  <c r="F10" i="18"/>
  <c r="F11" i="18"/>
  <c r="F12" i="18"/>
  <c r="F13" i="18"/>
  <c r="F14" i="18"/>
  <c r="F15" i="18"/>
  <c r="F16" i="18"/>
  <c r="F17" i="18"/>
  <c r="F18" i="18"/>
  <c r="F19" i="18"/>
  <c r="F20" i="18"/>
  <c r="F21" i="18"/>
  <c r="G5" i="18"/>
  <c r="F5" i="18"/>
  <c r="X6" i="26"/>
  <c r="X7" i="26"/>
  <c r="X8" i="26"/>
  <c r="X9" i="26"/>
  <c r="X10" i="26"/>
  <c r="X11" i="26"/>
  <c r="X12" i="26"/>
  <c r="X13" i="26"/>
  <c r="X14" i="26"/>
  <c r="X15" i="26"/>
  <c r="X16" i="26"/>
  <c r="X17" i="26"/>
  <c r="X18" i="26"/>
  <c r="X19" i="26"/>
  <c r="X20" i="26"/>
  <c r="X21" i="26"/>
  <c r="X23" i="26"/>
  <c r="X25" i="26"/>
  <c r="X26" i="26"/>
  <c r="X27" i="26"/>
  <c r="X28" i="26"/>
  <c r="X29" i="26"/>
  <c r="X30" i="26"/>
  <c r="X31" i="26"/>
  <c r="X32" i="26"/>
  <c r="X33" i="26"/>
  <c r="X34" i="26"/>
  <c r="X35" i="26"/>
  <c r="X36" i="26"/>
  <c r="X5" i="26"/>
  <c r="X25" i="25"/>
  <c r="X26" i="25"/>
  <c r="X27" i="25"/>
  <c r="X28" i="25"/>
  <c r="X29" i="25"/>
  <c r="X30" i="25"/>
  <c r="X31" i="25"/>
  <c r="X32" i="25"/>
  <c r="X33" i="25"/>
  <c r="X34" i="25"/>
  <c r="X35" i="25"/>
  <c r="X36" i="25"/>
  <c r="X6" i="25"/>
  <c r="X7" i="25"/>
  <c r="X8" i="25"/>
  <c r="X9" i="25"/>
  <c r="X10" i="25"/>
  <c r="X11" i="25"/>
  <c r="X12" i="25"/>
  <c r="X13" i="25"/>
  <c r="X14" i="25"/>
  <c r="X15" i="25"/>
  <c r="X16" i="25"/>
  <c r="X17" i="25"/>
  <c r="X18" i="25"/>
  <c r="X19" i="25"/>
  <c r="X20" i="25"/>
  <c r="X21" i="25"/>
  <c r="X5" i="25"/>
  <c r="X6" i="19"/>
  <c r="X7" i="19"/>
  <c r="X8" i="19"/>
  <c r="X9" i="19"/>
  <c r="X10" i="19"/>
  <c r="X11" i="19"/>
  <c r="X12" i="19"/>
  <c r="X13" i="19"/>
  <c r="X14" i="19"/>
  <c r="X15" i="19"/>
  <c r="X16" i="19"/>
  <c r="X17" i="19"/>
  <c r="X18" i="19"/>
  <c r="X19" i="19"/>
  <c r="X20" i="19"/>
  <c r="X21" i="19"/>
  <c r="X26" i="19"/>
  <c r="X27" i="19"/>
  <c r="X28" i="19"/>
  <c r="X29" i="19"/>
  <c r="X30" i="19"/>
  <c r="X31" i="19"/>
  <c r="X32" i="19"/>
  <c r="X33" i="19"/>
  <c r="X34" i="19"/>
  <c r="X35" i="19"/>
  <c r="X36" i="19"/>
  <c r="X5" i="19"/>
  <c r="X26" i="18"/>
  <c r="X27" i="18"/>
  <c r="X28" i="18"/>
  <c r="X29" i="18"/>
  <c r="X30" i="18"/>
  <c r="X31" i="18"/>
  <c r="X32" i="18"/>
  <c r="X33" i="18"/>
  <c r="X34" i="18"/>
  <c r="X35" i="18"/>
  <c r="X36" i="18"/>
  <c r="X6" i="18"/>
  <c r="X7" i="18"/>
  <c r="X8" i="18"/>
  <c r="X9" i="18"/>
  <c r="X10" i="18"/>
  <c r="X11" i="18"/>
  <c r="X12" i="18"/>
  <c r="X13" i="18"/>
  <c r="X14" i="18"/>
  <c r="X15" i="18"/>
  <c r="X16" i="18"/>
  <c r="X17" i="18"/>
  <c r="X18" i="18"/>
  <c r="X19" i="18"/>
  <c r="X20" i="18"/>
  <c r="X21" i="18"/>
  <c r="X5" i="18"/>
  <c r="X23" i="13"/>
  <c r="X24" i="13"/>
  <c r="X25" i="13"/>
  <c r="X26" i="13"/>
  <c r="X27" i="13"/>
  <c r="X28" i="13"/>
  <c r="X29" i="13"/>
  <c r="X30" i="13"/>
  <c r="X31" i="13"/>
  <c r="X32" i="13"/>
  <c r="X33" i="13"/>
  <c r="X34" i="13"/>
  <c r="X35" i="13"/>
  <c r="X36" i="13"/>
  <c r="X6" i="13"/>
  <c r="X7" i="13"/>
  <c r="X8" i="13"/>
  <c r="X9" i="13"/>
  <c r="X10" i="13"/>
  <c r="X11" i="13"/>
  <c r="X12" i="13"/>
  <c r="X13" i="13"/>
  <c r="X14" i="13"/>
  <c r="X15" i="13"/>
  <c r="X16" i="13"/>
  <c r="X17" i="13"/>
  <c r="X18" i="13"/>
  <c r="X19" i="13"/>
  <c r="X20" i="13"/>
  <c r="X21" i="13"/>
  <c r="X5" i="13"/>
  <c r="V23" i="26" l="1"/>
  <c r="V24" i="26"/>
  <c r="V25" i="26"/>
  <c r="V26" i="26"/>
  <c r="V27" i="26"/>
  <c r="V28" i="26"/>
  <c r="V29" i="26"/>
  <c r="V30" i="26"/>
  <c r="V31" i="26"/>
  <c r="V32" i="26"/>
  <c r="V33" i="26"/>
  <c r="V34" i="26"/>
  <c r="V35" i="26"/>
  <c r="V36" i="26"/>
  <c r="V22" i="26"/>
  <c r="V6" i="26"/>
  <c r="V7" i="26"/>
  <c r="V8" i="26"/>
  <c r="V9" i="26"/>
  <c r="V10" i="26"/>
  <c r="V11" i="26"/>
  <c r="V12" i="26"/>
  <c r="V13" i="26"/>
  <c r="V14" i="26"/>
  <c r="V15" i="26"/>
  <c r="V16" i="26"/>
  <c r="V17" i="26"/>
  <c r="V18" i="26"/>
  <c r="V19" i="26"/>
  <c r="V20" i="26"/>
  <c r="V21" i="26"/>
  <c r="V5" i="26"/>
  <c r="V36" i="25"/>
  <c r="V23" i="25"/>
  <c r="V24" i="25"/>
  <c r="V25" i="25"/>
  <c r="V26" i="25"/>
  <c r="V27" i="25"/>
  <c r="V28" i="25"/>
  <c r="V29" i="25"/>
  <c r="V30" i="25"/>
  <c r="V31" i="25"/>
  <c r="V32" i="25"/>
  <c r="V33" i="25"/>
  <c r="V34" i="25"/>
  <c r="V35" i="25"/>
  <c r="V22" i="25"/>
  <c r="V6" i="25"/>
  <c r="V7" i="25"/>
  <c r="V8" i="25"/>
  <c r="V9" i="25"/>
  <c r="V10" i="25"/>
  <c r="V11" i="25"/>
  <c r="V12" i="25"/>
  <c r="V13" i="25"/>
  <c r="V14" i="25"/>
  <c r="V15" i="25"/>
  <c r="V16" i="25"/>
  <c r="V17" i="25"/>
  <c r="V18" i="25"/>
  <c r="V19" i="25"/>
  <c r="V20" i="25"/>
  <c r="V21" i="25"/>
  <c r="V5" i="25"/>
  <c r="V69" i="26"/>
  <c r="V70" i="26"/>
  <c r="V71" i="26"/>
  <c r="V72" i="26"/>
  <c r="V73" i="26"/>
  <c r="V74" i="26"/>
  <c r="V75" i="26"/>
  <c r="V76" i="26"/>
  <c r="V77" i="26"/>
  <c r="V78" i="26"/>
  <c r="V79" i="26"/>
  <c r="V80" i="26"/>
  <c r="V81" i="26"/>
  <c r="V82" i="26"/>
  <c r="V83" i="26"/>
  <c r="V84" i="26"/>
  <c r="V94" i="26"/>
  <c r="V95" i="26"/>
  <c r="V96" i="26"/>
  <c r="V97" i="26"/>
  <c r="V98" i="26"/>
  <c r="V99" i="26"/>
  <c r="V68" i="26"/>
  <c r="V69" i="25"/>
  <c r="V70" i="25"/>
  <c r="V71" i="25"/>
  <c r="V72" i="25"/>
  <c r="V73" i="25"/>
  <c r="V74" i="25"/>
  <c r="V75" i="25"/>
  <c r="V76" i="25"/>
  <c r="V77" i="25"/>
  <c r="V78" i="25"/>
  <c r="V79" i="25"/>
  <c r="V80" i="25"/>
  <c r="V81" i="25"/>
  <c r="V82" i="25"/>
  <c r="V83" i="25"/>
  <c r="V84" i="25"/>
  <c r="V93" i="25"/>
  <c r="V94" i="25"/>
  <c r="V95" i="25"/>
  <c r="V96" i="25"/>
  <c r="V97" i="25"/>
  <c r="V98" i="25"/>
  <c r="V99" i="25"/>
  <c r="V68" i="25"/>
  <c r="V69" i="19"/>
  <c r="V70" i="19"/>
  <c r="V71" i="19"/>
  <c r="V72" i="19"/>
  <c r="V73" i="19"/>
  <c r="V74" i="19"/>
  <c r="V75" i="19"/>
  <c r="V76" i="19"/>
  <c r="V77" i="19"/>
  <c r="V78" i="19"/>
  <c r="V79" i="19"/>
  <c r="V80" i="19"/>
  <c r="V81" i="19"/>
  <c r="V82" i="19"/>
  <c r="V83" i="19"/>
  <c r="V84" i="19"/>
  <c r="V91" i="19"/>
  <c r="V92" i="19"/>
  <c r="V93" i="19"/>
  <c r="V94" i="19"/>
  <c r="V95" i="19"/>
  <c r="V96" i="19"/>
  <c r="V97" i="19"/>
  <c r="V98" i="19"/>
  <c r="V99" i="19"/>
  <c r="V68" i="19"/>
  <c r="V67" i="18"/>
  <c r="V68" i="18"/>
  <c r="V69" i="18"/>
  <c r="V70" i="18"/>
  <c r="V71" i="18"/>
  <c r="V72" i="18"/>
  <c r="V73" i="18"/>
  <c r="V74" i="18"/>
  <c r="V75" i="18"/>
  <c r="V76" i="18"/>
  <c r="V77" i="18"/>
  <c r="V78" i="18"/>
  <c r="V79" i="18"/>
  <c r="V80" i="18"/>
  <c r="V81" i="18"/>
  <c r="V82" i="18"/>
  <c r="V88" i="18"/>
  <c r="V89" i="18"/>
  <c r="V90" i="18"/>
  <c r="V91" i="18"/>
  <c r="V92" i="18"/>
  <c r="V93" i="18"/>
  <c r="V94" i="18"/>
  <c r="V95" i="18"/>
  <c r="V96" i="18"/>
  <c r="V97" i="18"/>
  <c r="V66" i="18"/>
  <c r="I6" i="26" l="1"/>
  <c r="I7" i="26"/>
  <c r="I8" i="26"/>
  <c r="I9" i="26"/>
  <c r="I10" i="26"/>
  <c r="I11" i="26"/>
  <c r="I12" i="26"/>
  <c r="I13" i="26"/>
  <c r="I14" i="26"/>
  <c r="I15" i="26"/>
  <c r="I16" i="26"/>
  <c r="I17" i="26"/>
  <c r="I18" i="26"/>
  <c r="I19" i="26"/>
  <c r="I20" i="26"/>
  <c r="I21" i="26"/>
  <c r="H15" i="26"/>
  <c r="H16" i="26"/>
  <c r="H20" i="26"/>
  <c r="H21" i="26"/>
  <c r="E23" i="26"/>
  <c r="E24" i="26"/>
  <c r="E25" i="26"/>
  <c r="E26" i="26"/>
  <c r="E27" i="26"/>
  <c r="E28" i="26"/>
  <c r="E29" i="26"/>
  <c r="E30" i="26"/>
  <c r="E31" i="26"/>
  <c r="E32" i="26"/>
  <c r="E33" i="26"/>
  <c r="E34" i="26"/>
  <c r="E35" i="26"/>
  <c r="E36" i="26"/>
  <c r="E22" i="26"/>
  <c r="E6" i="26"/>
  <c r="E7" i="26"/>
  <c r="E8" i="26"/>
  <c r="E9" i="26"/>
  <c r="E10" i="26"/>
  <c r="E11" i="26"/>
  <c r="E12" i="26"/>
  <c r="E13" i="26"/>
  <c r="E14" i="26"/>
  <c r="E15" i="26"/>
  <c r="E16" i="26"/>
  <c r="E17" i="26"/>
  <c r="E18" i="26"/>
  <c r="E19" i="26"/>
  <c r="E20" i="26"/>
  <c r="E21" i="26"/>
  <c r="I5" i="26"/>
  <c r="E5" i="26"/>
  <c r="I6" i="25"/>
  <c r="I7" i="25"/>
  <c r="I8" i="25"/>
  <c r="I9" i="25"/>
  <c r="I10" i="25"/>
  <c r="I11" i="25"/>
  <c r="I12" i="25"/>
  <c r="I13" i="25"/>
  <c r="I14" i="25"/>
  <c r="I15" i="25"/>
  <c r="I16" i="25"/>
  <c r="I17" i="25"/>
  <c r="I18" i="25"/>
  <c r="I19" i="25"/>
  <c r="I20" i="25"/>
  <c r="I21" i="25"/>
  <c r="H15" i="25"/>
  <c r="H16" i="25"/>
  <c r="H20" i="25"/>
  <c r="H21" i="25"/>
  <c r="E23" i="25"/>
  <c r="E24" i="25"/>
  <c r="E25" i="25"/>
  <c r="E26" i="25"/>
  <c r="E27" i="25"/>
  <c r="E28" i="25"/>
  <c r="E29" i="25"/>
  <c r="E30" i="25"/>
  <c r="E31" i="25"/>
  <c r="E32" i="25"/>
  <c r="E33" i="25"/>
  <c r="E34" i="25"/>
  <c r="E35" i="25"/>
  <c r="E36" i="25"/>
  <c r="E22" i="25"/>
  <c r="E6" i="25"/>
  <c r="E7" i="25"/>
  <c r="E8" i="25"/>
  <c r="E9" i="25"/>
  <c r="E10" i="25"/>
  <c r="E11" i="25"/>
  <c r="E12" i="25"/>
  <c r="E13" i="25"/>
  <c r="E14" i="25"/>
  <c r="E15" i="25"/>
  <c r="E16" i="25"/>
  <c r="E17" i="25"/>
  <c r="E18" i="25"/>
  <c r="E19" i="25"/>
  <c r="E20" i="25"/>
  <c r="E21" i="25"/>
  <c r="I5" i="25"/>
  <c r="E5" i="25"/>
  <c r="X46" i="19"/>
  <c r="U23" i="26" l="1"/>
  <c r="U25" i="26"/>
  <c r="U26" i="26"/>
  <c r="U30" i="26"/>
  <c r="U33" i="26"/>
  <c r="U22" i="26"/>
  <c r="X22" i="26" s="1"/>
  <c r="T30" i="26"/>
  <c r="T5" i="26"/>
  <c r="U25" i="25"/>
  <c r="U26" i="25"/>
  <c r="U27" i="25"/>
  <c r="U22" i="25"/>
  <c r="X22" i="25" s="1"/>
  <c r="T22" i="25"/>
  <c r="T5" i="25"/>
  <c r="U44" i="1" l="1"/>
  <c r="U96" i="26" l="1"/>
  <c r="S99" i="26"/>
  <c r="N70" i="26"/>
  <c r="Q69" i="26"/>
  <c r="N69" i="26"/>
  <c r="N68" i="26"/>
  <c r="N67" i="26"/>
  <c r="N66" i="26"/>
  <c r="N65" i="26"/>
  <c r="N64" i="26"/>
  <c r="N63" i="26"/>
  <c r="N62" i="26"/>
  <c r="N61" i="26"/>
  <c r="Q60" i="26"/>
  <c r="N60" i="26"/>
  <c r="N59" i="26"/>
  <c r="I59" i="26"/>
  <c r="N58" i="26"/>
  <c r="I58" i="26"/>
  <c r="N57" i="26"/>
  <c r="I57" i="26"/>
  <c r="Q56" i="26"/>
  <c r="N56" i="26"/>
  <c r="I56" i="26"/>
  <c r="N55" i="26"/>
  <c r="N54" i="26"/>
  <c r="N53" i="26"/>
  <c r="Q52" i="26"/>
  <c r="N52" i="26"/>
  <c r="I52" i="26"/>
  <c r="N51" i="26"/>
  <c r="I51" i="26"/>
  <c r="N50" i="26"/>
  <c r="I50" i="26"/>
  <c r="N49" i="26"/>
  <c r="I49" i="26"/>
  <c r="D49" i="26"/>
  <c r="A49" i="26"/>
  <c r="V48" i="26"/>
  <c r="D48" i="26"/>
  <c r="A48" i="26"/>
  <c r="V47" i="26"/>
  <c r="V46" i="26"/>
  <c r="Q44" i="26"/>
  <c r="B44" i="26"/>
  <c r="A44" i="26"/>
  <c r="Q43" i="26"/>
  <c r="B43" i="26"/>
  <c r="A43" i="26"/>
  <c r="Q42" i="26"/>
  <c r="B42" i="26"/>
  <c r="A42" i="26"/>
  <c r="B41" i="26"/>
  <c r="A41" i="26"/>
  <c r="B40" i="26"/>
  <c r="A40" i="26"/>
  <c r="C36" i="26"/>
  <c r="B36" i="26"/>
  <c r="A36" i="26"/>
  <c r="C35" i="26"/>
  <c r="B35" i="26"/>
  <c r="A35" i="26"/>
  <c r="S98" i="26" s="1"/>
  <c r="C34" i="26"/>
  <c r="B34" i="26"/>
  <c r="A34" i="26"/>
  <c r="S97" i="26" s="1"/>
  <c r="C33" i="26"/>
  <c r="B33" i="26"/>
  <c r="A33" i="26"/>
  <c r="S96" i="26" s="1"/>
  <c r="C32" i="26"/>
  <c r="B32" i="26"/>
  <c r="A32" i="26"/>
  <c r="S95" i="26" s="1"/>
  <c r="C31" i="26"/>
  <c r="B31" i="26"/>
  <c r="A31" i="26"/>
  <c r="S94" i="26" s="1"/>
  <c r="C30" i="26"/>
  <c r="B30" i="26"/>
  <c r="A30" i="26"/>
  <c r="S93" i="26" s="1"/>
  <c r="C29" i="26"/>
  <c r="B29" i="26"/>
  <c r="A29" i="26"/>
  <c r="S92" i="26" s="1"/>
  <c r="C28" i="26"/>
  <c r="B28" i="26"/>
  <c r="A28" i="26"/>
  <c r="S91" i="26" s="1"/>
  <c r="C27" i="26"/>
  <c r="B27" i="26"/>
  <c r="A27" i="26"/>
  <c r="S90" i="26" s="1"/>
  <c r="C26" i="26"/>
  <c r="B26" i="26"/>
  <c r="A26" i="26"/>
  <c r="S89" i="26" s="1"/>
  <c r="C25" i="26"/>
  <c r="B25" i="26"/>
  <c r="A25" i="26"/>
  <c r="S88" i="26" s="1"/>
  <c r="C24" i="26"/>
  <c r="B24" i="26"/>
  <c r="A24" i="26"/>
  <c r="S87" i="26" s="1"/>
  <c r="C23" i="26"/>
  <c r="B23" i="26"/>
  <c r="A23" i="26"/>
  <c r="S86" i="26" s="1"/>
  <c r="C22" i="26"/>
  <c r="B22" i="26"/>
  <c r="A22" i="26"/>
  <c r="S85" i="26" s="1"/>
  <c r="R21" i="26"/>
  <c r="Q21" i="26"/>
  <c r="P21" i="26"/>
  <c r="O21" i="26"/>
  <c r="N21" i="26"/>
  <c r="M21" i="26"/>
  <c r="L21" i="26"/>
  <c r="K21" i="26"/>
  <c r="J21" i="26"/>
  <c r="D21" i="26"/>
  <c r="B21" i="26"/>
  <c r="A21" i="26"/>
  <c r="R20" i="26"/>
  <c r="Q20" i="26"/>
  <c r="P20" i="26"/>
  <c r="O20" i="26"/>
  <c r="N20" i="26"/>
  <c r="M20" i="26"/>
  <c r="L20" i="26"/>
  <c r="K20" i="26"/>
  <c r="J20" i="26"/>
  <c r="D20" i="26"/>
  <c r="B20" i="26"/>
  <c r="A20" i="26"/>
  <c r="R19" i="26"/>
  <c r="Q19" i="26"/>
  <c r="P19" i="26"/>
  <c r="O19" i="26"/>
  <c r="N19" i="26"/>
  <c r="M19" i="26"/>
  <c r="L19" i="26"/>
  <c r="K19" i="26"/>
  <c r="J19" i="26"/>
  <c r="D19" i="26"/>
  <c r="B19" i="26"/>
  <c r="A19" i="26"/>
  <c r="R18" i="26"/>
  <c r="Q18" i="26"/>
  <c r="P18" i="26"/>
  <c r="O18" i="26"/>
  <c r="K18" i="26"/>
  <c r="J18" i="26"/>
  <c r="D18" i="26"/>
  <c r="B18" i="26"/>
  <c r="A18" i="26"/>
  <c r="R17" i="26"/>
  <c r="Q17" i="26"/>
  <c r="P17" i="26"/>
  <c r="O17" i="26"/>
  <c r="L17" i="26"/>
  <c r="J17" i="26"/>
  <c r="D17" i="26"/>
  <c r="B17" i="26"/>
  <c r="A17" i="26"/>
  <c r="R16" i="26"/>
  <c r="Q16" i="26"/>
  <c r="P16" i="26"/>
  <c r="O16" i="26"/>
  <c r="N16" i="26"/>
  <c r="M16" i="26"/>
  <c r="L16" i="26"/>
  <c r="K16" i="26"/>
  <c r="J16" i="26"/>
  <c r="D16" i="26"/>
  <c r="B16" i="26"/>
  <c r="A16" i="26"/>
  <c r="R15" i="26"/>
  <c r="Q15" i="26"/>
  <c r="P15" i="26"/>
  <c r="O15" i="26"/>
  <c r="N15" i="26"/>
  <c r="M15" i="26"/>
  <c r="L15" i="26"/>
  <c r="K15" i="26"/>
  <c r="J15" i="26"/>
  <c r="D15" i="26"/>
  <c r="B15" i="26"/>
  <c r="A15" i="26"/>
  <c r="R14" i="26"/>
  <c r="Q14" i="26"/>
  <c r="P14" i="26"/>
  <c r="O14" i="26"/>
  <c r="L14" i="26"/>
  <c r="K14" i="26"/>
  <c r="J14" i="26"/>
  <c r="D14" i="26"/>
  <c r="B14" i="26"/>
  <c r="A14" i="26"/>
  <c r="R13" i="26"/>
  <c r="Q13" i="26"/>
  <c r="P13" i="26"/>
  <c r="O13" i="26"/>
  <c r="L13" i="26"/>
  <c r="K13" i="26"/>
  <c r="J13" i="26"/>
  <c r="D13" i="26"/>
  <c r="B13" i="26"/>
  <c r="A13" i="26"/>
  <c r="R12" i="26"/>
  <c r="Q12" i="26"/>
  <c r="P12" i="26"/>
  <c r="O12" i="26"/>
  <c r="L12" i="26"/>
  <c r="J12" i="26"/>
  <c r="D12" i="26"/>
  <c r="B12" i="26"/>
  <c r="A12" i="26"/>
  <c r="R11" i="26"/>
  <c r="Q11" i="26"/>
  <c r="P11" i="26"/>
  <c r="O11" i="26"/>
  <c r="L11" i="26"/>
  <c r="K11" i="26"/>
  <c r="J11" i="26"/>
  <c r="D11" i="26"/>
  <c r="B11" i="26"/>
  <c r="A11" i="26"/>
  <c r="R10" i="26"/>
  <c r="Q10" i="26"/>
  <c r="P10" i="26"/>
  <c r="O10" i="26"/>
  <c r="N10" i="26"/>
  <c r="M10" i="26"/>
  <c r="L10" i="26"/>
  <c r="K10" i="26"/>
  <c r="J10" i="26"/>
  <c r="D10" i="26"/>
  <c r="B10" i="26"/>
  <c r="A10" i="26"/>
  <c r="R9" i="26"/>
  <c r="Q9" i="26"/>
  <c r="P9" i="26"/>
  <c r="O9" i="26"/>
  <c r="K9" i="26"/>
  <c r="J9" i="26"/>
  <c r="D9" i="26"/>
  <c r="B9" i="26"/>
  <c r="A9" i="26"/>
  <c r="R8" i="26"/>
  <c r="Q8" i="26"/>
  <c r="P8" i="26"/>
  <c r="O8" i="26"/>
  <c r="K8" i="26"/>
  <c r="J8" i="26"/>
  <c r="D8" i="26"/>
  <c r="B8" i="26"/>
  <c r="A8" i="26"/>
  <c r="R7" i="26"/>
  <c r="Q7" i="26"/>
  <c r="P7" i="26"/>
  <c r="O7" i="26"/>
  <c r="J7" i="26"/>
  <c r="D7" i="26"/>
  <c r="B7" i="26"/>
  <c r="A7" i="26"/>
  <c r="R6" i="26"/>
  <c r="Q6" i="26"/>
  <c r="P6" i="26"/>
  <c r="O6" i="26"/>
  <c r="L6" i="26"/>
  <c r="J6" i="26"/>
  <c r="D6" i="26"/>
  <c r="B6" i="26"/>
  <c r="A6" i="26"/>
  <c r="R5" i="26"/>
  <c r="Q5" i="26"/>
  <c r="P5" i="26"/>
  <c r="O5" i="26"/>
  <c r="L5" i="26"/>
  <c r="K5" i="26"/>
  <c r="J5" i="26"/>
  <c r="B5" i="26"/>
  <c r="A5" i="26"/>
  <c r="N4" i="26"/>
  <c r="M4" i="26"/>
  <c r="L4" i="26"/>
  <c r="K4" i="26"/>
  <c r="J4" i="26"/>
  <c r="I4" i="26"/>
  <c r="I39" i="26" s="1"/>
  <c r="H4" i="26"/>
  <c r="H39" i="26" s="1"/>
  <c r="G4" i="26"/>
  <c r="G39" i="26" s="1"/>
  <c r="F4" i="26"/>
  <c r="F39" i="26" s="1"/>
  <c r="E4" i="26"/>
  <c r="E39" i="26" s="1"/>
  <c r="D4" i="26"/>
  <c r="B4" i="26"/>
  <c r="A4" i="26"/>
  <c r="S3" i="26"/>
  <c r="R3" i="26"/>
  <c r="Q3" i="26"/>
  <c r="P3" i="26"/>
  <c r="O3" i="26"/>
  <c r="J3" i="26"/>
  <c r="E3" i="26"/>
  <c r="A3" i="26"/>
  <c r="N70" i="25"/>
  <c r="Q69" i="25"/>
  <c r="N69" i="25"/>
  <c r="N68" i="25"/>
  <c r="N67" i="25"/>
  <c r="N66" i="25"/>
  <c r="N65" i="25"/>
  <c r="N64" i="25"/>
  <c r="N63" i="25"/>
  <c r="N62" i="25"/>
  <c r="N61" i="25"/>
  <c r="Q60" i="25"/>
  <c r="N60" i="25"/>
  <c r="N59" i="25"/>
  <c r="I59" i="25"/>
  <c r="N58" i="25"/>
  <c r="I58" i="25"/>
  <c r="N57" i="25"/>
  <c r="I57" i="25"/>
  <c r="Q56" i="25"/>
  <c r="N56" i="25"/>
  <c r="I56" i="25"/>
  <c r="N55" i="25"/>
  <c r="N54" i="25"/>
  <c r="N53" i="25"/>
  <c r="Q52" i="25"/>
  <c r="N52" i="25"/>
  <c r="I52" i="25"/>
  <c r="N51" i="25"/>
  <c r="I51" i="25"/>
  <c r="N50" i="25"/>
  <c r="I50" i="25"/>
  <c r="N49" i="25"/>
  <c r="I49" i="25"/>
  <c r="D49" i="25"/>
  <c r="A49" i="25"/>
  <c r="V48" i="25"/>
  <c r="D48" i="25"/>
  <c r="A48" i="25"/>
  <c r="V47" i="25"/>
  <c r="V46" i="25"/>
  <c r="Q44" i="25"/>
  <c r="B44" i="25"/>
  <c r="A44" i="25"/>
  <c r="Q43" i="25"/>
  <c r="B43" i="25"/>
  <c r="A43" i="25"/>
  <c r="Q42" i="25"/>
  <c r="B42" i="25"/>
  <c r="A42" i="25"/>
  <c r="B41" i="25"/>
  <c r="A41" i="25"/>
  <c r="B40" i="25"/>
  <c r="A40" i="25"/>
  <c r="C36" i="25"/>
  <c r="B36" i="25"/>
  <c r="A36" i="25"/>
  <c r="S99" i="25" s="1"/>
  <c r="C35" i="25"/>
  <c r="B35" i="25"/>
  <c r="A35" i="25"/>
  <c r="S98" i="25" s="1"/>
  <c r="C34" i="25"/>
  <c r="B34" i="25"/>
  <c r="A34" i="25"/>
  <c r="S97" i="25" s="1"/>
  <c r="C33" i="25"/>
  <c r="B33" i="25"/>
  <c r="A33" i="25"/>
  <c r="S96" i="25" s="1"/>
  <c r="C32" i="25"/>
  <c r="B32" i="25"/>
  <c r="A32" i="25"/>
  <c r="S95" i="25" s="1"/>
  <c r="C31" i="25"/>
  <c r="B31" i="25"/>
  <c r="A31" i="25"/>
  <c r="S94" i="25" s="1"/>
  <c r="C30" i="25"/>
  <c r="B30" i="25"/>
  <c r="A30" i="25"/>
  <c r="S93" i="25" s="1"/>
  <c r="C29" i="25"/>
  <c r="B29" i="25"/>
  <c r="A29" i="25"/>
  <c r="S92" i="25" s="1"/>
  <c r="C28" i="25"/>
  <c r="B28" i="25"/>
  <c r="A28" i="25"/>
  <c r="S91" i="25" s="1"/>
  <c r="C27" i="25"/>
  <c r="B27" i="25"/>
  <c r="A27" i="25"/>
  <c r="S90" i="25" s="1"/>
  <c r="C26" i="25"/>
  <c r="B26" i="25"/>
  <c r="A26" i="25"/>
  <c r="S89" i="25" s="1"/>
  <c r="C25" i="25"/>
  <c r="B25" i="25"/>
  <c r="A25" i="25"/>
  <c r="S88" i="25" s="1"/>
  <c r="C24" i="25"/>
  <c r="B24" i="25"/>
  <c r="A24" i="25"/>
  <c r="S87" i="25" s="1"/>
  <c r="C23" i="25"/>
  <c r="B23" i="25"/>
  <c r="A23" i="25"/>
  <c r="S86" i="25" s="1"/>
  <c r="C22" i="25"/>
  <c r="B22" i="25"/>
  <c r="A22" i="25"/>
  <c r="S85" i="25" s="1"/>
  <c r="R21" i="25"/>
  <c r="Q21" i="25"/>
  <c r="P21" i="25"/>
  <c r="O21" i="25"/>
  <c r="N21" i="25"/>
  <c r="M21" i="25"/>
  <c r="L21" i="25"/>
  <c r="K21" i="25"/>
  <c r="J21" i="25"/>
  <c r="D21" i="25"/>
  <c r="B21" i="25"/>
  <c r="A21" i="25"/>
  <c r="R20" i="25"/>
  <c r="Q20" i="25"/>
  <c r="P20" i="25"/>
  <c r="O20" i="25"/>
  <c r="N20" i="25"/>
  <c r="M20" i="25"/>
  <c r="L20" i="25"/>
  <c r="K20" i="25"/>
  <c r="J20" i="25"/>
  <c r="D20" i="25"/>
  <c r="B20" i="25"/>
  <c r="A20" i="25"/>
  <c r="R19" i="25"/>
  <c r="Q19" i="25"/>
  <c r="P19" i="25"/>
  <c r="O19" i="25"/>
  <c r="N19" i="25"/>
  <c r="M19" i="25"/>
  <c r="L19" i="25"/>
  <c r="K19" i="25"/>
  <c r="J19" i="25"/>
  <c r="D19" i="25"/>
  <c r="B19" i="25"/>
  <c r="A19" i="25"/>
  <c r="R18" i="25"/>
  <c r="Q18" i="25"/>
  <c r="P18" i="25"/>
  <c r="O18" i="25"/>
  <c r="K18" i="25"/>
  <c r="J18" i="25"/>
  <c r="D18" i="25"/>
  <c r="B18" i="25"/>
  <c r="A18" i="25"/>
  <c r="R17" i="25"/>
  <c r="Q17" i="25"/>
  <c r="P17" i="25"/>
  <c r="O17" i="25"/>
  <c r="L17" i="25"/>
  <c r="J17" i="25"/>
  <c r="D17" i="25"/>
  <c r="B17" i="25"/>
  <c r="A17" i="25"/>
  <c r="R16" i="25"/>
  <c r="Q16" i="25"/>
  <c r="P16" i="25"/>
  <c r="O16" i="25"/>
  <c r="N16" i="25"/>
  <c r="M16" i="25"/>
  <c r="L16" i="25"/>
  <c r="K16" i="25"/>
  <c r="J16" i="25"/>
  <c r="D16" i="25"/>
  <c r="B16" i="25"/>
  <c r="A16" i="25"/>
  <c r="R15" i="25"/>
  <c r="Q15" i="25"/>
  <c r="P15" i="25"/>
  <c r="O15" i="25"/>
  <c r="N15" i="25"/>
  <c r="M15" i="25"/>
  <c r="L15" i="25"/>
  <c r="K15" i="25"/>
  <c r="J15" i="25"/>
  <c r="D15" i="25"/>
  <c r="B15" i="25"/>
  <c r="A15" i="25"/>
  <c r="R14" i="25"/>
  <c r="Q14" i="25"/>
  <c r="P14" i="25"/>
  <c r="O14" i="25"/>
  <c r="L14" i="25"/>
  <c r="K14" i="25"/>
  <c r="J14" i="25"/>
  <c r="D14" i="25"/>
  <c r="B14" i="25"/>
  <c r="A14" i="25"/>
  <c r="R13" i="25"/>
  <c r="Q13" i="25"/>
  <c r="P13" i="25"/>
  <c r="O13" i="25"/>
  <c r="L13" i="25"/>
  <c r="K13" i="25"/>
  <c r="J13" i="25"/>
  <c r="D13" i="25"/>
  <c r="B13" i="25"/>
  <c r="A13" i="25"/>
  <c r="R12" i="25"/>
  <c r="Q12" i="25"/>
  <c r="P12" i="25"/>
  <c r="O12" i="25"/>
  <c r="L12" i="25"/>
  <c r="J12" i="25"/>
  <c r="D12" i="25"/>
  <c r="B12" i="25"/>
  <c r="A12" i="25"/>
  <c r="R11" i="25"/>
  <c r="Q11" i="25"/>
  <c r="P11" i="25"/>
  <c r="O11" i="25"/>
  <c r="L11" i="25"/>
  <c r="K11" i="25"/>
  <c r="J11" i="25"/>
  <c r="D11" i="25"/>
  <c r="B11" i="25"/>
  <c r="A11" i="25"/>
  <c r="R10" i="25"/>
  <c r="Q10" i="25"/>
  <c r="P10" i="25"/>
  <c r="O10" i="25"/>
  <c r="N10" i="25"/>
  <c r="M10" i="25"/>
  <c r="L10" i="25"/>
  <c r="K10" i="25"/>
  <c r="J10" i="25"/>
  <c r="D10" i="25"/>
  <c r="B10" i="25"/>
  <c r="A10" i="25"/>
  <c r="R9" i="25"/>
  <c r="Q9" i="25"/>
  <c r="P9" i="25"/>
  <c r="O9" i="25"/>
  <c r="K9" i="25"/>
  <c r="J9" i="25"/>
  <c r="D9" i="25"/>
  <c r="B9" i="25"/>
  <c r="A9" i="25"/>
  <c r="R8" i="25"/>
  <c r="Q8" i="25"/>
  <c r="P8" i="25"/>
  <c r="O8" i="25"/>
  <c r="K8" i="25"/>
  <c r="J8" i="25"/>
  <c r="D8" i="25"/>
  <c r="B8" i="25"/>
  <c r="A8" i="25"/>
  <c r="R7" i="25"/>
  <c r="Q7" i="25"/>
  <c r="P7" i="25"/>
  <c r="O7" i="25"/>
  <c r="J7" i="25"/>
  <c r="D7" i="25"/>
  <c r="B7" i="25"/>
  <c r="A7" i="25"/>
  <c r="R6" i="25"/>
  <c r="Q6" i="25"/>
  <c r="P6" i="25"/>
  <c r="O6" i="25"/>
  <c r="L6" i="25"/>
  <c r="J6" i="25"/>
  <c r="D6" i="25"/>
  <c r="B6" i="25"/>
  <c r="A6" i="25"/>
  <c r="R5" i="25"/>
  <c r="Q5" i="25"/>
  <c r="P5" i="25"/>
  <c r="O5" i="25"/>
  <c r="L5" i="25"/>
  <c r="K5" i="25"/>
  <c r="J5" i="25"/>
  <c r="B5" i="25"/>
  <c r="A5" i="25"/>
  <c r="N4" i="25"/>
  <c r="M4" i="25"/>
  <c r="L4" i="25"/>
  <c r="K4" i="25"/>
  <c r="J4" i="25"/>
  <c r="I4" i="25"/>
  <c r="I39" i="25" s="1"/>
  <c r="H4" i="25"/>
  <c r="H39" i="25" s="1"/>
  <c r="G4" i="25"/>
  <c r="G39" i="25" s="1"/>
  <c r="F4" i="25"/>
  <c r="F39" i="25" s="1"/>
  <c r="E4" i="25"/>
  <c r="E39" i="25" s="1"/>
  <c r="D4" i="25"/>
  <c r="B4" i="25"/>
  <c r="A4" i="25"/>
  <c r="S3" i="25"/>
  <c r="R3" i="25"/>
  <c r="Q3" i="25"/>
  <c r="P3" i="25"/>
  <c r="O3" i="25"/>
  <c r="J3" i="25"/>
  <c r="E3" i="25"/>
  <c r="A3" i="25"/>
  <c r="S99" i="19"/>
  <c r="S89" i="19"/>
  <c r="S93" i="19"/>
  <c r="S97" i="19"/>
  <c r="V23" i="19"/>
  <c r="V24" i="19"/>
  <c r="V25" i="19"/>
  <c r="V26" i="19"/>
  <c r="V27" i="19"/>
  <c r="V28" i="19"/>
  <c r="V29" i="19"/>
  <c r="V30" i="19"/>
  <c r="V31" i="19"/>
  <c r="V32" i="19"/>
  <c r="V33" i="19"/>
  <c r="V34" i="19"/>
  <c r="V35" i="19"/>
  <c r="V36" i="19"/>
  <c r="V22" i="19"/>
  <c r="C23" i="19"/>
  <c r="C24" i="19"/>
  <c r="C25" i="19"/>
  <c r="C26" i="19"/>
  <c r="C27" i="19"/>
  <c r="C28" i="19"/>
  <c r="C29" i="19"/>
  <c r="C30" i="19"/>
  <c r="C31" i="19"/>
  <c r="C32" i="19"/>
  <c r="C33" i="19"/>
  <c r="C34" i="19"/>
  <c r="C35" i="19"/>
  <c r="C36" i="19"/>
  <c r="C22" i="19"/>
  <c r="B22" i="19"/>
  <c r="B23" i="19"/>
  <c r="B24" i="19"/>
  <c r="B25" i="19"/>
  <c r="B26" i="19"/>
  <c r="B27" i="19"/>
  <c r="B28" i="19"/>
  <c r="B29" i="19"/>
  <c r="B30" i="19"/>
  <c r="B31" i="19"/>
  <c r="B32" i="19"/>
  <c r="B33" i="19"/>
  <c r="B34" i="19"/>
  <c r="B35" i="19"/>
  <c r="B36" i="19"/>
  <c r="A23" i="19"/>
  <c r="S86" i="19" s="1"/>
  <c r="A24" i="19"/>
  <c r="S87" i="19" s="1"/>
  <c r="A25" i="19"/>
  <c r="S88" i="19" s="1"/>
  <c r="A26" i="19"/>
  <c r="A27" i="19"/>
  <c r="S90" i="19" s="1"/>
  <c r="A28" i="19"/>
  <c r="S91" i="19" s="1"/>
  <c r="A29" i="19"/>
  <c r="S92" i="19" s="1"/>
  <c r="A30" i="19"/>
  <c r="A31" i="19"/>
  <c r="S94" i="19" s="1"/>
  <c r="A32" i="19"/>
  <c r="S95" i="19" s="1"/>
  <c r="A33" i="19"/>
  <c r="S96" i="19" s="1"/>
  <c r="A34" i="19"/>
  <c r="A35" i="19"/>
  <c r="S98" i="19" s="1"/>
  <c r="A36" i="19"/>
  <c r="A22" i="19"/>
  <c r="S85" i="19" s="1"/>
  <c r="T84" i="18"/>
  <c r="T85" i="18"/>
  <c r="T86" i="18"/>
  <c r="T87" i="18"/>
  <c r="T88" i="18"/>
  <c r="T89" i="18"/>
  <c r="T90" i="18"/>
  <c r="T91" i="18"/>
  <c r="T92" i="18"/>
  <c r="T93" i="18"/>
  <c r="T94" i="18"/>
  <c r="T95" i="18"/>
  <c r="T96" i="18"/>
  <c r="T97" i="18"/>
  <c r="T83" i="18"/>
  <c r="V23" i="18"/>
  <c r="V24" i="18"/>
  <c r="V25" i="18"/>
  <c r="V26" i="18"/>
  <c r="V27" i="18"/>
  <c r="V28" i="18"/>
  <c r="V29" i="18"/>
  <c r="V30" i="18"/>
  <c r="V31" i="18"/>
  <c r="V32" i="18"/>
  <c r="V33" i="18"/>
  <c r="V34" i="18"/>
  <c r="V35" i="18"/>
  <c r="V36" i="18"/>
  <c r="V22" i="18"/>
  <c r="D23" i="18"/>
  <c r="D24" i="18"/>
  <c r="D25" i="18"/>
  <c r="D26" i="18"/>
  <c r="D27" i="18"/>
  <c r="D28" i="18"/>
  <c r="D29" i="18"/>
  <c r="D30" i="18"/>
  <c r="D31" i="18"/>
  <c r="D32" i="18"/>
  <c r="D33" i="18"/>
  <c r="D34" i="18"/>
  <c r="D35" i="18"/>
  <c r="D36" i="18"/>
  <c r="D22" i="18"/>
  <c r="C23" i="18"/>
  <c r="C24" i="18"/>
  <c r="C25" i="18"/>
  <c r="C26" i="18"/>
  <c r="C27" i="18"/>
  <c r="C28" i="18"/>
  <c r="C29" i="18"/>
  <c r="C30" i="18"/>
  <c r="C31" i="18"/>
  <c r="C32" i="18"/>
  <c r="C33" i="18"/>
  <c r="C34" i="18"/>
  <c r="C35" i="18"/>
  <c r="C36" i="18"/>
  <c r="C22" i="18"/>
  <c r="B23" i="18"/>
  <c r="B24" i="18"/>
  <c r="B25" i="18"/>
  <c r="B26" i="18"/>
  <c r="B27" i="18"/>
  <c r="B28" i="18"/>
  <c r="B29" i="18"/>
  <c r="B30" i="18"/>
  <c r="B31" i="18"/>
  <c r="B32" i="18"/>
  <c r="B33" i="18"/>
  <c r="B34" i="18"/>
  <c r="B35" i="18"/>
  <c r="B36" i="18"/>
  <c r="B22" i="18"/>
  <c r="A23" i="18"/>
  <c r="S84" i="18" s="1"/>
  <c r="A24" i="18"/>
  <c r="S85" i="18" s="1"/>
  <c r="A25" i="18"/>
  <c r="S86" i="18" s="1"/>
  <c r="A26" i="18"/>
  <c r="S87" i="18" s="1"/>
  <c r="A27" i="18"/>
  <c r="S88" i="18" s="1"/>
  <c r="A28" i="18"/>
  <c r="S89" i="18" s="1"/>
  <c r="A29" i="18"/>
  <c r="S90" i="18" s="1"/>
  <c r="A30" i="18"/>
  <c r="S91" i="18" s="1"/>
  <c r="A31" i="18"/>
  <c r="S92" i="18" s="1"/>
  <c r="A32" i="18"/>
  <c r="S93" i="18" s="1"/>
  <c r="A33" i="18"/>
  <c r="S94" i="18" s="1"/>
  <c r="A34" i="18"/>
  <c r="S95" i="18" s="1"/>
  <c r="A35" i="18"/>
  <c r="S96" i="18" s="1"/>
  <c r="A36" i="18"/>
  <c r="S97" i="18" s="1"/>
  <c r="A22" i="18"/>
  <c r="S83" i="18" s="1"/>
  <c r="A22" i="13"/>
  <c r="K40" i="26" l="1"/>
  <c r="L41" i="25"/>
  <c r="L40" i="26"/>
  <c r="L41" i="26"/>
  <c r="K41" i="26"/>
  <c r="K40" i="25"/>
  <c r="L40" i="25"/>
  <c r="L45" i="25" s="1"/>
  <c r="C66" i="25" s="1"/>
  <c r="K41" i="25"/>
  <c r="V46" i="13"/>
  <c r="L45" i="26" l="1"/>
  <c r="C66" i="26" s="1"/>
  <c r="K45" i="26"/>
  <c r="C65" i="26" s="1"/>
  <c r="K45" i="25"/>
  <c r="C65" i="25" s="1"/>
  <c r="B44" i="13"/>
  <c r="B43" i="13"/>
  <c r="B42" i="13"/>
  <c r="B41" i="13"/>
  <c r="C23" i="13"/>
  <c r="C24" i="13"/>
  <c r="C25" i="13"/>
  <c r="C26" i="13"/>
  <c r="C27" i="13"/>
  <c r="C28" i="13"/>
  <c r="C29" i="13"/>
  <c r="C30" i="13"/>
  <c r="C31" i="13"/>
  <c r="C32" i="13"/>
  <c r="C33" i="13"/>
  <c r="C34" i="13"/>
  <c r="C35" i="13"/>
  <c r="C36" i="13"/>
  <c r="C22" i="13"/>
  <c r="A40" i="13"/>
  <c r="D44" i="1"/>
  <c r="A96" i="1" s="1"/>
  <c r="D45" i="1"/>
  <c r="A97" i="1" s="1"/>
  <c r="D46" i="1"/>
  <c r="A98" i="1" s="1"/>
  <c r="D47" i="1"/>
  <c r="A99" i="1" s="1"/>
  <c r="D48" i="1"/>
  <c r="A100" i="1" s="1"/>
  <c r="D49" i="1"/>
  <c r="A101" i="1" s="1"/>
  <c r="D50" i="1"/>
  <c r="A102" i="1" s="1"/>
  <c r="D51" i="1"/>
  <c r="A103" i="1" s="1"/>
  <c r="D52" i="1"/>
  <c r="A104" i="1" s="1"/>
  <c r="D53" i="1"/>
  <c r="A105" i="1" s="1"/>
  <c r="D54" i="1"/>
  <c r="A106" i="1" s="1"/>
  <c r="D55" i="1"/>
  <c r="A107" i="1" s="1"/>
  <c r="D56" i="1"/>
  <c r="A108" i="1" s="1"/>
  <c r="D57" i="1"/>
  <c r="A109" i="1" s="1"/>
  <c r="D43" i="1"/>
  <c r="A95" i="1" s="1"/>
  <c r="W71" i="13"/>
  <c r="W72" i="13"/>
  <c r="W73" i="13"/>
  <c r="W74" i="13"/>
  <c r="W75" i="13"/>
  <c r="W76" i="13"/>
  <c r="W77" i="13"/>
  <c r="W78" i="13"/>
  <c r="W79" i="13"/>
  <c r="W80" i="13"/>
  <c r="W81" i="13"/>
  <c r="W82" i="13"/>
  <c r="W83" i="13"/>
  <c r="W84" i="13"/>
  <c r="W85" i="13"/>
  <c r="V22" i="13"/>
  <c r="V23" i="13"/>
  <c r="V24" i="13"/>
  <c r="V25" i="13"/>
  <c r="V26" i="13"/>
  <c r="V27" i="13"/>
  <c r="V28" i="13"/>
  <c r="V29" i="13"/>
  <c r="V30" i="13"/>
  <c r="V31" i="13"/>
  <c r="V32" i="13"/>
  <c r="V33" i="13"/>
  <c r="V34" i="13"/>
  <c r="V35" i="13"/>
  <c r="V36" i="13"/>
  <c r="U22" i="13"/>
  <c r="X22" i="13" s="1"/>
  <c r="U23" i="13"/>
  <c r="U24" i="13"/>
  <c r="U25" i="13"/>
  <c r="U26" i="13"/>
  <c r="U27" i="13"/>
  <c r="U28" i="13"/>
  <c r="U29" i="13"/>
  <c r="U30" i="13"/>
  <c r="U31" i="13"/>
  <c r="U32" i="13"/>
  <c r="U33" i="13"/>
  <c r="U34" i="13"/>
  <c r="U35" i="13"/>
  <c r="U36" i="13"/>
  <c r="T22" i="13"/>
  <c r="T23" i="13"/>
  <c r="T24" i="13"/>
  <c r="T25" i="13"/>
  <c r="T26" i="13"/>
  <c r="T27" i="13"/>
  <c r="T28" i="13"/>
  <c r="T29" i="13"/>
  <c r="T30" i="13"/>
  <c r="T31" i="13"/>
  <c r="T32" i="13"/>
  <c r="T33" i="13"/>
  <c r="T34" i="13"/>
  <c r="T35" i="13"/>
  <c r="T36" i="13"/>
  <c r="E22" i="13"/>
  <c r="E22" i="18" s="1"/>
  <c r="E23" i="13"/>
  <c r="E23" i="18" s="1"/>
  <c r="E24" i="13"/>
  <c r="E24" i="18" s="1"/>
  <c r="E25" i="13"/>
  <c r="E25" i="18" s="1"/>
  <c r="E26" i="13"/>
  <c r="E26" i="18" s="1"/>
  <c r="E27" i="13"/>
  <c r="E27" i="18" s="1"/>
  <c r="E28" i="13"/>
  <c r="E28" i="18" s="1"/>
  <c r="E29" i="13"/>
  <c r="E29" i="18" s="1"/>
  <c r="E30" i="13"/>
  <c r="E30" i="18" s="1"/>
  <c r="E31" i="13"/>
  <c r="E31" i="18" s="1"/>
  <c r="E32" i="13"/>
  <c r="E32" i="18" s="1"/>
  <c r="E33" i="13"/>
  <c r="E33" i="18" s="1"/>
  <c r="E34" i="13"/>
  <c r="E34" i="18" s="1"/>
  <c r="E35" i="13"/>
  <c r="E35" i="18" s="1"/>
  <c r="E36" i="13"/>
  <c r="E36" i="18" s="1"/>
  <c r="D22" i="13"/>
  <c r="D23" i="13"/>
  <c r="D24" i="13"/>
  <c r="D25" i="13"/>
  <c r="D26" i="13"/>
  <c r="D27" i="13"/>
  <c r="D28" i="13"/>
  <c r="D29" i="13"/>
  <c r="D30" i="13"/>
  <c r="D31" i="13"/>
  <c r="D32" i="13"/>
  <c r="D33" i="13"/>
  <c r="D34" i="13"/>
  <c r="D35" i="13"/>
  <c r="D36" i="13"/>
  <c r="B22" i="13"/>
  <c r="B23" i="13"/>
  <c r="B24" i="13"/>
  <c r="B25" i="13"/>
  <c r="B26" i="13"/>
  <c r="B27" i="13"/>
  <c r="B28" i="13"/>
  <c r="B29" i="13"/>
  <c r="B30" i="13"/>
  <c r="B31" i="13"/>
  <c r="B32" i="13"/>
  <c r="B33" i="13"/>
  <c r="B34" i="13"/>
  <c r="B35" i="13"/>
  <c r="B36" i="13"/>
  <c r="A35" i="13"/>
  <c r="U84" i="13" s="1"/>
  <c r="A36" i="13"/>
  <c r="U85" i="13" s="1"/>
  <c r="A28" i="13"/>
  <c r="U77" i="13" s="1"/>
  <c r="A29" i="13"/>
  <c r="U78" i="13" s="1"/>
  <c r="A30" i="13"/>
  <c r="U79" i="13" s="1"/>
  <c r="A31" i="13"/>
  <c r="U80" i="13" s="1"/>
  <c r="A32" i="13"/>
  <c r="U81" i="13" s="1"/>
  <c r="A33" i="13"/>
  <c r="U82" i="13" s="1"/>
  <c r="A34" i="13"/>
  <c r="U83" i="13" s="1"/>
  <c r="U71" i="13"/>
  <c r="A23" i="13"/>
  <c r="U72" i="13" s="1"/>
  <c r="A24" i="13"/>
  <c r="U73" i="13" s="1"/>
  <c r="A25" i="13"/>
  <c r="U74" i="13" s="1"/>
  <c r="A26" i="13"/>
  <c r="U75" i="13" s="1"/>
  <c r="A27" i="13"/>
  <c r="U76" i="13" s="1"/>
  <c r="M45" i="1"/>
  <c r="M49" i="1"/>
  <c r="M50" i="1"/>
  <c r="M51" i="1"/>
  <c r="M52" i="1"/>
  <c r="M53" i="1"/>
  <c r="M54" i="1"/>
  <c r="M55" i="1"/>
  <c r="M56" i="1"/>
  <c r="M57" i="1"/>
  <c r="O49" i="1"/>
  <c r="O50" i="1"/>
  <c r="O51" i="1"/>
  <c r="O52" i="1"/>
  <c r="O53" i="1"/>
  <c r="O54" i="1"/>
  <c r="O55" i="1"/>
  <c r="O56" i="1"/>
  <c r="O57" i="1"/>
  <c r="U57" i="1" s="1"/>
  <c r="E30" i="19" l="1"/>
  <c r="E22" i="19"/>
  <c r="AD32" i="13"/>
  <c r="AB32" i="13"/>
  <c r="Z32" i="13"/>
  <c r="AA32" i="13"/>
  <c r="Z24" i="13"/>
  <c r="AA24" i="13"/>
  <c r="E33" i="19"/>
  <c r="E29" i="19"/>
  <c r="E25" i="19"/>
  <c r="AB35" i="13"/>
  <c r="Z35" i="13"/>
  <c r="AA35" i="13"/>
  <c r="AD35" i="13"/>
  <c r="AB31" i="13"/>
  <c r="Z31" i="13"/>
  <c r="AA31" i="13"/>
  <c r="AD31" i="13"/>
  <c r="AB27" i="13"/>
  <c r="Z27" i="13"/>
  <c r="AA27" i="13"/>
  <c r="AD27" i="13"/>
  <c r="E26" i="19"/>
  <c r="AD36" i="13"/>
  <c r="AB36" i="13"/>
  <c r="Z36" i="13"/>
  <c r="AA36" i="13"/>
  <c r="AD28" i="13"/>
  <c r="AB28" i="13"/>
  <c r="Z28" i="13"/>
  <c r="AA28" i="13"/>
  <c r="E36" i="19"/>
  <c r="E32" i="19"/>
  <c r="E28" i="19"/>
  <c r="E24" i="19"/>
  <c r="Z34" i="13"/>
  <c r="AA34" i="13"/>
  <c r="AD34" i="13"/>
  <c r="AB34" i="13"/>
  <c r="Z30" i="13"/>
  <c r="AA30" i="13"/>
  <c r="AD30" i="13"/>
  <c r="AB30" i="13"/>
  <c r="Z26" i="13"/>
  <c r="AA26" i="13"/>
  <c r="AD26" i="13"/>
  <c r="AB26" i="13"/>
  <c r="E34" i="19"/>
  <c r="E35" i="19"/>
  <c r="E31" i="19"/>
  <c r="E27" i="19"/>
  <c r="E23" i="19"/>
  <c r="AA33" i="13"/>
  <c r="AD33" i="13"/>
  <c r="AB33" i="13"/>
  <c r="Z33" i="13"/>
  <c r="AA29" i="13"/>
  <c r="AD29" i="13"/>
  <c r="AB29" i="13"/>
  <c r="Z29" i="13"/>
  <c r="AA25" i="13"/>
  <c r="Z25" i="13"/>
  <c r="AA23" i="13"/>
  <c r="Z23" i="13"/>
  <c r="Z22" i="13"/>
  <c r="F22" i="18" s="1"/>
  <c r="AA22" i="13"/>
  <c r="G22" i="18" s="1"/>
  <c r="AA57" i="1"/>
  <c r="U36" i="25" s="1"/>
  <c r="U36" i="19"/>
  <c r="U99" i="19"/>
  <c r="W99" i="19" s="1"/>
  <c r="T99" i="25"/>
  <c r="D27" i="26"/>
  <c r="D27" i="25"/>
  <c r="T90" i="19"/>
  <c r="D27" i="19"/>
  <c r="U88" i="18"/>
  <c r="U27" i="18"/>
  <c r="S52" i="1"/>
  <c r="T31" i="18"/>
  <c r="U55" i="1"/>
  <c r="D34" i="26"/>
  <c r="D34" i="25"/>
  <c r="U95" i="18"/>
  <c r="D34" i="19"/>
  <c r="U34" i="18"/>
  <c r="T97" i="19"/>
  <c r="U51" i="1"/>
  <c r="D30" i="26"/>
  <c r="D30" i="25"/>
  <c r="U91" i="18"/>
  <c r="D30" i="19"/>
  <c r="U30" i="18"/>
  <c r="T93" i="19"/>
  <c r="D26" i="26"/>
  <c r="D26" i="25"/>
  <c r="U87" i="18"/>
  <c r="V87" i="18" s="1"/>
  <c r="D26" i="19"/>
  <c r="U26" i="18"/>
  <c r="T89" i="19"/>
  <c r="D22" i="26"/>
  <c r="D22" i="25"/>
  <c r="S55" i="1"/>
  <c r="T34" i="18"/>
  <c r="S51" i="1"/>
  <c r="T30" i="18"/>
  <c r="T26" i="18"/>
  <c r="U52" i="1"/>
  <c r="D31" i="26"/>
  <c r="D31" i="25"/>
  <c r="T94" i="19"/>
  <c r="U92" i="18"/>
  <c r="D31" i="19"/>
  <c r="U31" i="18"/>
  <c r="S56" i="1"/>
  <c r="T35" i="18"/>
  <c r="T27" i="18"/>
  <c r="U54" i="1"/>
  <c r="D33" i="26"/>
  <c r="D33" i="25"/>
  <c r="T96" i="19"/>
  <c r="U33" i="18"/>
  <c r="D33" i="19"/>
  <c r="U94" i="18"/>
  <c r="D29" i="26"/>
  <c r="D29" i="25"/>
  <c r="T92" i="19"/>
  <c r="U90" i="18"/>
  <c r="D29" i="19"/>
  <c r="U29" i="18"/>
  <c r="D25" i="26"/>
  <c r="D25" i="25"/>
  <c r="T88" i="19"/>
  <c r="D25" i="19"/>
  <c r="U86" i="18"/>
  <c r="V86" i="18" s="1"/>
  <c r="U25" i="18"/>
  <c r="X25" i="18" s="1"/>
  <c r="S54" i="1"/>
  <c r="T33" i="18"/>
  <c r="T29" i="18"/>
  <c r="T25" i="18"/>
  <c r="U56" i="1"/>
  <c r="D35" i="26"/>
  <c r="D35" i="25"/>
  <c r="T98" i="19"/>
  <c r="D35" i="19"/>
  <c r="U35" i="18"/>
  <c r="U96" i="18"/>
  <c r="D23" i="26"/>
  <c r="T86" i="19"/>
  <c r="D23" i="25"/>
  <c r="U23" i="18"/>
  <c r="X23" i="18" s="1"/>
  <c r="U84" i="18"/>
  <c r="V84" i="18" s="1"/>
  <c r="D23" i="19"/>
  <c r="T23" i="18"/>
  <c r="D36" i="26"/>
  <c r="D36" i="25"/>
  <c r="D36" i="19"/>
  <c r="T99" i="19"/>
  <c r="U97" i="18"/>
  <c r="U36" i="18"/>
  <c r="U53" i="1"/>
  <c r="D32" i="26"/>
  <c r="D32" i="25"/>
  <c r="D32" i="19"/>
  <c r="T95" i="19"/>
  <c r="U93" i="18"/>
  <c r="U32" i="18"/>
  <c r="D28" i="26"/>
  <c r="D28" i="25"/>
  <c r="D28" i="19"/>
  <c r="T91" i="19"/>
  <c r="U89" i="18"/>
  <c r="U28" i="18"/>
  <c r="U45" i="1"/>
  <c r="D24" i="26"/>
  <c r="D24" i="19"/>
  <c r="D24" i="25"/>
  <c r="T87" i="19"/>
  <c r="U85" i="18"/>
  <c r="V85" i="18" s="1"/>
  <c r="U24" i="18"/>
  <c r="X24" i="18" s="1"/>
  <c r="S57" i="1"/>
  <c r="T36" i="18"/>
  <c r="S53" i="1"/>
  <c r="T32" i="18"/>
  <c r="T28" i="18"/>
  <c r="S45" i="1"/>
  <c r="T24" i="18"/>
  <c r="D22" i="19"/>
  <c r="T85" i="19"/>
  <c r="T22" i="18"/>
  <c r="U22" i="18"/>
  <c r="X22" i="18" s="1"/>
  <c r="U83" i="18"/>
  <c r="V83" i="18" s="1"/>
  <c r="Y82" i="13"/>
  <c r="X82" i="13"/>
  <c r="Y78" i="13"/>
  <c r="W90" i="18" s="1"/>
  <c r="X78" i="13"/>
  <c r="Y74" i="13"/>
  <c r="X74" i="13"/>
  <c r="Y77" i="13"/>
  <c r="X77" i="13"/>
  <c r="Y73" i="13"/>
  <c r="X73" i="13"/>
  <c r="Y83" i="13"/>
  <c r="W95" i="18" s="1"/>
  <c r="X83" i="13"/>
  <c r="Y79" i="13"/>
  <c r="W91" i="18" s="1"/>
  <c r="X79" i="13"/>
  <c r="Y75" i="13"/>
  <c r="X75" i="13"/>
  <c r="Y71" i="13"/>
  <c r="X71" i="13"/>
  <c r="Y85" i="13"/>
  <c r="W97" i="18" s="1"/>
  <c r="X85" i="13"/>
  <c r="Y81" i="13"/>
  <c r="X81" i="13"/>
  <c r="Y84" i="13"/>
  <c r="W96" i="18" s="1"/>
  <c r="X84" i="13"/>
  <c r="Y80" i="13"/>
  <c r="X80" i="13"/>
  <c r="Y76" i="13"/>
  <c r="X76" i="13"/>
  <c r="Y72" i="13"/>
  <c r="X72" i="13"/>
  <c r="N70" i="19"/>
  <c r="N70" i="18"/>
  <c r="N70" i="13"/>
  <c r="Z36" i="18" l="1"/>
  <c r="AA36" i="18"/>
  <c r="AA36" i="19" s="1"/>
  <c r="Z30" i="18"/>
  <c r="AA30" i="18"/>
  <c r="W35" i="18"/>
  <c r="Y35" i="18"/>
  <c r="Y29" i="18"/>
  <c r="W29" i="18"/>
  <c r="Y34" i="18"/>
  <c r="W34" i="18"/>
  <c r="Y32" i="18"/>
  <c r="W32" i="18"/>
  <c r="Y30" i="18"/>
  <c r="W30" i="18"/>
  <c r="Y28" i="18"/>
  <c r="W28" i="18"/>
  <c r="W89" i="18"/>
  <c r="Z32" i="18"/>
  <c r="AA32" i="18"/>
  <c r="Y36" i="18"/>
  <c r="W36" i="18"/>
  <c r="Y33" i="18"/>
  <c r="W33" i="18"/>
  <c r="W31" i="18"/>
  <c r="Y31" i="18"/>
  <c r="W36" i="19"/>
  <c r="Y36" i="19"/>
  <c r="AA35" i="18"/>
  <c r="Z35" i="18"/>
  <c r="W92" i="18"/>
  <c r="W93" i="18"/>
  <c r="W85" i="18"/>
  <c r="Z28" i="18"/>
  <c r="AA28" i="18"/>
  <c r="Z29" i="18"/>
  <c r="AA29" i="18"/>
  <c r="Z33" i="18"/>
  <c r="AA33" i="18"/>
  <c r="AA31" i="18"/>
  <c r="Z31" i="18"/>
  <c r="Z34" i="18"/>
  <c r="AA34" i="18"/>
  <c r="Z36" i="19"/>
  <c r="W87" i="18"/>
  <c r="AA27" i="18"/>
  <c r="Z27" i="18"/>
  <c r="W27" i="18"/>
  <c r="Y27" i="18"/>
  <c r="AA26" i="18"/>
  <c r="Z26" i="18"/>
  <c r="Y26" i="18"/>
  <c r="W26" i="18"/>
  <c r="AA24" i="18"/>
  <c r="G24" i="19" s="1"/>
  <c r="Z24" i="18"/>
  <c r="F24" i="19" s="1"/>
  <c r="Z23" i="18"/>
  <c r="F23" i="19" s="1"/>
  <c r="AA23" i="18"/>
  <c r="G23" i="19" s="1"/>
  <c r="Z25" i="18"/>
  <c r="F25" i="19" s="1"/>
  <c r="AA25" i="18"/>
  <c r="G25" i="19" s="1"/>
  <c r="W25" i="18"/>
  <c r="Y25" i="18"/>
  <c r="AA22" i="18"/>
  <c r="G22" i="19" s="1"/>
  <c r="Z22" i="18"/>
  <c r="F22" i="19" s="1"/>
  <c r="W24" i="18"/>
  <c r="W23" i="18"/>
  <c r="W22" i="18"/>
  <c r="AD36" i="18"/>
  <c r="AB36" i="18"/>
  <c r="AB31" i="18"/>
  <c r="AD31" i="18"/>
  <c r="W86" i="18"/>
  <c r="AD32" i="18"/>
  <c r="AB32" i="18"/>
  <c r="AD29" i="18"/>
  <c r="AB29" i="18"/>
  <c r="AB34" i="18"/>
  <c r="AD34" i="18"/>
  <c r="AD36" i="25"/>
  <c r="AB36" i="25"/>
  <c r="AD28" i="18"/>
  <c r="AB28" i="18"/>
  <c r="AB35" i="18"/>
  <c r="AD35" i="18"/>
  <c r="AD33" i="18"/>
  <c r="AB33" i="18"/>
  <c r="AB30" i="18"/>
  <c r="AD30" i="18"/>
  <c r="AD36" i="19"/>
  <c r="AB36" i="19"/>
  <c r="W83" i="18"/>
  <c r="X85" i="18"/>
  <c r="U28" i="25"/>
  <c r="T91" i="25"/>
  <c r="U28" i="19"/>
  <c r="U91" i="19"/>
  <c r="W91" i="19" s="1"/>
  <c r="T96" i="25"/>
  <c r="AA54" i="1"/>
  <c r="U33" i="25" s="1"/>
  <c r="U96" i="19"/>
  <c r="W96" i="19" s="1"/>
  <c r="U33" i="19"/>
  <c r="X88" i="18"/>
  <c r="T22" i="19"/>
  <c r="T22" i="26"/>
  <c r="AA45" i="1"/>
  <c r="U24" i="25" s="1"/>
  <c r="X24" i="25" s="1"/>
  <c r="T87" i="25"/>
  <c r="U24" i="19"/>
  <c r="X24" i="19" s="1"/>
  <c r="U87" i="19"/>
  <c r="X97" i="18"/>
  <c r="Y97" i="18" s="1"/>
  <c r="AC36" i="18" s="1"/>
  <c r="X84" i="18"/>
  <c r="AA56" i="1"/>
  <c r="U35" i="25" s="1"/>
  <c r="T98" i="25"/>
  <c r="U35" i="19"/>
  <c r="U98" i="19"/>
  <c r="W98" i="19" s="1"/>
  <c r="T29" i="19"/>
  <c r="X86" i="18"/>
  <c r="X90" i="18"/>
  <c r="Y90" i="18" s="1"/>
  <c r="AC29" i="18" s="1"/>
  <c r="T92" i="25"/>
  <c r="U29" i="25"/>
  <c r="U92" i="19"/>
  <c r="W92" i="19" s="1"/>
  <c r="U29" i="19"/>
  <c r="T26" i="19"/>
  <c r="Y55" i="1"/>
  <c r="T34" i="19"/>
  <c r="T93" i="25"/>
  <c r="AA51" i="1"/>
  <c r="U30" i="25" s="1"/>
  <c r="U93" i="19"/>
  <c r="W93" i="19" s="1"/>
  <c r="U30" i="19"/>
  <c r="X95" i="18"/>
  <c r="T90" i="25"/>
  <c r="U27" i="19"/>
  <c r="U90" i="19"/>
  <c r="V90" i="19" s="1"/>
  <c r="T24" i="19"/>
  <c r="W88" i="18"/>
  <c r="Y95" i="18"/>
  <c r="AC34" i="18" s="1"/>
  <c r="T28" i="19"/>
  <c r="Y57" i="1"/>
  <c r="T36" i="19"/>
  <c r="X93" i="18"/>
  <c r="X99" i="19"/>
  <c r="Y99" i="19" s="1"/>
  <c r="AC36" i="19" s="1"/>
  <c r="AA44" i="1"/>
  <c r="U23" i="25" s="1"/>
  <c r="X23" i="25" s="1"/>
  <c r="T86" i="25"/>
  <c r="U23" i="19"/>
  <c r="X23" i="19" s="1"/>
  <c r="U86" i="19"/>
  <c r="V86" i="19" s="1"/>
  <c r="T88" i="25"/>
  <c r="U88" i="19"/>
  <c r="V88" i="19" s="1"/>
  <c r="U25" i="19"/>
  <c r="X25" i="19" s="1"/>
  <c r="X94" i="18"/>
  <c r="Y48" i="1"/>
  <c r="T27" i="19"/>
  <c r="T89" i="25"/>
  <c r="U89" i="19"/>
  <c r="W89" i="19" s="1"/>
  <c r="U26" i="19"/>
  <c r="X91" i="18"/>
  <c r="Y91" i="18" s="1"/>
  <c r="AC30" i="18" s="1"/>
  <c r="Y52" i="1"/>
  <c r="T31" i="19"/>
  <c r="Y53" i="1"/>
  <c r="T32" i="19"/>
  <c r="Y56" i="1"/>
  <c r="T35" i="19"/>
  <c r="T97" i="25"/>
  <c r="AA55" i="1"/>
  <c r="U34" i="25" s="1"/>
  <c r="U97" i="19"/>
  <c r="W97" i="19" s="1"/>
  <c r="U34" i="19"/>
  <c r="T85" i="25"/>
  <c r="X89" i="18"/>
  <c r="Y89" i="18" s="1"/>
  <c r="AC28" i="18" s="1"/>
  <c r="AA53" i="1"/>
  <c r="U32" i="25" s="1"/>
  <c r="U32" i="19"/>
  <c r="T95" i="25"/>
  <c r="U95" i="19"/>
  <c r="W95" i="19" s="1"/>
  <c r="T23" i="19"/>
  <c r="X96" i="18"/>
  <c r="Y96" i="18" s="1"/>
  <c r="AC35" i="18" s="1"/>
  <c r="T25" i="19"/>
  <c r="Y54" i="1"/>
  <c r="T33" i="19"/>
  <c r="X92" i="18"/>
  <c r="AA52" i="1"/>
  <c r="U31" i="25" s="1"/>
  <c r="T94" i="25"/>
  <c r="U31" i="19"/>
  <c r="U94" i="19"/>
  <c r="W94" i="19" s="1"/>
  <c r="Y51" i="1"/>
  <c r="T30" i="25" s="1"/>
  <c r="T30" i="19"/>
  <c r="X87" i="18"/>
  <c r="Y87" i="18" s="1"/>
  <c r="AC26" i="18" s="1"/>
  <c r="T99" i="26"/>
  <c r="U99" i="25"/>
  <c r="W99" i="25" s="1"/>
  <c r="AG57" i="1"/>
  <c r="W94" i="18"/>
  <c r="W84" i="18"/>
  <c r="U22" i="19"/>
  <c r="X22" i="19" s="1"/>
  <c r="U85" i="19"/>
  <c r="V85" i="19" s="1"/>
  <c r="X83" i="18"/>
  <c r="Z81" i="13"/>
  <c r="AA81" i="13" s="1"/>
  <c r="AC32" i="13" s="1"/>
  <c r="Z82" i="13"/>
  <c r="AA82" i="13" s="1"/>
  <c r="AC33" i="13" s="1"/>
  <c r="Z83" i="13"/>
  <c r="AA83" i="13" s="1"/>
  <c r="AC34" i="13" s="1"/>
  <c r="Z84" i="13"/>
  <c r="AA84" i="13" s="1"/>
  <c r="AC35" i="13" s="1"/>
  <c r="Z85" i="13"/>
  <c r="AA85" i="13" s="1"/>
  <c r="AC36" i="13" s="1"/>
  <c r="Z71" i="13"/>
  <c r="AA71" i="13" s="1"/>
  <c r="AC22" i="13" s="1"/>
  <c r="Z74" i="13"/>
  <c r="AA74" i="13" s="1"/>
  <c r="AC25" i="13" s="1"/>
  <c r="Z75" i="13"/>
  <c r="AA75" i="13" s="1"/>
  <c r="AC26" i="13" s="1"/>
  <c r="Z77" i="13"/>
  <c r="AA77" i="13" s="1"/>
  <c r="AC28" i="13" s="1"/>
  <c r="Z80" i="13"/>
  <c r="AA80" i="13" s="1"/>
  <c r="AC31" i="13" s="1"/>
  <c r="Z79" i="13"/>
  <c r="AA79" i="13" s="1"/>
  <c r="AC30" i="13" s="1"/>
  <c r="Z78" i="13"/>
  <c r="AA78" i="13" s="1"/>
  <c r="AC29" i="13" s="1"/>
  <c r="Z76" i="13"/>
  <c r="AA76" i="13" s="1"/>
  <c r="AC27" i="13" s="1"/>
  <c r="Z73" i="13"/>
  <c r="AA73" i="13" s="1"/>
  <c r="AC24" i="13" s="1"/>
  <c r="Z72" i="13"/>
  <c r="AA72" i="13" s="1"/>
  <c r="AC23" i="13" s="1"/>
  <c r="T73" i="19"/>
  <c r="T68" i="19"/>
  <c r="Q69" i="19"/>
  <c r="N69" i="19"/>
  <c r="N68" i="19"/>
  <c r="N67" i="19"/>
  <c r="N66" i="19"/>
  <c r="Q69" i="18"/>
  <c r="N69" i="18"/>
  <c r="N68" i="18"/>
  <c r="N67" i="18"/>
  <c r="N66" i="18"/>
  <c r="U71" i="18"/>
  <c r="U66" i="18"/>
  <c r="T67" i="18"/>
  <c r="T68" i="18"/>
  <c r="T72" i="18"/>
  <c r="T75" i="18"/>
  <c r="T77" i="18"/>
  <c r="T81" i="18"/>
  <c r="T66" i="18"/>
  <c r="Q69" i="13"/>
  <c r="N69" i="13"/>
  <c r="N68" i="13"/>
  <c r="N67" i="13"/>
  <c r="N66" i="13"/>
  <c r="W55" i="13"/>
  <c r="W56" i="13"/>
  <c r="W60" i="13"/>
  <c r="W63" i="13"/>
  <c r="W65" i="13"/>
  <c r="W69" i="13"/>
  <c r="Y69" i="13" s="1"/>
  <c r="W54" i="13"/>
  <c r="V55" i="13"/>
  <c r="V56" i="13"/>
  <c r="V57" i="13"/>
  <c r="V58" i="13"/>
  <c r="V59" i="13"/>
  <c r="V60" i="13"/>
  <c r="V61" i="13"/>
  <c r="V62" i="13"/>
  <c r="V63" i="13"/>
  <c r="V64" i="13"/>
  <c r="V65" i="13"/>
  <c r="V66" i="13"/>
  <c r="V67" i="13"/>
  <c r="V68" i="13"/>
  <c r="V69" i="13"/>
  <c r="V70" i="13"/>
  <c r="V54" i="13"/>
  <c r="Y85" i="18" l="1"/>
  <c r="AC24" i="18" s="1"/>
  <c r="W87" i="19"/>
  <c r="AA36" i="25"/>
  <c r="Z36" i="25"/>
  <c r="V89" i="19"/>
  <c r="V87" i="19"/>
  <c r="Y86" i="18"/>
  <c r="AC25" i="18" s="1"/>
  <c r="Z34" i="19"/>
  <c r="AA34" i="19"/>
  <c r="AA34" i="25" s="1"/>
  <c r="Z22" i="19"/>
  <c r="F22" i="25" s="1"/>
  <c r="U99" i="26"/>
  <c r="W99" i="26" s="1"/>
  <c r="U36" i="26"/>
  <c r="Z31" i="19"/>
  <c r="AA31" i="19"/>
  <c r="AE52" i="1"/>
  <c r="T31" i="26" s="1"/>
  <c r="T31" i="25"/>
  <c r="AE55" i="1"/>
  <c r="T34" i="26" s="1"/>
  <c r="T34" i="25"/>
  <c r="Z35" i="19"/>
  <c r="AA35" i="19"/>
  <c r="Z33" i="19"/>
  <c r="AA33" i="19"/>
  <c r="AE54" i="1"/>
  <c r="T33" i="26" s="1"/>
  <c r="T33" i="25"/>
  <c r="AA32" i="19"/>
  <c r="Z32" i="19"/>
  <c r="AE53" i="1"/>
  <c r="T32" i="26" s="1"/>
  <c r="T32" i="25"/>
  <c r="Y93" i="18"/>
  <c r="AC32" i="18" s="1"/>
  <c r="AE32" i="18" s="1"/>
  <c r="O105" i="1" s="1"/>
  <c r="Y92" i="18"/>
  <c r="AC31" i="18" s="1"/>
  <c r="AE56" i="1"/>
  <c r="T35" i="26" s="1"/>
  <c r="T35" i="25"/>
  <c r="Y35" i="19"/>
  <c r="W35" i="19"/>
  <c r="AE57" i="1"/>
  <c r="T36" i="26" s="1"/>
  <c r="T36" i="25"/>
  <c r="Z30" i="19"/>
  <c r="AA30" i="19"/>
  <c r="AA22" i="19"/>
  <c r="G22" i="25" s="1"/>
  <c r="Z23" i="19"/>
  <c r="F23" i="25" s="1"/>
  <c r="X63" i="13"/>
  <c r="AE44" i="1"/>
  <c r="T23" i="26" s="1"/>
  <c r="T23" i="25"/>
  <c r="Y88" i="18"/>
  <c r="AC27" i="18" s="1"/>
  <c r="W88" i="19"/>
  <c r="AE50" i="1"/>
  <c r="T29" i="26" s="1"/>
  <c r="T29" i="25"/>
  <c r="AE49" i="1"/>
  <c r="T28" i="26" s="1"/>
  <c r="T28" i="25"/>
  <c r="AA29" i="19"/>
  <c r="Z29" i="19"/>
  <c r="X91" i="19"/>
  <c r="Y91" i="19" s="1"/>
  <c r="AC28" i="19" s="1"/>
  <c r="AA28" i="19"/>
  <c r="AA28" i="25" s="1"/>
  <c r="Z28" i="19"/>
  <c r="AE48" i="1"/>
  <c r="T27" i="26" s="1"/>
  <c r="T27" i="25"/>
  <c r="AE47" i="1"/>
  <c r="T26" i="26" s="1"/>
  <c r="T26" i="25"/>
  <c r="W90" i="19"/>
  <c r="Z27" i="19"/>
  <c r="AA27" i="19"/>
  <c r="Z26" i="19"/>
  <c r="AA26" i="19"/>
  <c r="Z24" i="19"/>
  <c r="F24" i="25" s="1"/>
  <c r="AA24" i="19"/>
  <c r="G24" i="25" s="1"/>
  <c r="AA23" i="19"/>
  <c r="G23" i="25" s="1"/>
  <c r="AE46" i="1"/>
  <c r="T25" i="26" s="1"/>
  <c r="T25" i="25"/>
  <c r="AE45" i="1"/>
  <c r="T24" i="26" s="1"/>
  <c r="T24" i="25"/>
  <c r="W25" i="19"/>
  <c r="AA25" i="19"/>
  <c r="Z25" i="19"/>
  <c r="W85" i="19"/>
  <c r="Y83" i="18"/>
  <c r="AC22" i="18" s="1"/>
  <c r="W23" i="19"/>
  <c r="AD34" i="25"/>
  <c r="AB34" i="25"/>
  <c r="AB31" i="19"/>
  <c r="AD31" i="19"/>
  <c r="AD32" i="19"/>
  <c r="AB32" i="19"/>
  <c r="X89" i="19"/>
  <c r="Y89" i="19" s="1"/>
  <c r="AC26" i="19" s="1"/>
  <c r="AB30" i="19"/>
  <c r="AD30" i="19"/>
  <c r="AB35" i="19"/>
  <c r="AD35" i="19"/>
  <c r="AB31" i="25"/>
  <c r="AD31" i="25"/>
  <c r="AB35" i="25"/>
  <c r="AD35" i="25"/>
  <c r="AD33" i="25"/>
  <c r="AB33" i="25"/>
  <c r="Y94" i="18"/>
  <c r="AC33" i="18" s="1"/>
  <c r="AD32" i="25"/>
  <c r="AB32" i="25"/>
  <c r="AD34" i="19"/>
  <c r="AB34" i="19"/>
  <c r="X92" i="19"/>
  <c r="Y92" i="19" s="1"/>
  <c r="AC29" i="19" s="1"/>
  <c r="AE36" i="19"/>
  <c r="U109" i="1" s="1"/>
  <c r="X90" i="19"/>
  <c r="AB30" i="25"/>
  <c r="AD30" i="25"/>
  <c r="AD33" i="19"/>
  <c r="AB33" i="19"/>
  <c r="Y84" i="18"/>
  <c r="AC23" i="18" s="1"/>
  <c r="AE34" i="18"/>
  <c r="O107" i="1" s="1"/>
  <c r="T96" i="26"/>
  <c r="U96" i="25"/>
  <c r="W96" i="25" s="1"/>
  <c r="AE33" i="18"/>
  <c r="O106" i="1" s="1"/>
  <c r="AE31" i="18"/>
  <c r="O104" i="1" s="1"/>
  <c r="AG52" i="1"/>
  <c r="T94" i="26"/>
  <c r="U94" i="25"/>
  <c r="W94" i="25" s="1"/>
  <c r="X88" i="19"/>
  <c r="Y88" i="19" s="1"/>
  <c r="AC25" i="19" s="1"/>
  <c r="T95" i="26"/>
  <c r="U95" i="25"/>
  <c r="W95" i="25" s="1"/>
  <c r="AG53" i="1"/>
  <c r="X86" i="19"/>
  <c r="T89" i="26"/>
  <c r="U89" i="25"/>
  <c r="W89" i="25" s="1"/>
  <c r="U89" i="26"/>
  <c r="V89" i="26" s="1"/>
  <c r="T93" i="26"/>
  <c r="U93" i="25"/>
  <c r="W93" i="25" s="1"/>
  <c r="U93" i="26"/>
  <c r="X96" i="19"/>
  <c r="Y96" i="19" s="1"/>
  <c r="AC33" i="19" s="1"/>
  <c r="AG56" i="1"/>
  <c r="T98" i="26"/>
  <c r="U98" i="25"/>
  <c r="W98" i="25" s="1"/>
  <c r="X87" i="19"/>
  <c r="Y87" i="19" s="1"/>
  <c r="AC24" i="19" s="1"/>
  <c r="AE28" i="18"/>
  <c r="O101" i="1" s="1"/>
  <c r="AE30" i="18"/>
  <c r="O103" i="1" s="1"/>
  <c r="T85" i="26"/>
  <c r="U85" i="25"/>
  <c r="W85" i="25" s="1"/>
  <c r="X98" i="19"/>
  <c r="Y98" i="19" s="1"/>
  <c r="AC35" i="19" s="1"/>
  <c r="T87" i="26"/>
  <c r="U87" i="25"/>
  <c r="W87" i="25" s="1"/>
  <c r="AG45" i="1"/>
  <c r="AE29" i="18"/>
  <c r="O102" i="1" s="1"/>
  <c r="AE35" i="18"/>
  <c r="O108" i="1" s="1"/>
  <c r="AG55" i="1"/>
  <c r="T97" i="26"/>
  <c r="U97" i="25"/>
  <c r="W97" i="25" s="1"/>
  <c r="T88" i="26"/>
  <c r="U88" i="25"/>
  <c r="V88" i="25" s="1"/>
  <c r="U88" i="26"/>
  <c r="U86" i="26"/>
  <c r="T86" i="26"/>
  <c r="U86" i="25"/>
  <c r="V86" i="25" s="1"/>
  <c r="T90" i="26"/>
  <c r="U90" i="25"/>
  <c r="V90" i="25" s="1"/>
  <c r="T92" i="26"/>
  <c r="U92" i="25"/>
  <c r="AE36" i="18"/>
  <c r="O109" i="1" s="1"/>
  <c r="T91" i="26"/>
  <c r="U91" i="25"/>
  <c r="W86" i="19"/>
  <c r="X65" i="13"/>
  <c r="W34" i="13"/>
  <c r="W30" i="13"/>
  <c r="W27" i="13"/>
  <c r="W33" i="13"/>
  <c r="W25" i="13"/>
  <c r="W32" i="13"/>
  <c r="W24" i="13"/>
  <c r="W26" i="13"/>
  <c r="W35" i="13"/>
  <c r="W31" i="13"/>
  <c r="W29" i="13"/>
  <c r="W36" i="13"/>
  <c r="W28" i="13"/>
  <c r="W23" i="13"/>
  <c r="X55" i="13"/>
  <c r="X69" i="13"/>
  <c r="X54" i="13"/>
  <c r="Z63" i="13"/>
  <c r="X60" i="13"/>
  <c r="X56" i="13"/>
  <c r="Q60" i="19"/>
  <c r="Q56" i="19"/>
  <c r="Q52" i="19"/>
  <c r="Q60" i="18"/>
  <c r="Q56" i="18"/>
  <c r="Q52" i="18"/>
  <c r="G25" i="25" l="1"/>
  <c r="AA25" i="25" s="1"/>
  <c r="F25" i="25"/>
  <c r="Z25" i="25" s="1"/>
  <c r="AA29" i="25"/>
  <c r="AA30" i="25"/>
  <c r="AA30" i="26" s="1"/>
  <c r="AA33" i="25"/>
  <c r="AA33" i="26" s="1"/>
  <c r="AA32" i="25"/>
  <c r="AA31" i="25"/>
  <c r="AA35" i="25"/>
  <c r="Z28" i="25"/>
  <c r="Z32" i="25"/>
  <c r="Z30" i="25"/>
  <c r="Z30" i="26" s="1"/>
  <c r="Z33" i="25"/>
  <c r="Z33" i="26" s="1"/>
  <c r="Z31" i="25"/>
  <c r="Z29" i="25"/>
  <c r="Z35" i="25"/>
  <c r="Z34" i="25"/>
  <c r="Z34" i="26" s="1"/>
  <c r="V85" i="25"/>
  <c r="AA22" i="25"/>
  <c r="G22" i="26" s="1"/>
  <c r="Z22" i="25"/>
  <c r="F22" i="26" s="1"/>
  <c r="V88" i="26"/>
  <c r="X88" i="26" s="1"/>
  <c r="V89" i="25"/>
  <c r="W92" i="25"/>
  <c r="V92" i="25"/>
  <c r="W29" i="25" s="1"/>
  <c r="W91" i="25"/>
  <c r="V91" i="25"/>
  <c r="W93" i="26"/>
  <c r="V93" i="26"/>
  <c r="X93" i="26" s="1"/>
  <c r="Y93" i="26" s="1"/>
  <c r="AC30" i="26" s="1"/>
  <c r="V86" i="26"/>
  <c r="AA27" i="25"/>
  <c r="Z27" i="25"/>
  <c r="AA26" i="25"/>
  <c r="Z26" i="25"/>
  <c r="W89" i="26"/>
  <c r="W88" i="25"/>
  <c r="W88" i="26" s="1"/>
  <c r="V87" i="25"/>
  <c r="Z24" i="25"/>
  <c r="F24" i="26" s="1"/>
  <c r="AA24" i="25"/>
  <c r="G24" i="26" s="1"/>
  <c r="Z23" i="25"/>
  <c r="F23" i="26" s="1"/>
  <c r="AA23" i="25"/>
  <c r="G23" i="26" s="1"/>
  <c r="X98" i="26"/>
  <c r="Y98" i="26" s="1"/>
  <c r="AC35" i="26" s="1"/>
  <c r="Y90" i="19"/>
  <c r="AC27" i="19" s="1"/>
  <c r="Y33" i="19"/>
  <c r="AE33" i="19" s="1"/>
  <c r="U106" i="1" s="1"/>
  <c r="W33" i="19"/>
  <c r="Y36" i="26"/>
  <c r="W36" i="26"/>
  <c r="Y30" i="19"/>
  <c r="AE30" i="19" s="1"/>
  <c r="U103" i="1" s="1"/>
  <c r="W30" i="19"/>
  <c r="AA34" i="26"/>
  <c r="U97" i="26"/>
  <c r="W97" i="26" s="1"/>
  <c r="U34" i="26"/>
  <c r="U95" i="26"/>
  <c r="W95" i="26" s="1"/>
  <c r="U32" i="26"/>
  <c r="X93" i="19"/>
  <c r="Y93" i="19" s="1"/>
  <c r="AC30" i="19" s="1"/>
  <c r="W36" i="25"/>
  <c r="Y36" i="25"/>
  <c r="Z36" i="26"/>
  <c r="AB36" i="26"/>
  <c r="AD36" i="26"/>
  <c r="Y34" i="19"/>
  <c r="W34" i="19"/>
  <c r="X99" i="25"/>
  <c r="Y99" i="25" s="1"/>
  <c r="AC36" i="25" s="1"/>
  <c r="W90" i="25"/>
  <c r="W32" i="19"/>
  <c r="Y32" i="19"/>
  <c r="U98" i="26"/>
  <c r="W98" i="26" s="1"/>
  <c r="U35" i="26"/>
  <c r="Y31" i="19"/>
  <c r="W31" i="19"/>
  <c r="U94" i="26"/>
  <c r="W94" i="26" s="1"/>
  <c r="U31" i="26"/>
  <c r="AA36" i="26"/>
  <c r="W25" i="25"/>
  <c r="Y25" i="25" s="1"/>
  <c r="U92" i="26"/>
  <c r="U29" i="26"/>
  <c r="W29" i="19"/>
  <c r="Y29" i="19"/>
  <c r="U91" i="26"/>
  <c r="U28" i="26"/>
  <c r="W28" i="19"/>
  <c r="Y28" i="19"/>
  <c r="Y27" i="19"/>
  <c r="W27" i="19"/>
  <c r="W26" i="19"/>
  <c r="Y26" i="19"/>
  <c r="W26" i="25"/>
  <c r="W33" i="26"/>
  <c r="U90" i="26"/>
  <c r="V90" i="26" s="1"/>
  <c r="U27" i="26"/>
  <c r="U87" i="26"/>
  <c r="W87" i="26" s="1"/>
  <c r="U24" i="26"/>
  <c r="X24" i="26" s="1"/>
  <c r="W24" i="19"/>
  <c r="W23" i="25"/>
  <c r="Y23" i="25" s="1"/>
  <c r="W22" i="19"/>
  <c r="X87" i="25"/>
  <c r="Y87" i="25" s="1"/>
  <c r="AC24" i="25" s="1"/>
  <c r="X89" i="26"/>
  <c r="Y89" i="26" s="1"/>
  <c r="AC26" i="26" s="1"/>
  <c r="U85" i="26"/>
  <c r="V85" i="26" s="1"/>
  <c r="X86" i="25"/>
  <c r="X99" i="26"/>
  <c r="Y99" i="26" s="1"/>
  <c r="AC36" i="26" s="1"/>
  <c r="X98" i="25"/>
  <c r="Y98" i="25" s="1"/>
  <c r="AC35" i="25" s="1"/>
  <c r="X93" i="25"/>
  <c r="Y93" i="25" s="1"/>
  <c r="AC30" i="25" s="1"/>
  <c r="X95" i="19"/>
  <c r="Y95" i="19" s="1"/>
  <c r="AC32" i="19" s="1"/>
  <c r="X94" i="19"/>
  <c r="Y94" i="19" s="1"/>
  <c r="AC31" i="19" s="1"/>
  <c r="Y86" i="19"/>
  <c r="AC23" i="19" s="1"/>
  <c r="Y34" i="25"/>
  <c r="X88" i="25"/>
  <c r="AE35" i="19"/>
  <c r="U108" i="1" s="1"/>
  <c r="X97" i="19"/>
  <c r="Y97" i="19" s="1"/>
  <c r="AC34" i="19" s="1"/>
  <c r="AE34" i="19" s="1"/>
  <c r="U107" i="1" s="1"/>
  <c r="X96" i="26"/>
  <c r="W86" i="25"/>
  <c r="X66" i="18"/>
  <c r="X85" i="19"/>
  <c r="Y85" i="19" s="1"/>
  <c r="Z54" i="13"/>
  <c r="Z69" i="13"/>
  <c r="AA69" i="13" s="1"/>
  <c r="AC20" i="13" s="1"/>
  <c r="Z65" i="13"/>
  <c r="Z60" i="13"/>
  <c r="D24" i="1"/>
  <c r="J3" i="11"/>
  <c r="E6" i="13"/>
  <c r="E4" i="24"/>
  <c r="Y88" i="25" l="1"/>
  <c r="AC25" i="25" s="1"/>
  <c r="F25" i="26"/>
  <c r="Z25" i="26" s="1"/>
  <c r="G25" i="26"/>
  <c r="AA25" i="26" s="1"/>
  <c r="AA29" i="26"/>
  <c r="Z27" i="26"/>
  <c r="AE32" i="19"/>
  <c r="U105" i="1" s="1"/>
  <c r="Z22" i="26"/>
  <c r="AA22" i="26"/>
  <c r="W92" i="26"/>
  <c r="V92" i="26"/>
  <c r="W91" i="26"/>
  <c r="V91" i="26"/>
  <c r="W90" i="26"/>
  <c r="Z26" i="26"/>
  <c r="AA26" i="26"/>
  <c r="Y88" i="26"/>
  <c r="AC25" i="26" s="1"/>
  <c r="V87" i="26"/>
  <c r="X87" i="26" s="1"/>
  <c r="Y87" i="26" s="1"/>
  <c r="AC24" i="26" s="1"/>
  <c r="AA24" i="26"/>
  <c r="AA23" i="26"/>
  <c r="Z23" i="26"/>
  <c r="AE36" i="25"/>
  <c r="AA109" i="1" s="1"/>
  <c r="W32" i="26"/>
  <c r="Y32" i="26"/>
  <c r="AB35" i="26"/>
  <c r="AD35" i="26"/>
  <c r="AA32" i="26"/>
  <c r="Z32" i="26"/>
  <c r="AB32" i="26"/>
  <c r="AD32" i="26"/>
  <c r="AA35" i="26"/>
  <c r="W33" i="25"/>
  <c r="Y33" i="25"/>
  <c r="W31" i="25"/>
  <c r="Y31" i="25"/>
  <c r="X96" i="25"/>
  <c r="Y96" i="25" s="1"/>
  <c r="AC33" i="25" s="1"/>
  <c r="X92" i="25"/>
  <c r="Y92" i="25" s="1"/>
  <c r="AC29" i="25" s="1"/>
  <c r="Y33" i="26"/>
  <c r="AB34" i="26"/>
  <c r="AD34" i="26"/>
  <c r="W34" i="25"/>
  <c r="Z35" i="26"/>
  <c r="Y32" i="25"/>
  <c r="W32" i="25"/>
  <c r="AB31" i="26"/>
  <c r="AD31" i="26"/>
  <c r="W35" i="26"/>
  <c r="Y35" i="26"/>
  <c r="W34" i="26"/>
  <c r="Y34" i="26"/>
  <c r="W35" i="25"/>
  <c r="Y35" i="25"/>
  <c r="AE35" i="25" s="1"/>
  <c r="AA108" i="1" s="1"/>
  <c r="W30" i="25"/>
  <c r="Y30" i="25"/>
  <c r="AE30" i="25" s="1"/>
  <c r="AA103" i="1" s="1"/>
  <c r="AA31" i="26"/>
  <c r="Z31" i="26"/>
  <c r="W30" i="26"/>
  <c r="Y30" i="26"/>
  <c r="Z29" i="26"/>
  <c r="AA27" i="26"/>
  <c r="X92" i="26"/>
  <c r="Y92" i="26" s="1"/>
  <c r="AC29" i="26" s="1"/>
  <c r="Y29" i="25"/>
  <c r="W28" i="26"/>
  <c r="Z28" i="26"/>
  <c r="AA28" i="26"/>
  <c r="Y28" i="25"/>
  <c r="W28" i="25"/>
  <c r="Z24" i="26"/>
  <c r="X89" i="25"/>
  <c r="Y89" i="25" s="1"/>
  <c r="AC26" i="25" s="1"/>
  <c r="Y26" i="25"/>
  <c r="W27" i="25"/>
  <c r="Y27" i="25"/>
  <c r="W26" i="26"/>
  <c r="Y26" i="26" s="1"/>
  <c r="W25" i="26"/>
  <c r="Y25" i="26" s="1"/>
  <c r="W24" i="25"/>
  <c r="Y24" i="25" s="1"/>
  <c r="W23" i="26"/>
  <c r="Y23" i="26" s="1"/>
  <c r="W22" i="25"/>
  <c r="Y22" i="25" s="1"/>
  <c r="X86" i="26"/>
  <c r="Y86" i="25"/>
  <c r="AC23" i="25" s="1"/>
  <c r="X91" i="25"/>
  <c r="Y91" i="25" s="1"/>
  <c r="AC28" i="25" s="1"/>
  <c r="X95" i="25"/>
  <c r="Y95" i="25" s="1"/>
  <c r="AC32" i="25" s="1"/>
  <c r="X97" i="25"/>
  <c r="Y97" i="25" s="1"/>
  <c r="AC34" i="25" s="1"/>
  <c r="X94" i="25"/>
  <c r="Y94" i="25" s="1"/>
  <c r="AC31" i="25" s="1"/>
  <c r="X85" i="25"/>
  <c r="Y85" i="25" s="1"/>
  <c r="AC22" i="25" s="1"/>
  <c r="X95" i="26"/>
  <c r="Y95" i="26" s="1"/>
  <c r="AC32" i="26" s="1"/>
  <c r="X90" i="25"/>
  <c r="Y90" i="25" s="1"/>
  <c r="AC27" i="25" s="1"/>
  <c r="AE31" i="19"/>
  <c r="U104" i="1" s="1"/>
  <c r="X97" i="26"/>
  <c r="Y97" i="26" s="1"/>
  <c r="AC34" i="26" s="1"/>
  <c r="AE36" i="26"/>
  <c r="AG109" i="1" s="1"/>
  <c r="AC22" i="19"/>
  <c r="G18" i="17"/>
  <c r="F18" i="17" s="1"/>
  <c r="AE31" i="25" l="1"/>
  <c r="AA104" i="1" s="1"/>
  <c r="AE33" i="25"/>
  <c r="AA106" i="1" s="1"/>
  <c r="AE32" i="26"/>
  <c r="AG105" i="1" s="1"/>
  <c r="AE35" i="26"/>
  <c r="AG108" i="1" s="1"/>
  <c r="Y31" i="26"/>
  <c r="W31" i="26"/>
  <c r="X94" i="26"/>
  <c r="Y94" i="26" s="1"/>
  <c r="AC31" i="26" s="1"/>
  <c r="W29" i="26"/>
  <c r="Y29" i="26" s="1"/>
  <c r="X91" i="26"/>
  <c r="Y91" i="26" s="1"/>
  <c r="AC28" i="26" s="1"/>
  <c r="Y28" i="26"/>
  <c r="W24" i="26"/>
  <c r="Y24" i="26" s="1"/>
  <c r="W27" i="26"/>
  <c r="Y27" i="26" s="1"/>
  <c r="X90" i="26"/>
  <c r="Y90" i="26" s="1"/>
  <c r="AC27" i="26" s="1"/>
  <c r="X85" i="26"/>
  <c r="W22" i="26"/>
  <c r="Y22" i="26" s="1"/>
  <c r="AE34" i="26"/>
  <c r="AG107" i="1" s="1"/>
  <c r="AE34" i="25"/>
  <c r="AA107" i="1" s="1"/>
  <c r="AE32" i="25"/>
  <c r="AA105" i="1" s="1"/>
  <c r="C14" i="5"/>
  <c r="D8" i="11" s="1"/>
  <c r="AE31" i="26" l="1"/>
  <c r="AG104" i="1" s="1"/>
  <c r="G45" i="12"/>
  <c r="E24" i="24" l="1"/>
  <c r="E23" i="24"/>
  <c r="E22" i="24"/>
  <c r="E21" i="24"/>
  <c r="E19" i="24"/>
  <c r="E18" i="24"/>
  <c r="E17" i="24"/>
  <c r="E15" i="24"/>
  <c r="E14" i="24"/>
  <c r="E13" i="24"/>
  <c r="E11" i="24"/>
  <c r="E10" i="24"/>
  <c r="E9" i="24"/>
  <c r="E7" i="24" l="1"/>
  <c r="E6" i="24"/>
  <c r="E5" i="24"/>
  <c r="D85" i="23" l="1"/>
  <c r="AD38" i="12"/>
  <c r="I24" i="24" l="1"/>
  <c r="G24" i="24"/>
  <c r="F24" i="24"/>
  <c r="I19" i="24"/>
  <c r="G19" i="24"/>
  <c r="F19" i="24"/>
  <c r="I15" i="24"/>
  <c r="G15" i="24"/>
  <c r="F15" i="24"/>
  <c r="I14" i="24"/>
  <c r="G14" i="24"/>
  <c r="F14" i="24"/>
  <c r="I11" i="24"/>
  <c r="G11" i="24"/>
  <c r="F11" i="24"/>
  <c r="I10" i="24"/>
  <c r="F10" i="24"/>
  <c r="F6" i="24"/>
  <c r="F7" i="24"/>
  <c r="I7" i="24"/>
  <c r="H7" i="24"/>
  <c r="I6" i="24"/>
  <c r="H6" i="24"/>
  <c r="AF9" i="23"/>
  <c r="G6" i="24" s="1"/>
  <c r="Z33" i="23"/>
  <c r="AE8" i="23"/>
  <c r="AG14" i="23"/>
  <c r="H10" i="24" s="1"/>
  <c r="AF14" i="23"/>
  <c r="G10" i="24" s="1"/>
  <c r="AG32" i="23"/>
  <c r="H24" i="24" s="1"/>
  <c r="AG31" i="23"/>
  <c r="AG30" i="23"/>
  <c r="AG26" i="23"/>
  <c r="H19" i="24" s="1"/>
  <c r="AG24" i="23"/>
  <c r="AG19" i="23"/>
  <c r="H14" i="24" s="1"/>
  <c r="AG20" i="23"/>
  <c r="H15" i="24" s="1"/>
  <c r="AG15" i="23"/>
  <c r="H11" i="24" s="1"/>
  <c r="AF10" i="23"/>
  <c r="G7" i="24" s="1"/>
  <c r="AH29" i="23"/>
  <c r="AH33" i="23" s="1"/>
  <c r="AG29" i="23"/>
  <c r="AF29" i="23"/>
  <c r="AG25" i="23"/>
  <c r="AF25" i="23"/>
  <c r="AG18" i="23"/>
  <c r="AF18" i="23"/>
  <c r="AG13" i="23"/>
  <c r="AF13" i="23"/>
  <c r="AG7" i="23"/>
  <c r="AE7" i="23"/>
  <c r="AE33" i="23" s="1"/>
  <c r="B40" i="23"/>
  <c r="AD29" i="23"/>
  <c r="AD33" i="23" s="1"/>
  <c r="AB29" i="23"/>
  <c r="AC29" i="23"/>
  <c r="AC25" i="23"/>
  <c r="AB25" i="23"/>
  <c r="AC18" i="23"/>
  <c r="AB18" i="23"/>
  <c r="B84" i="23" l="1"/>
  <c r="AG33" i="23"/>
  <c r="B73" i="23"/>
  <c r="J46" i="12"/>
  <c r="B75" i="23"/>
  <c r="B74" i="23"/>
  <c r="AF33" i="23"/>
  <c r="B59" i="23"/>
  <c r="B76" i="23"/>
  <c r="D59" i="23" l="1"/>
  <c r="D73" i="23"/>
  <c r="D76" i="23"/>
  <c r="X3" i="12"/>
  <c r="B86" i="23"/>
  <c r="D84" i="23"/>
  <c r="D75" i="23"/>
  <c r="B77" i="23"/>
  <c r="D74" i="23"/>
  <c r="AC13" i="23"/>
  <c r="AB13" i="23"/>
  <c r="AC7" i="23"/>
  <c r="AA7" i="23"/>
  <c r="Y23" i="23"/>
  <c r="X23" i="23"/>
  <c r="Y22" i="23"/>
  <c r="X22" i="23"/>
  <c r="Y17" i="23"/>
  <c r="X17" i="23"/>
  <c r="Q71" i="25" l="1"/>
  <c r="Q71" i="26"/>
  <c r="Q71" i="19"/>
  <c r="Q71" i="18"/>
  <c r="Q71" i="13"/>
  <c r="Q62" i="25"/>
  <c r="Q62" i="26"/>
  <c r="Q66" i="26"/>
  <c r="Q57" i="26"/>
  <c r="Q57" i="25"/>
  <c r="Q66" i="25"/>
  <c r="Q49" i="25"/>
  <c r="Q49" i="26"/>
  <c r="Q53" i="25"/>
  <c r="Q53" i="26"/>
  <c r="Q63" i="26"/>
  <c r="Q63" i="25"/>
  <c r="Q57" i="13"/>
  <c r="Q57" i="18"/>
  <c r="L8" i="11"/>
  <c r="Q66" i="18"/>
  <c r="Q66" i="13"/>
  <c r="Q66" i="19"/>
  <c r="Q57" i="19"/>
  <c r="X2" i="12"/>
  <c r="Q49" i="18"/>
  <c r="Q49" i="13"/>
  <c r="Q49" i="19"/>
  <c r="X13" i="12"/>
  <c r="Q62" i="19"/>
  <c r="Q62" i="18"/>
  <c r="Q62" i="13"/>
  <c r="Q53" i="18"/>
  <c r="Q53" i="19"/>
  <c r="Q53" i="13"/>
  <c r="W13" i="12"/>
  <c r="Q63" i="19"/>
  <c r="Q63" i="18"/>
  <c r="Q63" i="13"/>
  <c r="X15" i="12"/>
  <c r="X19" i="12"/>
  <c r="X23" i="12"/>
  <c r="X27" i="12"/>
  <c r="X31" i="12"/>
  <c r="X35" i="12"/>
  <c r="X16" i="12"/>
  <c r="X20" i="12"/>
  <c r="X24" i="12"/>
  <c r="X28" i="12"/>
  <c r="X32" i="12"/>
  <c r="X36" i="12"/>
  <c r="X17" i="12"/>
  <c r="X21" i="12"/>
  <c r="X25" i="12"/>
  <c r="X29" i="12"/>
  <c r="X33" i="12"/>
  <c r="X37" i="12"/>
  <c r="X18" i="12"/>
  <c r="X22" i="12"/>
  <c r="X26" i="12"/>
  <c r="X30" i="12"/>
  <c r="X34" i="12"/>
  <c r="X14" i="12"/>
  <c r="X4" i="12"/>
  <c r="X5" i="12"/>
  <c r="X8" i="12"/>
  <c r="X12" i="12"/>
  <c r="X10" i="12"/>
  <c r="X7" i="12"/>
  <c r="X9" i="12"/>
  <c r="X6" i="12"/>
  <c r="X11" i="12"/>
  <c r="B57" i="23"/>
  <c r="AB33" i="23"/>
  <c r="F23" i="24"/>
  <c r="G23" i="24"/>
  <c r="I23" i="24"/>
  <c r="H21" i="24"/>
  <c r="G21" i="24"/>
  <c r="F21" i="24"/>
  <c r="F18" i="24"/>
  <c r="G18" i="24"/>
  <c r="H18" i="24"/>
  <c r="I18" i="24"/>
  <c r="I17" i="24"/>
  <c r="G17" i="24"/>
  <c r="F17" i="24"/>
  <c r="I13" i="24"/>
  <c r="F13" i="24"/>
  <c r="I9" i="24"/>
  <c r="G9" i="24"/>
  <c r="F9" i="24"/>
  <c r="G5" i="24"/>
  <c r="H5" i="24"/>
  <c r="I5" i="24"/>
  <c r="I4" i="24"/>
  <c r="H4" i="24"/>
  <c r="G4" i="24"/>
  <c r="F4" i="24"/>
  <c r="H9" i="24"/>
  <c r="G13" i="24"/>
  <c r="H13" i="24"/>
  <c r="I21" i="24"/>
  <c r="W5" i="23"/>
  <c r="AC30" i="23"/>
  <c r="AC31" i="23"/>
  <c r="AC24" i="23"/>
  <c r="H17" i="24" s="1"/>
  <c r="AC19" i="23"/>
  <c r="AA8" i="23"/>
  <c r="F5" i="24" s="1"/>
  <c r="Y28" i="23"/>
  <c r="Y33" i="23" s="1"/>
  <c r="X12" i="23"/>
  <c r="W6" i="23"/>
  <c r="W4" i="23"/>
  <c r="E42" i="26" l="1"/>
  <c r="E42" i="25"/>
  <c r="D57" i="23"/>
  <c r="W5" i="12" s="1"/>
  <c r="B48" i="23"/>
  <c r="B67" i="23"/>
  <c r="B39" i="23"/>
  <c r="J45" i="12" s="1"/>
  <c r="AC33" i="23"/>
  <c r="B58" i="23"/>
  <c r="H23" i="24"/>
  <c r="X38" i="12"/>
  <c r="W33" i="23"/>
  <c r="B37" i="23"/>
  <c r="B56" i="23"/>
  <c r="X33" i="23"/>
  <c r="B38" i="23"/>
  <c r="AA33" i="23"/>
  <c r="J17" i="24"/>
  <c r="J13" i="24"/>
  <c r="J9" i="24"/>
  <c r="J4" i="24"/>
  <c r="S42" i="25" l="1"/>
  <c r="J42" i="25"/>
  <c r="Q54" i="26"/>
  <c r="Q54" i="25"/>
  <c r="W4" i="12"/>
  <c r="S42" i="26"/>
  <c r="J42" i="26"/>
  <c r="Q54" i="19"/>
  <c r="Q54" i="18"/>
  <c r="Q54" i="13"/>
  <c r="D56" i="23"/>
  <c r="B50" i="23"/>
  <c r="D48" i="23"/>
  <c r="B41" i="23"/>
  <c r="J43" i="12"/>
  <c r="D67" i="23"/>
  <c r="B69" i="23"/>
  <c r="D58" i="23"/>
  <c r="W2" i="12"/>
  <c r="J44" i="12"/>
  <c r="B60" i="23"/>
  <c r="E11" i="6"/>
  <c r="Q58" i="25" l="1"/>
  <c r="Q67" i="25"/>
  <c r="Q58" i="26"/>
  <c r="Q67" i="26"/>
  <c r="E43" i="26"/>
  <c r="E43" i="25"/>
  <c r="Q50" i="25"/>
  <c r="Q50" i="26"/>
  <c r="W96" i="26"/>
  <c r="Y96" i="26" s="1"/>
  <c r="AC33" i="26" s="1"/>
  <c r="W85" i="26"/>
  <c r="Y85" i="26" s="1"/>
  <c r="AC22" i="26" s="1"/>
  <c r="W86" i="26"/>
  <c r="Y86" i="26" s="1"/>
  <c r="AC23" i="26" s="1"/>
  <c r="Q72" i="26"/>
  <c r="Q72" i="25"/>
  <c r="Q72" i="19"/>
  <c r="Q72" i="18"/>
  <c r="Q72" i="13"/>
  <c r="Q50" i="18"/>
  <c r="Q50" i="13"/>
  <c r="Q50" i="19"/>
  <c r="Q58" i="18"/>
  <c r="Q58" i="13"/>
  <c r="Z55" i="13"/>
  <c r="Z56" i="13"/>
  <c r="Y54" i="13"/>
  <c r="Y55" i="13"/>
  <c r="Y56" i="13"/>
  <c r="Y63" i="13"/>
  <c r="Y65" i="13"/>
  <c r="Y60" i="13"/>
  <c r="W3" i="12"/>
  <c r="K8" i="11"/>
  <c r="Q67" i="19"/>
  <c r="Q67" i="18"/>
  <c r="Q58" i="19"/>
  <c r="Q67" i="13"/>
  <c r="F8" i="11"/>
  <c r="K45" i="12"/>
  <c r="W15" i="12"/>
  <c r="W19" i="12"/>
  <c r="W23" i="12"/>
  <c r="W27" i="12"/>
  <c r="W31" i="12"/>
  <c r="W35" i="12"/>
  <c r="W16" i="12"/>
  <c r="W20" i="12"/>
  <c r="W24" i="12"/>
  <c r="W28" i="12"/>
  <c r="W32" i="12"/>
  <c r="W36" i="12"/>
  <c r="W17" i="12"/>
  <c r="W21" i="12"/>
  <c r="W25" i="12"/>
  <c r="W29" i="12"/>
  <c r="W33" i="12"/>
  <c r="W37" i="12"/>
  <c r="W18" i="12"/>
  <c r="W22" i="12"/>
  <c r="W26" i="12"/>
  <c r="W30" i="12"/>
  <c r="W34" i="12"/>
  <c r="W14" i="12"/>
  <c r="W9" i="12"/>
  <c r="W6" i="12"/>
  <c r="W11" i="12"/>
  <c r="W12" i="12"/>
  <c r="W10" i="12"/>
  <c r="W7" i="12"/>
  <c r="W8" i="12"/>
  <c r="T42" i="25" l="1"/>
  <c r="J43" i="25"/>
  <c r="T42" i="26"/>
  <c r="J43" i="26"/>
  <c r="AA65" i="13"/>
  <c r="AC16" i="13" s="1"/>
  <c r="AA63" i="13"/>
  <c r="AC14" i="13" s="1"/>
  <c r="AA60" i="13"/>
  <c r="AC11" i="13" s="1"/>
  <c r="AA55" i="13"/>
  <c r="AC6" i="13" s="1"/>
  <c r="AA54" i="13"/>
  <c r="W66" i="18"/>
  <c r="AA56" i="13"/>
  <c r="W38" i="12"/>
  <c r="D10" i="16"/>
  <c r="E10" i="16"/>
  <c r="C10" i="16"/>
  <c r="Y8" i="11"/>
  <c r="Z8" i="11"/>
  <c r="X8" i="11"/>
  <c r="V8" i="11"/>
  <c r="W8" i="11"/>
  <c r="U8" i="11"/>
  <c r="S8" i="11"/>
  <c r="T8" i="11"/>
  <c r="R8" i="11"/>
  <c r="P8" i="11"/>
  <c r="Q8" i="11"/>
  <c r="O8" i="11"/>
  <c r="D2" i="12"/>
  <c r="C2" i="12"/>
  <c r="B2" i="12"/>
  <c r="P2" i="12"/>
  <c r="O2" i="12"/>
  <c r="N2" i="12"/>
  <c r="M2" i="12"/>
  <c r="L2" i="12"/>
  <c r="K2" i="12"/>
  <c r="J2" i="12"/>
  <c r="I2" i="12"/>
  <c r="H2" i="12"/>
  <c r="G2" i="12"/>
  <c r="F2" i="12"/>
  <c r="E2" i="12"/>
  <c r="J12" i="17"/>
  <c r="J32" i="17"/>
  <c r="L36" i="17"/>
  <c r="L38" i="17"/>
  <c r="B38" i="17"/>
  <c r="H41" i="5"/>
  <c r="D26" i="4"/>
  <c r="G43" i="25" l="1"/>
  <c r="G43" i="26"/>
  <c r="G42" i="25"/>
  <c r="G42" i="26"/>
  <c r="G44" i="25"/>
  <c r="G44" i="26"/>
  <c r="Y66" i="18"/>
  <c r="AC5" i="13"/>
  <c r="AC7" i="13"/>
  <c r="I57" i="18"/>
  <c r="I58" i="18"/>
  <c r="I59" i="18"/>
  <c r="I56" i="18"/>
  <c r="I50" i="18"/>
  <c r="I51" i="18"/>
  <c r="I52" i="18"/>
  <c r="I49" i="18"/>
  <c r="I57" i="19"/>
  <c r="I58" i="19"/>
  <c r="I59" i="19"/>
  <c r="I56" i="19"/>
  <c r="I50" i="19"/>
  <c r="I51" i="19"/>
  <c r="I52" i="19"/>
  <c r="I49" i="19"/>
  <c r="I57" i="13"/>
  <c r="I58" i="13"/>
  <c r="I59" i="13"/>
  <c r="I56" i="13"/>
  <c r="I50" i="13"/>
  <c r="I51" i="13"/>
  <c r="I52" i="13"/>
  <c r="I49" i="13"/>
  <c r="G13" i="17"/>
  <c r="G14" i="17"/>
  <c r="G15" i="17"/>
  <c r="G16" i="17"/>
  <c r="G17" i="17"/>
  <c r="G12" i="17"/>
  <c r="Y46" i="25" l="1"/>
  <c r="L42" i="25"/>
  <c r="G25" i="17"/>
  <c r="F25" i="17" s="1"/>
  <c r="E48" i="25"/>
  <c r="F48" i="25" s="1"/>
  <c r="E49" i="26"/>
  <c r="F49" i="26" s="1"/>
  <c r="E49" i="25"/>
  <c r="F49" i="25" s="1"/>
  <c r="E48" i="26"/>
  <c r="F48" i="26" s="1"/>
  <c r="L44" i="26"/>
  <c r="Y48" i="26"/>
  <c r="Y47" i="26"/>
  <c r="L43" i="26"/>
  <c r="Y46" i="26"/>
  <c r="L42" i="26"/>
  <c r="Y48" i="25"/>
  <c r="L44" i="25"/>
  <c r="Y47" i="25"/>
  <c r="L43" i="25"/>
  <c r="AC5" i="18"/>
  <c r="G20" i="17"/>
  <c r="G24" i="17"/>
  <c r="F24" i="17" s="1"/>
  <c r="D49" i="19"/>
  <c r="E49" i="19" s="1"/>
  <c r="F49" i="19" s="1"/>
  <c r="D48" i="19"/>
  <c r="E48" i="19" s="1"/>
  <c r="F48" i="19" s="1"/>
  <c r="B44" i="19"/>
  <c r="B43" i="19"/>
  <c r="B42" i="19"/>
  <c r="A44" i="19"/>
  <c r="A43" i="19"/>
  <c r="A42" i="19"/>
  <c r="V6" i="19"/>
  <c r="V7" i="19"/>
  <c r="V8" i="19"/>
  <c r="V9" i="19"/>
  <c r="V10" i="19"/>
  <c r="V11" i="19"/>
  <c r="V12" i="19"/>
  <c r="V13" i="19"/>
  <c r="V14" i="19"/>
  <c r="V15" i="19"/>
  <c r="V16" i="19"/>
  <c r="V17" i="19"/>
  <c r="V18" i="19"/>
  <c r="V19" i="19"/>
  <c r="V20" i="19"/>
  <c r="V21" i="19"/>
  <c r="V5" i="19"/>
  <c r="V6" i="18"/>
  <c r="V7" i="18"/>
  <c r="V8" i="18"/>
  <c r="V9" i="18"/>
  <c r="V10" i="18"/>
  <c r="V11" i="18"/>
  <c r="V12" i="18"/>
  <c r="V13" i="18"/>
  <c r="V14" i="18"/>
  <c r="V15" i="18"/>
  <c r="V16" i="18"/>
  <c r="V17" i="18"/>
  <c r="V18" i="18"/>
  <c r="V19" i="18"/>
  <c r="V20" i="18"/>
  <c r="V21" i="18"/>
  <c r="D49" i="18"/>
  <c r="D48" i="18"/>
  <c r="B44" i="18"/>
  <c r="B43" i="18"/>
  <c r="B42" i="18"/>
  <c r="B41" i="18"/>
  <c r="B40" i="18"/>
  <c r="V5" i="18"/>
  <c r="U5" i="18"/>
  <c r="N65" i="19"/>
  <c r="N64" i="19"/>
  <c r="N63" i="19"/>
  <c r="N62" i="19"/>
  <c r="N61" i="19"/>
  <c r="N60" i="19"/>
  <c r="N59" i="19"/>
  <c r="N58" i="19"/>
  <c r="N57" i="19"/>
  <c r="N56" i="19"/>
  <c r="N55" i="19"/>
  <c r="N54" i="19"/>
  <c r="N53" i="19"/>
  <c r="N52" i="19"/>
  <c r="N51" i="19"/>
  <c r="N50" i="19"/>
  <c r="N49" i="19"/>
  <c r="A49" i="19"/>
  <c r="V48" i="19"/>
  <c r="A48" i="19"/>
  <c r="V47" i="19"/>
  <c r="V46" i="19"/>
  <c r="Q44" i="19"/>
  <c r="Q43" i="19"/>
  <c r="Q42" i="19"/>
  <c r="B41" i="19"/>
  <c r="A41" i="19"/>
  <c r="B40" i="19"/>
  <c r="A40" i="19"/>
  <c r="R21" i="19"/>
  <c r="Q21" i="19"/>
  <c r="P21" i="19"/>
  <c r="O21" i="19"/>
  <c r="N21" i="19"/>
  <c r="M21" i="19"/>
  <c r="L21" i="19"/>
  <c r="K21" i="19"/>
  <c r="J21" i="19"/>
  <c r="D21" i="19"/>
  <c r="B21" i="19"/>
  <c r="A21" i="19"/>
  <c r="R20" i="19"/>
  <c r="Q20" i="19"/>
  <c r="P20" i="19"/>
  <c r="O20" i="19"/>
  <c r="N20" i="19"/>
  <c r="M20" i="19"/>
  <c r="L20" i="19"/>
  <c r="K20" i="19"/>
  <c r="J20" i="19"/>
  <c r="D20" i="19"/>
  <c r="B20" i="19"/>
  <c r="A20" i="19"/>
  <c r="R19" i="19"/>
  <c r="Q19" i="19"/>
  <c r="P19" i="19"/>
  <c r="O19" i="19"/>
  <c r="N19" i="19"/>
  <c r="M19" i="19"/>
  <c r="L19" i="19"/>
  <c r="K19" i="19"/>
  <c r="J19" i="19"/>
  <c r="D19" i="19"/>
  <c r="B19" i="19"/>
  <c r="A19" i="19"/>
  <c r="R18" i="19"/>
  <c r="Q18" i="19"/>
  <c r="P18" i="19"/>
  <c r="O18" i="19"/>
  <c r="K18" i="19"/>
  <c r="J18" i="19"/>
  <c r="D18" i="19"/>
  <c r="B18" i="19"/>
  <c r="A18" i="19"/>
  <c r="R17" i="19"/>
  <c r="Q17" i="19"/>
  <c r="P17" i="19"/>
  <c r="O17" i="19"/>
  <c r="L17" i="19"/>
  <c r="J17" i="19"/>
  <c r="D17" i="19"/>
  <c r="B17" i="19"/>
  <c r="A17" i="19"/>
  <c r="R16" i="19"/>
  <c r="Q16" i="19"/>
  <c r="P16" i="19"/>
  <c r="O16" i="19"/>
  <c r="N16" i="19"/>
  <c r="M16" i="19"/>
  <c r="L16" i="19"/>
  <c r="K16" i="19"/>
  <c r="J16" i="19"/>
  <c r="D16" i="19"/>
  <c r="B16" i="19"/>
  <c r="A16" i="19"/>
  <c r="R15" i="19"/>
  <c r="Q15" i="19"/>
  <c r="P15" i="19"/>
  <c r="O15" i="19"/>
  <c r="N15" i="19"/>
  <c r="M15" i="19"/>
  <c r="L15" i="19"/>
  <c r="K15" i="19"/>
  <c r="J15" i="19"/>
  <c r="D15" i="19"/>
  <c r="B15" i="19"/>
  <c r="A15" i="19"/>
  <c r="R14" i="19"/>
  <c r="Q14" i="19"/>
  <c r="P14" i="19"/>
  <c r="O14" i="19"/>
  <c r="L14" i="19"/>
  <c r="K14" i="19"/>
  <c r="J14" i="19"/>
  <c r="D14" i="19"/>
  <c r="B14" i="19"/>
  <c r="A14" i="19"/>
  <c r="R13" i="19"/>
  <c r="Q13" i="19"/>
  <c r="P13" i="19"/>
  <c r="O13" i="19"/>
  <c r="L13" i="19"/>
  <c r="K13" i="19"/>
  <c r="J13" i="19"/>
  <c r="D13" i="19"/>
  <c r="B13" i="19"/>
  <c r="A13" i="19"/>
  <c r="R12" i="19"/>
  <c r="Q12" i="19"/>
  <c r="P12" i="19"/>
  <c r="O12" i="19"/>
  <c r="L12" i="19"/>
  <c r="J12" i="19"/>
  <c r="D12" i="19"/>
  <c r="B12" i="19"/>
  <c r="A12" i="19"/>
  <c r="R11" i="19"/>
  <c r="Q11" i="19"/>
  <c r="P11" i="19"/>
  <c r="O11" i="19"/>
  <c r="L11" i="19"/>
  <c r="K11" i="19"/>
  <c r="J11" i="19"/>
  <c r="D11" i="19"/>
  <c r="B11" i="19"/>
  <c r="A11" i="19"/>
  <c r="R10" i="19"/>
  <c r="Q10" i="19"/>
  <c r="P10" i="19"/>
  <c r="O10" i="19"/>
  <c r="N10" i="19"/>
  <c r="M10" i="19"/>
  <c r="L10" i="19"/>
  <c r="K10" i="19"/>
  <c r="J10" i="19"/>
  <c r="D10" i="19"/>
  <c r="B10" i="19"/>
  <c r="A10" i="19"/>
  <c r="R9" i="19"/>
  <c r="Q9" i="19"/>
  <c r="P9" i="19"/>
  <c r="O9" i="19"/>
  <c r="K9" i="19"/>
  <c r="J9" i="19"/>
  <c r="D9" i="19"/>
  <c r="B9" i="19"/>
  <c r="A9" i="19"/>
  <c r="R8" i="19"/>
  <c r="Q8" i="19"/>
  <c r="P8" i="19"/>
  <c r="O8" i="19"/>
  <c r="K8" i="19"/>
  <c r="J8" i="19"/>
  <c r="D8" i="19"/>
  <c r="B8" i="19"/>
  <c r="A8" i="19"/>
  <c r="R7" i="19"/>
  <c r="Q7" i="19"/>
  <c r="P7" i="19"/>
  <c r="O7" i="19"/>
  <c r="J7" i="19"/>
  <c r="D7" i="19"/>
  <c r="B7" i="19"/>
  <c r="A7" i="19"/>
  <c r="R6" i="19"/>
  <c r="Q6" i="19"/>
  <c r="P6" i="19"/>
  <c r="O6" i="19"/>
  <c r="L6" i="19"/>
  <c r="J6" i="19"/>
  <c r="D6" i="19"/>
  <c r="B6" i="19"/>
  <c r="A6" i="19"/>
  <c r="R5" i="19"/>
  <c r="Q5" i="19"/>
  <c r="P5" i="19"/>
  <c r="O5" i="19"/>
  <c r="L5" i="19"/>
  <c r="K5" i="19"/>
  <c r="J5" i="19"/>
  <c r="B5" i="19"/>
  <c r="A5" i="19"/>
  <c r="N4" i="19"/>
  <c r="M4" i="19"/>
  <c r="L4" i="19"/>
  <c r="K4" i="19"/>
  <c r="J4" i="19"/>
  <c r="I4" i="19"/>
  <c r="I39" i="19" s="1"/>
  <c r="H4" i="19"/>
  <c r="H39" i="19" s="1"/>
  <c r="G4" i="19"/>
  <c r="G39" i="19" s="1"/>
  <c r="F4" i="19"/>
  <c r="F39" i="19" s="1"/>
  <c r="E4" i="19"/>
  <c r="E39" i="19" s="1"/>
  <c r="D4" i="19"/>
  <c r="B4" i="19"/>
  <c r="A4" i="19"/>
  <c r="S3" i="19"/>
  <c r="R3" i="19"/>
  <c r="Q3" i="19"/>
  <c r="P3" i="19"/>
  <c r="O3" i="19"/>
  <c r="J3" i="19"/>
  <c r="E3" i="19"/>
  <c r="A3" i="19"/>
  <c r="N65" i="18"/>
  <c r="N64" i="18"/>
  <c r="N63" i="18"/>
  <c r="N62" i="18"/>
  <c r="N61" i="18"/>
  <c r="N60" i="18"/>
  <c r="N59" i="18"/>
  <c r="N58" i="18"/>
  <c r="N57" i="18"/>
  <c r="N56" i="18"/>
  <c r="N55" i="18"/>
  <c r="N54" i="18"/>
  <c r="N53" i="18"/>
  <c r="N52" i="18"/>
  <c r="N51" i="18"/>
  <c r="N50" i="18"/>
  <c r="N49" i="18"/>
  <c r="A49" i="18"/>
  <c r="V48" i="18"/>
  <c r="A48" i="18"/>
  <c r="V47" i="18"/>
  <c r="V46" i="18"/>
  <c r="Q44" i="18"/>
  <c r="A44" i="18"/>
  <c r="Q43" i="18"/>
  <c r="A43" i="18"/>
  <c r="Q42" i="18"/>
  <c r="A42" i="18"/>
  <c r="A41" i="18"/>
  <c r="A40" i="18"/>
  <c r="R21" i="18"/>
  <c r="Q21" i="18"/>
  <c r="P21" i="18"/>
  <c r="O21" i="18"/>
  <c r="N21" i="18"/>
  <c r="M21" i="18"/>
  <c r="L21" i="18"/>
  <c r="K21" i="18"/>
  <c r="J21" i="18"/>
  <c r="D21" i="18"/>
  <c r="B21" i="18"/>
  <c r="A21" i="18"/>
  <c r="R20" i="18"/>
  <c r="Q20" i="18"/>
  <c r="P20" i="18"/>
  <c r="O20" i="18"/>
  <c r="N20" i="18"/>
  <c r="M20" i="18"/>
  <c r="L20" i="18"/>
  <c r="K20" i="18"/>
  <c r="J20" i="18"/>
  <c r="D20" i="18"/>
  <c r="B20" i="18"/>
  <c r="A20" i="18"/>
  <c r="R19" i="18"/>
  <c r="Q19" i="18"/>
  <c r="P19" i="18"/>
  <c r="O19" i="18"/>
  <c r="N19" i="18"/>
  <c r="M19" i="18"/>
  <c r="L19" i="18"/>
  <c r="K19" i="18"/>
  <c r="J19" i="18"/>
  <c r="D19" i="18"/>
  <c r="B19" i="18"/>
  <c r="A19" i="18"/>
  <c r="R18" i="18"/>
  <c r="Q18" i="18"/>
  <c r="P18" i="18"/>
  <c r="O18" i="18"/>
  <c r="K18" i="18"/>
  <c r="J18" i="18"/>
  <c r="D18" i="18"/>
  <c r="B18" i="18"/>
  <c r="A18" i="18"/>
  <c r="R17" i="18"/>
  <c r="Q17" i="18"/>
  <c r="P17" i="18"/>
  <c r="O17" i="18"/>
  <c r="L17" i="18"/>
  <c r="J17" i="18"/>
  <c r="D17" i="18"/>
  <c r="B17" i="18"/>
  <c r="A17" i="18"/>
  <c r="R16" i="18"/>
  <c r="Q16" i="18"/>
  <c r="P16" i="18"/>
  <c r="O16" i="18"/>
  <c r="N16" i="18"/>
  <c r="M16" i="18"/>
  <c r="L16" i="18"/>
  <c r="K16" i="18"/>
  <c r="J16" i="18"/>
  <c r="D16" i="18"/>
  <c r="B16" i="18"/>
  <c r="A16" i="18"/>
  <c r="R15" i="18"/>
  <c r="Q15" i="18"/>
  <c r="P15" i="18"/>
  <c r="O15" i="18"/>
  <c r="N15" i="18"/>
  <c r="M15" i="18"/>
  <c r="L15" i="18"/>
  <c r="K15" i="18"/>
  <c r="J15" i="18"/>
  <c r="D15" i="18"/>
  <c r="B15" i="18"/>
  <c r="A15" i="18"/>
  <c r="R14" i="18"/>
  <c r="Q14" i="18"/>
  <c r="P14" i="18"/>
  <c r="O14" i="18"/>
  <c r="L14" i="18"/>
  <c r="K14" i="18"/>
  <c r="J14" i="18"/>
  <c r="D14" i="18"/>
  <c r="B14" i="18"/>
  <c r="A14" i="18"/>
  <c r="R13" i="18"/>
  <c r="Q13" i="18"/>
  <c r="P13" i="18"/>
  <c r="O13" i="18"/>
  <c r="L13" i="18"/>
  <c r="K13" i="18"/>
  <c r="J13" i="18"/>
  <c r="D13" i="18"/>
  <c r="B13" i="18"/>
  <c r="A13" i="18"/>
  <c r="R12" i="18"/>
  <c r="Q12" i="18"/>
  <c r="P12" i="18"/>
  <c r="O12" i="18"/>
  <c r="L12" i="18"/>
  <c r="J12" i="18"/>
  <c r="D12" i="18"/>
  <c r="B12" i="18"/>
  <c r="A12" i="18"/>
  <c r="R11" i="18"/>
  <c r="Q11" i="18"/>
  <c r="P11" i="18"/>
  <c r="O11" i="18"/>
  <c r="L11" i="18"/>
  <c r="K11" i="18"/>
  <c r="J11" i="18"/>
  <c r="D11" i="18"/>
  <c r="B11" i="18"/>
  <c r="A11" i="18"/>
  <c r="R10" i="18"/>
  <c r="Q10" i="18"/>
  <c r="P10" i="18"/>
  <c r="O10" i="18"/>
  <c r="N10" i="18"/>
  <c r="M10" i="18"/>
  <c r="L10" i="18"/>
  <c r="K10" i="18"/>
  <c r="J10" i="18"/>
  <c r="D10" i="18"/>
  <c r="B10" i="18"/>
  <c r="A10" i="18"/>
  <c r="R9" i="18"/>
  <c r="Q9" i="18"/>
  <c r="P9" i="18"/>
  <c r="O9" i="18"/>
  <c r="K9" i="18"/>
  <c r="J9" i="18"/>
  <c r="D9" i="18"/>
  <c r="B9" i="18"/>
  <c r="A9" i="18"/>
  <c r="R8" i="18"/>
  <c r="Q8" i="18"/>
  <c r="P8" i="18"/>
  <c r="O8" i="18"/>
  <c r="K8" i="18"/>
  <c r="J8" i="18"/>
  <c r="D8" i="18"/>
  <c r="B8" i="18"/>
  <c r="A8" i="18"/>
  <c r="R7" i="18"/>
  <c r="Q7" i="18"/>
  <c r="P7" i="18"/>
  <c r="O7" i="18"/>
  <c r="J7" i="18"/>
  <c r="D7" i="18"/>
  <c r="B7" i="18"/>
  <c r="A7" i="18"/>
  <c r="R6" i="18"/>
  <c r="Q6" i="18"/>
  <c r="P6" i="18"/>
  <c r="O6" i="18"/>
  <c r="L6" i="18"/>
  <c r="J6" i="18"/>
  <c r="D6" i="18"/>
  <c r="B6" i="18"/>
  <c r="A6" i="18"/>
  <c r="R5" i="18"/>
  <c r="Q5" i="18"/>
  <c r="P5" i="18"/>
  <c r="O5" i="18"/>
  <c r="L5" i="18"/>
  <c r="K5" i="18"/>
  <c r="J5" i="18"/>
  <c r="B5" i="18"/>
  <c r="A5" i="18"/>
  <c r="N4" i="18"/>
  <c r="M4" i="18"/>
  <c r="L4" i="18"/>
  <c r="K4" i="18"/>
  <c r="J4" i="18"/>
  <c r="I4" i="18"/>
  <c r="I39" i="18" s="1"/>
  <c r="H4" i="18"/>
  <c r="H39" i="18" s="1"/>
  <c r="G4" i="18"/>
  <c r="G39" i="18" s="1"/>
  <c r="F4" i="18"/>
  <c r="F39" i="18" s="1"/>
  <c r="E4" i="18"/>
  <c r="E39" i="18" s="1"/>
  <c r="D4" i="18"/>
  <c r="B4" i="18"/>
  <c r="A4" i="18"/>
  <c r="S3" i="18"/>
  <c r="R3" i="18"/>
  <c r="Q3" i="18"/>
  <c r="P3" i="18"/>
  <c r="O3" i="18"/>
  <c r="J3" i="18"/>
  <c r="E3" i="18"/>
  <c r="A3" i="18"/>
  <c r="U24" i="1"/>
  <c r="O25" i="1"/>
  <c r="O26" i="1"/>
  <c r="O39" i="1"/>
  <c r="M25" i="1"/>
  <c r="T6" i="18" s="1"/>
  <c r="M26" i="1"/>
  <c r="T7" i="18" s="1"/>
  <c r="T5" i="18"/>
  <c r="W5" i="18" l="1"/>
  <c r="AA5" i="18"/>
  <c r="Y23" i="19"/>
  <c r="Y22" i="19"/>
  <c r="Y25" i="19"/>
  <c r="Y24" i="19"/>
  <c r="Y24" i="18"/>
  <c r="Y23" i="18"/>
  <c r="Y22" i="18"/>
  <c r="AA24" i="1"/>
  <c r="U5" i="25" s="1"/>
  <c r="T68" i="25"/>
  <c r="U20" i="18"/>
  <c r="U81" i="18"/>
  <c r="T83" i="19"/>
  <c r="U7" i="18"/>
  <c r="U68" i="18"/>
  <c r="T70" i="19"/>
  <c r="U5" i="19"/>
  <c r="Z5" i="19" s="1"/>
  <c r="U68" i="19"/>
  <c r="U6" i="18"/>
  <c r="T69" i="19"/>
  <c r="U67" i="18"/>
  <c r="U39" i="1"/>
  <c r="S24" i="1"/>
  <c r="E49" i="18"/>
  <c r="F49" i="18" s="1"/>
  <c r="E48" i="18"/>
  <c r="F48" i="18" s="1"/>
  <c r="L40" i="18"/>
  <c r="U26" i="1"/>
  <c r="L40" i="19"/>
  <c r="S26" i="1"/>
  <c r="U25" i="1"/>
  <c r="S25" i="1"/>
  <c r="L41" i="19"/>
  <c r="K40" i="19"/>
  <c r="K41" i="19"/>
  <c r="K40" i="18"/>
  <c r="K41" i="18"/>
  <c r="L41" i="18"/>
  <c r="N63" i="13"/>
  <c r="N64" i="13"/>
  <c r="N65" i="13"/>
  <c r="N62" i="13"/>
  <c r="V47" i="13"/>
  <c r="V48" i="13"/>
  <c r="N61" i="13"/>
  <c r="T5" i="13"/>
  <c r="N50" i="13"/>
  <c r="N51" i="13"/>
  <c r="N52" i="13"/>
  <c r="N53" i="13"/>
  <c r="N54" i="13"/>
  <c r="N55" i="13"/>
  <c r="N56" i="13"/>
  <c r="N57" i="13"/>
  <c r="N58" i="13"/>
  <c r="N59" i="13"/>
  <c r="N60" i="13"/>
  <c r="N49" i="13"/>
  <c r="Q52" i="13"/>
  <c r="Q56" i="13"/>
  <c r="Q60" i="13"/>
  <c r="C71" i="6"/>
  <c r="C70" i="6"/>
  <c r="C69" i="6"/>
  <c r="V6" i="13"/>
  <c r="V7" i="13"/>
  <c r="V8" i="13"/>
  <c r="V9" i="13"/>
  <c r="V10" i="13"/>
  <c r="V11" i="13"/>
  <c r="V12" i="13"/>
  <c r="V13" i="13"/>
  <c r="V14" i="13"/>
  <c r="V15" i="13"/>
  <c r="V16" i="13"/>
  <c r="V17" i="13"/>
  <c r="V18" i="13"/>
  <c r="V19" i="13"/>
  <c r="V20" i="13"/>
  <c r="V21" i="13"/>
  <c r="V5" i="13"/>
  <c r="U5" i="13"/>
  <c r="Q44" i="13"/>
  <c r="Q43" i="13"/>
  <c r="Q42" i="13"/>
  <c r="A44" i="13"/>
  <c r="A43" i="13"/>
  <c r="A42" i="13"/>
  <c r="A41" i="13"/>
  <c r="U6" i="13"/>
  <c r="U7" i="13"/>
  <c r="U20" i="13"/>
  <c r="D49" i="13"/>
  <c r="E49" i="13" s="1"/>
  <c r="F49" i="13" s="1"/>
  <c r="D48" i="13"/>
  <c r="E48" i="13" s="1"/>
  <c r="A49" i="13"/>
  <c r="A48" i="13"/>
  <c r="T6" i="13"/>
  <c r="T7" i="13"/>
  <c r="P3" i="13"/>
  <c r="Q3" i="13"/>
  <c r="R3" i="13"/>
  <c r="S3" i="13"/>
  <c r="O3" i="13"/>
  <c r="J3" i="13"/>
  <c r="E3" i="13"/>
  <c r="A3" i="13"/>
  <c r="G5" i="13"/>
  <c r="J5" i="13"/>
  <c r="K5" i="13"/>
  <c r="L5" i="13"/>
  <c r="O5" i="13"/>
  <c r="P5" i="13"/>
  <c r="Q5" i="13"/>
  <c r="R5" i="13"/>
  <c r="G6" i="13"/>
  <c r="J6" i="13"/>
  <c r="L6" i="13"/>
  <c r="O6" i="13"/>
  <c r="P6" i="13"/>
  <c r="Q6" i="13"/>
  <c r="R6" i="13"/>
  <c r="J7" i="13"/>
  <c r="O7" i="13"/>
  <c r="P7" i="13"/>
  <c r="Q7" i="13"/>
  <c r="R7" i="13"/>
  <c r="J8" i="13"/>
  <c r="K8" i="13"/>
  <c r="O8" i="13"/>
  <c r="P8" i="13"/>
  <c r="Q8" i="13"/>
  <c r="R8" i="13"/>
  <c r="J9" i="13"/>
  <c r="K9" i="13"/>
  <c r="O9" i="13"/>
  <c r="P9" i="13"/>
  <c r="Q9" i="13"/>
  <c r="R9" i="13"/>
  <c r="G10" i="13"/>
  <c r="J10" i="13"/>
  <c r="K10" i="13"/>
  <c r="L10" i="13"/>
  <c r="M10" i="13"/>
  <c r="N10" i="13"/>
  <c r="O10" i="13"/>
  <c r="P10" i="13"/>
  <c r="Q10" i="13"/>
  <c r="R10" i="13"/>
  <c r="G11" i="13"/>
  <c r="J11" i="13"/>
  <c r="K11" i="13"/>
  <c r="L11" i="13"/>
  <c r="O11" i="13"/>
  <c r="P11" i="13"/>
  <c r="Q11" i="13"/>
  <c r="R11" i="13"/>
  <c r="G12" i="13"/>
  <c r="J12" i="13"/>
  <c r="L12" i="13"/>
  <c r="O12" i="13"/>
  <c r="P12" i="13"/>
  <c r="Q12" i="13"/>
  <c r="R12" i="13"/>
  <c r="J13" i="13"/>
  <c r="K13" i="13"/>
  <c r="L13" i="13"/>
  <c r="O13" i="13"/>
  <c r="P13" i="13"/>
  <c r="Q13" i="13"/>
  <c r="R13" i="13"/>
  <c r="G14" i="13"/>
  <c r="J14" i="13"/>
  <c r="K14" i="13"/>
  <c r="L14" i="13"/>
  <c r="O14" i="13"/>
  <c r="P14" i="13"/>
  <c r="Q14" i="13"/>
  <c r="R14" i="13"/>
  <c r="G15" i="13"/>
  <c r="H15" i="13"/>
  <c r="H15" i="18" s="1"/>
  <c r="I15" i="13"/>
  <c r="I15" i="18" s="1"/>
  <c r="J15" i="13"/>
  <c r="K15" i="13"/>
  <c r="L15" i="13"/>
  <c r="M15" i="13"/>
  <c r="N15" i="13"/>
  <c r="O15" i="13"/>
  <c r="P15" i="13"/>
  <c r="Q15" i="13"/>
  <c r="R15" i="13"/>
  <c r="G16" i="13"/>
  <c r="H16" i="13"/>
  <c r="H16" i="18" s="1"/>
  <c r="I16" i="13"/>
  <c r="I16" i="18" s="1"/>
  <c r="J16" i="13"/>
  <c r="K16" i="13"/>
  <c r="L16" i="13"/>
  <c r="M16" i="13"/>
  <c r="N16" i="13"/>
  <c r="O16" i="13"/>
  <c r="P16" i="13"/>
  <c r="Q16" i="13"/>
  <c r="R16" i="13"/>
  <c r="J17" i="13"/>
  <c r="L17" i="13"/>
  <c r="O17" i="13"/>
  <c r="P17" i="13"/>
  <c r="Q17" i="13"/>
  <c r="R17" i="13"/>
  <c r="J18" i="13"/>
  <c r="K18" i="13"/>
  <c r="O18" i="13"/>
  <c r="P18" i="13"/>
  <c r="Q18" i="13"/>
  <c r="R18" i="13"/>
  <c r="G19" i="13"/>
  <c r="J19" i="13"/>
  <c r="K19" i="13"/>
  <c r="L19" i="13"/>
  <c r="M19" i="13"/>
  <c r="N19" i="13"/>
  <c r="O19" i="13"/>
  <c r="P19" i="13"/>
  <c r="Q19" i="13"/>
  <c r="R19" i="13"/>
  <c r="G20" i="13"/>
  <c r="H20" i="13"/>
  <c r="H20" i="18" s="1"/>
  <c r="I20" i="13"/>
  <c r="I20" i="18" s="1"/>
  <c r="J20" i="13"/>
  <c r="K20" i="13"/>
  <c r="L20" i="13"/>
  <c r="M20" i="13"/>
  <c r="N20" i="13"/>
  <c r="O20" i="13"/>
  <c r="P20" i="13"/>
  <c r="Q20" i="13"/>
  <c r="R20" i="13"/>
  <c r="G21" i="13"/>
  <c r="H21" i="13"/>
  <c r="H21" i="18" s="1"/>
  <c r="I21" i="13"/>
  <c r="I21" i="18" s="1"/>
  <c r="J21" i="13"/>
  <c r="K21" i="13"/>
  <c r="L21" i="13"/>
  <c r="M21" i="13"/>
  <c r="N21" i="13"/>
  <c r="O21" i="13"/>
  <c r="P21" i="13"/>
  <c r="Q21" i="13"/>
  <c r="R21" i="13"/>
  <c r="F5" i="13"/>
  <c r="F8" i="13"/>
  <c r="F9" i="13"/>
  <c r="F10" i="13"/>
  <c r="F11" i="13"/>
  <c r="F13" i="13"/>
  <c r="F14" i="13"/>
  <c r="F15" i="13"/>
  <c r="F16" i="13"/>
  <c r="F18" i="13"/>
  <c r="F19" i="13"/>
  <c r="F20" i="13"/>
  <c r="F21" i="13"/>
  <c r="E5" i="13"/>
  <c r="E5" i="18" s="1"/>
  <c r="E6" i="18"/>
  <c r="E7" i="13"/>
  <c r="E7" i="18" s="1"/>
  <c r="E8" i="13"/>
  <c r="E8" i="18" s="1"/>
  <c r="E9" i="13"/>
  <c r="E9" i="18" s="1"/>
  <c r="E10" i="13"/>
  <c r="E10" i="18" s="1"/>
  <c r="E11" i="13"/>
  <c r="E11" i="18" s="1"/>
  <c r="E12" i="13"/>
  <c r="E12" i="18" s="1"/>
  <c r="E13" i="13"/>
  <c r="E13" i="18" s="1"/>
  <c r="E14" i="13"/>
  <c r="E14" i="18" s="1"/>
  <c r="E15" i="13"/>
  <c r="E15" i="18" s="1"/>
  <c r="E16" i="13"/>
  <c r="E16" i="18" s="1"/>
  <c r="E17" i="13"/>
  <c r="E17" i="18" s="1"/>
  <c r="E18" i="13"/>
  <c r="E18" i="18" s="1"/>
  <c r="E19" i="13"/>
  <c r="E19" i="18" s="1"/>
  <c r="E20" i="13"/>
  <c r="E20" i="18" s="1"/>
  <c r="E21" i="13"/>
  <c r="E21" i="18" s="1"/>
  <c r="D6" i="13"/>
  <c r="D7" i="13"/>
  <c r="D8" i="13"/>
  <c r="D9" i="13"/>
  <c r="D10" i="13"/>
  <c r="D11" i="13"/>
  <c r="D12" i="13"/>
  <c r="D13" i="13"/>
  <c r="D14" i="13"/>
  <c r="D15" i="13"/>
  <c r="D16" i="13"/>
  <c r="D17" i="13"/>
  <c r="D18" i="13"/>
  <c r="D19" i="13"/>
  <c r="D20" i="13"/>
  <c r="D21" i="13"/>
  <c r="B5" i="13"/>
  <c r="B6" i="13"/>
  <c r="B7" i="13"/>
  <c r="B8" i="13"/>
  <c r="B9" i="13"/>
  <c r="B10" i="13"/>
  <c r="B11" i="13"/>
  <c r="B12" i="13"/>
  <c r="B13" i="13"/>
  <c r="B14" i="13"/>
  <c r="B15" i="13"/>
  <c r="B16" i="13"/>
  <c r="B17" i="13"/>
  <c r="B18" i="13"/>
  <c r="B19" i="13"/>
  <c r="B20" i="13"/>
  <c r="B21" i="13"/>
  <c r="A5" i="13"/>
  <c r="U54" i="13" s="1"/>
  <c r="A6" i="13"/>
  <c r="U55" i="13" s="1"/>
  <c r="A7" i="13"/>
  <c r="U56" i="13" s="1"/>
  <c r="A8" i="13"/>
  <c r="U57" i="13" s="1"/>
  <c r="A9" i="13"/>
  <c r="U58" i="13" s="1"/>
  <c r="A10" i="13"/>
  <c r="U59" i="13" s="1"/>
  <c r="A11" i="13"/>
  <c r="U60" i="13" s="1"/>
  <c r="A12" i="13"/>
  <c r="U61" i="13" s="1"/>
  <c r="A13" i="13"/>
  <c r="U62" i="13" s="1"/>
  <c r="A14" i="13"/>
  <c r="U63" i="13" s="1"/>
  <c r="A15" i="13"/>
  <c r="U64" i="13" s="1"/>
  <c r="A16" i="13"/>
  <c r="U65" i="13" s="1"/>
  <c r="A17" i="13"/>
  <c r="U66" i="13" s="1"/>
  <c r="A18" i="13"/>
  <c r="U67" i="13" s="1"/>
  <c r="A19" i="13"/>
  <c r="U68" i="13" s="1"/>
  <c r="A20" i="13"/>
  <c r="U69" i="13" s="1"/>
  <c r="A21" i="13"/>
  <c r="U70" i="13" s="1"/>
  <c r="B4" i="13"/>
  <c r="D4" i="13"/>
  <c r="E4" i="13"/>
  <c r="E39" i="13" s="1"/>
  <c r="F4" i="13"/>
  <c r="F39" i="13" s="1"/>
  <c r="G4" i="13"/>
  <c r="G39" i="13" s="1"/>
  <c r="H4" i="13"/>
  <c r="H39" i="13" s="1"/>
  <c r="I4" i="13"/>
  <c r="I39" i="13" s="1"/>
  <c r="J4" i="13"/>
  <c r="K4" i="13"/>
  <c r="L4" i="13"/>
  <c r="M4" i="13"/>
  <c r="N4" i="13"/>
  <c r="A4" i="13"/>
  <c r="Y5" i="18" l="1"/>
  <c r="E12" i="19"/>
  <c r="E19" i="19"/>
  <c r="E15" i="19"/>
  <c r="E11" i="19"/>
  <c r="E7" i="19"/>
  <c r="H16" i="19"/>
  <c r="H15" i="19"/>
  <c r="E20" i="19"/>
  <c r="E18" i="19"/>
  <c r="E14" i="19"/>
  <c r="E10" i="19"/>
  <c r="E6" i="19"/>
  <c r="I21" i="19"/>
  <c r="I20" i="19"/>
  <c r="E16" i="19"/>
  <c r="E8" i="19"/>
  <c r="I16" i="19"/>
  <c r="I15" i="19"/>
  <c r="E21" i="19"/>
  <c r="E17" i="19"/>
  <c r="E13" i="19"/>
  <c r="E9" i="19"/>
  <c r="E5" i="19"/>
  <c r="H21" i="19"/>
  <c r="H20" i="19"/>
  <c r="Z5" i="13"/>
  <c r="T69" i="25"/>
  <c r="AA25" i="1"/>
  <c r="U6" i="25" s="1"/>
  <c r="T83" i="25"/>
  <c r="AA39" i="1"/>
  <c r="U20" i="25" s="1"/>
  <c r="T7" i="19"/>
  <c r="Y26" i="1"/>
  <c r="AA5" i="25"/>
  <c r="T6" i="19"/>
  <c r="Y25" i="1"/>
  <c r="AA26" i="1"/>
  <c r="U7" i="25" s="1"/>
  <c r="T70" i="25"/>
  <c r="T5" i="19"/>
  <c r="Y24" i="1"/>
  <c r="AE24" i="1" s="1"/>
  <c r="AG24" i="1"/>
  <c r="U5" i="26" s="1"/>
  <c r="AA5" i="26" s="1"/>
  <c r="U68" i="25"/>
  <c r="T68" i="26"/>
  <c r="AA5" i="13"/>
  <c r="Z20" i="13"/>
  <c r="AA20" i="13"/>
  <c r="Z20" i="18"/>
  <c r="AA20" i="18"/>
  <c r="W5" i="13"/>
  <c r="Y5" i="13"/>
  <c r="W6" i="13"/>
  <c r="Y23" i="13"/>
  <c r="Y30" i="13"/>
  <c r="Y29" i="13"/>
  <c r="Y28" i="13"/>
  <c r="Y26" i="13"/>
  <c r="Y25" i="13"/>
  <c r="Y24" i="13"/>
  <c r="W68" i="19"/>
  <c r="W81" i="18"/>
  <c r="W68" i="18"/>
  <c r="W67" i="18"/>
  <c r="U6" i="19"/>
  <c r="U69" i="19"/>
  <c r="U20" i="19"/>
  <c r="U83" i="19"/>
  <c r="W7" i="13"/>
  <c r="U7" i="19"/>
  <c r="U70" i="19"/>
  <c r="T13" i="13"/>
  <c r="M32" i="1"/>
  <c r="T21" i="13"/>
  <c r="M40" i="1"/>
  <c r="T20" i="13"/>
  <c r="W20" i="13" s="1"/>
  <c r="M39" i="1"/>
  <c r="T16" i="13"/>
  <c r="M35" i="1"/>
  <c r="T12" i="13"/>
  <c r="M31" i="1"/>
  <c r="T8" i="13"/>
  <c r="M27" i="1"/>
  <c r="T17" i="13"/>
  <c r="M36" i="1"/>
  <c r="T19" i="13"/>
  <c r="M38" i="1"/>
  <c r="T15" i="13"/>
  <c r="M34" i="1"/>
  <c r="T11" i="13"/>
  <c r="M30" i="1"/>
  <c r="T9" i="13"/>
  <c r="M28" i="1"/>
  <c r="T18" i="13"/>
  <c r="M37" i="1"/>
  <c r="T14" i="13"/>
  <c r="M33" i="1"/>
  <c r="T10" i="13"/>
  <c r="L40" i="13"/>
  <c r="K41" i="13"/>
  <c r="L41" i="13"/>
  <c r="K40" i="13"/>
  <c r="F48" i="13"/>
  <c r="R24" i="14"/>
  <c r="R25" i="14"/>
  <c r="R29" i="14"/>
  <c r="R30" i="14"/>
  <c r="D25" i="1"/>
  <c r="D26" i="1"/>
  <c r="D27" i="1"/>
  <c r="I27" i="1" s="1"/>
  <c r="D28" i="1"/>
  <c r="I28" i="1" s="1"/>
  <c r="D29" i="1"/>
  <c r="D30" i="1"/>
  <c r="D31" i="1"/>
  <c r="I31" i="1" s="1"/>
  <c r="D32" i="1"/>
  <c r="I32" i="1" s="1"/>
  <c r="D33" i="1"/>
  <c r="D34" i="1"/>
  <c r="D35" i="1"/>
  <c r="D36" i="1"/>
  <c r="I36" i="1" s="1"/>
  <c r="D37" i="1"/>
  <c r="I37" i="1" s="1"/>
  <c r="D38" i="1"/>
  <c r="D39" i="1"/>
  <c r="D40" i="1"/>
  <c r="A93" i="1"/>
  <c r="A39" i="1" s="1"/>
  <c r="A94" i="1"/>
  <c r="A40" i="1" s="1"/>
  <c r="A91" i="1"/>
  <c r="A37" i="1" s="1"/>
  <c r="A92" i="1"/>
  <c r="A38" i="1" s="1"/>
  <c r="A79" i="1"/>
  <c r="A25" i="1" s="1"/>
  <c r="A80" i="1"/>
  <c r="A26" i="1" s="1"/>
  <c r="A81" i="1"/>
  <c r="A27" i="1" s="1"/>
  <c r="A82" i="1"/>
  <c r="A28" i="1" s="1"/>
  <c r="A83" i="1"/>
  <c r="A29" i="1" s="1"/>
  <c r="A84" i="1"/>
  <c r="A30" i="1" s="1"/>
  <c r="A85" i="1"/>
  <c r="A31" i="1" s="1"/>
  <c r="A86" i="1"/>
  <c r="A32" i="1" s="1"/>
  <c r="A87" i="1"/>
  <c r="A33" i="1" s="1"/>
  <c r="A88" i="1"/>
  <c r="A34" i="1" s="1"/>
  <c r="A89" i="1"/>
  <c r="A35" i="1" s="1"/>
  <c r="A90" i="1"/>
  <c r="A36" i="1" s="1"/>
  <c r="A78" i="1"/>
  <c r="A24" i="1" s="1"/>
  <c r="D20" i="1"/>
  <c r="D19" i="1"/>
  <c r="W7" i="19" l="1"/>
  <c r="Y7" i="19" s="1"/>
  <c r="W5" i="19"/>
  <c r="Y5" i="19" s="1"/>
  <c r="AE25" i="1"/>
  <c r="T6" i="26" s="1"/>
  <c r="T6" i="25"/>
  <c r="AE26" i="1"/>
  <c r="T7" i="26" s="1"/>
  <c r="T7" i="25"/>
  <c r="W5" i="25"/>
  <c r="Y5" i="25" s="1"/>
  <c r="S21" i="26"/>
  <c r="S21" i="25"/>
  <c r="S20" i="26"/>
  <c r="S20" i="25"/>
  <c r="S16" i="26"/>
  <c r="S16" i="25"/>
  <c r="U68" i="26"/>
  <c r="W5" i="26" s="1"/>
  <c r="I14" i="1"/>
  <c r="D14" i="1"/>
  <c r="S15" i="26"/>
  <c r="S15" i="25"/>
  <c r="X68" i="25"/>
  <c r="AG26" i="1"/>
  <c r="U70" i="25"/>
  <c r="W7" i="25" s="1"/>
  <c r="T70" i="26"/>
  <c r="Z20" i="25"/>
  <c r="AD20" i="25"/>
  <c r="AB20" i="25"/>
  <c r="AA20" i="25"/>
  <c r="T83" i="26"/>
  <c r="AG39" i="1"/>
  <c r="U83" i="25"/>
  <c r="W83" i="25" s="1"/>
  <c r="U69" i="25"/>
  <c r="T69" i="26"/>
  <c r="AG25" i="1"/>
  <c r="AA20" i="19"/>
  <c r="AB64" i="19" s="1"/>
  <c r="Z20" i="19"/>
  <c r="AA64" i="19" s="1"/>
  <c r="W68" i="25"/>
  <c r="Y7" i="13"/>
  <c r="X68" i="19"/>
  <c r="Y68" i="19" s="1"/>
  <c r="X68" i="18"/>
  <c r="Y68" i="18" s="1"/>
  <c r="AC7" i="18" s="1"/>
  <c r="X67" i="18"/>
  <c r="Y67" i="18" s="1"/>
  <c r="X81" i="18"/>
  <c r="Y81" i="18" s="1"/>
  <c r="AC20" i="18" s="1"/>
  <c r="Y20" i="18"/>
  <c r="I12" i="1"/>
  <c r="I16" i="1"/>
  <c r="I10" i="1"/>
  <c r="K49" i="13" s="1"/>
  <c r="X70" i="19"/>
  <c r="Y34" i="13"/>
  <c r="AE34" i="13" s="1"/>
  <c r="I107" i="1" s="1"/>
  <c r="Y36" i="13"/>
  <c r="AE36" i="13" s="1"/>
  <c r="I109" i="1" s="1"/>
  <c r="Y20" i="13"/>
  <c r="Y6" i="13"/>
  <c r="Y33" i="13"/>
  <c r="AE33" i="13" s="1"/>
  <c r="I106" i="1" s="1"/>
  <c r="Y32" i="13"/>
  <c r="AE32" i="13" s="1"/>
  <c r="I105" i="1" s="1"/>
  <c r="Y35" i="13"/>
  <c r="AE35" i="13" s="1"/>
  <c r="I108" i="1" s="1"/>
  <c r="Y31" i="13"/>
  <c r="AE31" i="13" s="1"/>
  <c r="I104" i="1" s="1"/>
  <c r="Y27" i="13"/>
  <c r="AE27" i="13" s="1"/>
  <c r="I100" i="1" s="1"/>
  <c r="W7" i="18"/>
  <c r="Y7" i="18" s="1"/>
  <c r="W83" i="19"/>
  <c r="W70" i="19"/>
  <c r="W69" i="19"/>
  <c r="W6" i="18"/>
  <c r="Y6" i="18" s="1"/>
  <c r="W57" i="13"/>
  <c r="T69" i="18"/>
  <c r="T80" i="18"/>
  <c r="W68" i="13"/>
  <c r="T76" i="18"/>
  <c r="W64" i="13"/>
  <c r="W61" i="13"/>
  <c r="T73" i="18"/>
  <c r="W67" i="13"/>
  <c r="T79" i="18"/>
  <c r="T71" i="18"/>
  <c r="W59" i="13"/>
  <c r="T82" i="18"/>
  <c r="W70" i="13"/>
  <c r="W66" i="13"/>
  <c r="T78" i="18"/>
  <c r="W62" i="13"/>
  <c r="T74" i="18"/>
  <c r="W58" i="13"/>
  <c r="T70" i="18"/>
  <c r="D12" i="1"/>
  <c r="D10" i="1"/>
  <c r="D16" i="1"/>
  <c r="D93" i="1"/>
  <c r="S20" i="19"/>
  <c r="S20" i="18"/>
  <c r="S20" i="13"/>
  <c r="D89" i="1"/>
  <c r="S16" i="19"/>
  <c r="S16" i="18"/>
  <c r="S16" i="13"/>
  <c r="D88" i="1"/>
  <c r="S15" i="18"/>
  <c r="S15" i="19"/>
  <c r="S15" i="13"/>
  <c r="D94" i="1"/>
  <c r="S21" i="19"/>
  <c r="S21" i="18"/>
  <c r="S21" i="13"/>
  <c r="S29" i="1"/>
  <c r="T10" i="18"/>
  <c r="S37" i="1"/>
  <c r="T18" i="18"/>
  <c r="S30" i="1"/>
  <c r="T11" i="18"/>
  <c r="S38" i="1"/>
  <c r="T19" i="18"/>
  <c r="S27" i="1"/>
  <c r="T8" i="18"/>
  <c r="S35" i="1"/>
  <c r="T16" i="18"/>
  <c r="S40" i="1"/>
  <c r="T21" i="18"/>
  <c r="S33" i="1"/>
  <c r="T14" i="18"/>
  <c r="S28" i="1"/>
  <c r="T9" i="18"/>
  <c r="S34" i="1"/>
  <c r="T15" i="18"/>
  <c r="S36" i="1"/>
  <c r="T17" i="18"/>
  <c r="S31" i="1"/>
  <c r="T12" i="18"/>
  <c r="S39" i="1"/>
  <c r="T20" i="18"/>
  <c r="W20" i="18" s="1"/>
  <c r="S32" i="1"/>
  <c r="T13" i="18"/>
  <c r="U19" i="13"/>
  <c r="AB19" i="13" s="1"/>
  <c r="O38" i="1"/>
  <c r="U15" i="13"/>
  <c r="O34" i="1"/>
  <c r="U11" i="13"/>
  <c r="O30" i="1"/>
  <c r="U18" i="13"/>
  <c r="O37" i="1"/>
  <c r="U14" i="13"/>
  <c r="O33" i="1"/>
  <c r="U10" i="13"/>
  <c r="U21" i="13"/>
  <c r="U17" i="13"/>
  <c r="O36" i="1"/>
  <c r="U13" i="13"/>
  <c r="O32" i="1"/>
  <c r="U9" i="13"/>
  <c r="O28" i="1"/>
  <c r="U16" i="13"/>
  <c r="O35" i="1"/>
  <c r="U12" i="13"/>
  <c r="O31" i="1"/>
  <c r="O27" i="1"/>
  <c r="U8" i="13"/>
  <c r="L23" i="17"/>
  <c r="D65" i="1"/>
  <c r="C4" i="11"/>
  <c r="D4" i="11" s="1"/>
  <c r="C1" i="11"/>
  <c r="F1" i="11" s="1"/>
  <c r="F22" i="14"/>
  <c r="G13" i="13" s="1"/>
  <c r="J15" i="14"/>
  <c r="E15" i="14"/>
  <c r="F6" i="13" s="1"/>
  <c r="K16" i="14"/>
  <c r="F16" i="14"/>
  <c r="G7" i="13" s="1"/>
  <c r="J16" i="14"/>
  <c r="E16" i="14"/>
  <c r="F7" i="13" s="1"/>
  <c r="K18" i="14"/>
  <c r="K17" i="14"/>
  <c r="F18" i="14"/>
  <c r="G9" i="13" s="1"/>
  <c r="F17" i="14"/>
  <c r="G8" i="13" s="1"/>
  <c r="K27" i="14"/>
  <c r="F27" i="14"/>
  <c r="G18" i="13" s="1"/>
  <c r="J21" i="14"/>
  <c r="E21" i="14"/>
  <c r="F12" i="13" s="1"/>
  <c r="J26" i="14"/>
  <c r="E26" i="14"/>
  <c r="F17" i="13" s="1"/>
  <c r="Y70" i="19" l="1"/>
  <c r="AC7" i="19" s="1"/>
  <c r="W6" i="19"/>
  <c r="Y6" i="19" s="1"/>
  <c r="Y20" i="19"/>
  <c r="W20" i="19"/>
  <c r="Y7" i="25"/>
  <c r="U70" i="26"/>
  <c r="U7" i="26"/>
  <c r="W6" i="25"/>
  <c r="Y6" i="25" s="1"/>
  <c r="U69" i="26"/>
  <c r="U6" i="26"/>
  <c r="U83" i="26"/>
  <c r="W83" i="26" s="1"/>
  <c r="U20" i="26"/>
  <c r="Y68" i="25"/>
  <c r="AC5" i="25" s="1"/>
  <c r="Y5" i="26"/>
  <c r="L8" i="26"/>
  <c r="L8" i="25"/>
  <c r="L18" i="26"/>
  <c r="L18" i="25"/>
  <c r="L9" i="26"/>
  <c r="L9" i="25"/>
  <c r="L7" i="25"/>
  <c r="L7" i="26"/>
  <c r="K17" i="26"/>
  <c r="K17" i="25"/>
  <c r="O14" i="1"/>
  <c r="K51" i="18" s="1"/>
  <c r="W6" i="26"/>
  <c r="AA7" i="13"/>
  <c r="Z7" i="13"/>
  <c r="Z6" i="13"/>
  <c r="AA6" i="13"/>
  <c r="K12" i="26"/>
  <c r="K12" i="25"/>
  <c r="K7" i="26"/>
  <c r="K7" i="25"/>
  <c r="K6" i="26"/>
  <c r="K6" i="25"/>
  <c r="T13" i="19"/>
  <c r="Y32" i="1"/>
  <c r="T12" i="19"/>
  <c r="Y31" i="1"/>
  <c r="T15" i="19"/>
  <c r="Y34" i="1"/>
  <c r="T14" i="19"/>
  <c r="Y33" i="1"/>
  <c r="T16" i="19"/>
  <c r="Y35" i="1"/>
  <c r="T19" i="19"/>
  <c r="Y38" i="1"/>
  <c r="T18" i="19"/>
  <c r="Y37" i="1"/>
  <c r="X69" i="25"/>
  <c r="X69" i="26"/>
  <c r="X68" i="26"/>
  <c r="W7" i="26"/>
  <c r="X70" i="25"/>
  <c r="T20" i="19"/>
  <c r="Y39" i="1"/>
  <c r="T17" i="19"/>
  <c r="Y36" i="1"/>
  <c r="T9" i="19"/>
  <c r="Y28" i="1"/>
  <c r="T21" i="19"/>
  <c r="Y40" i="1"/>
  <c r="T8" i="19"/>
  <c r="Y27" i="1"/>
  <c r="T11" i="19"/>
  <c r="Y30" i="1"/>
  <c r="T10" i="19"/>
  <c r="Y29" i="1"/>
  <c r="Z8" i="13"/>
  <c r="AA8" i="13"/>
  <c r="W14" i="13"/>
  <c r="AA14" i="13"/>
  <c r="Z14" i="13"/>
  <c r="AA11" i="13"/>
  <c r="Z11" i="13"/>
  <c r="AA19" i="13"/>
  <c r="Z19" i="13"/>
  <c r="W68" i="26"/>
  <c r="W69" i="25"/>
  <c r="AA9" i="13"/>
  <c r="Z9" i="13"/>
  <c r="Z16" i="13"/>
  <c r="AA16" i="13"/>
  <c r="AA13" i="13"/>
  <c r="Z13" i="13"/>
  <c r="AA21" i="13"/>
  <c r="Z21" i="13"/>
  <c r="W70" i="25"/>
  <c r="AA18" i="13"/>
  <c r="Z18" i="13"/>
  <c r="AA10" i="13"/>
  <c r="Z10" i="13"/>
  <c r="Z12" i="13"/>
  <c r="AA12" i="13"/>
  <c r="AA17" i="13"/>
  <c r="Z17" i="13"/>
  <c r="AC5" i="19"/>
  <c r="O16" i="1"/>
  <c r="K52" i="18" s="1"/>
  <c r="O10" i="1"/>
  <c r="K49" i="18" s="1"/>
  <c r="O12" i="1"/>
  <c r="K57" i="18" s="1"/>
  <c r="AC6" i="18"/>
  <c r="X83" i="19"/>
  <c r="Y83" i="19" s="1"/>
  <c r="AC20" i="19" s="1"/>
  <c r="X71" i="18"/>
  <c r="X69" i="19"/>
  <c r="Y69" i="19" s="1"/>
  <c r="AC6" i="19" s="1"/>
  <c r="U73" i="18"/>
  <c r="T75" i="19"/>
  <c r="Y58" i="13"/>
  <c r="X58" i="13"/>
  <c r="Z58" i="13" s="1"/>
  <c r="T77" i="19"/>
  <c r="U75" i="18"/>
  <c r="U72" i="18"/>
  <c r="T74" i="19"/>
  <c r="T82" i="19"/>
  <c r="U80" i="18"/>
  <c r="Y70" i="13"/>
  <c r="X70" i="13"/>
  <c r="Y64" i="13"/>
  <c r="X64" i="13"/>
  <c r="W15" i="13" s="1"/>
  <c r="U78" i="18"/>
  <c r="T80" i="19"/>
  <c r="Y66" i="13"/>
  <c r="X66" i="13"/>
  <c r="U77" i="18"/>
  <c r="T79" i="19"/>
  <c r="U74" i="18"/>
  <c r="T76" i="19"/>
  <c r="T84" i="19"/>
  <c r="U82" i="18"/>
  <c r="Y62" i="13"/>
  <c r="X62" i="13"/>
  <c r="Y67" i="13"/>
  <c r="X67" i="13"/>
  <c r="Y57" i="13"/>
  <c r="X57" i="13"/>
  <c r="T72" i="19"/>
  <c r="U70" i="18"/>
  <c r="Y61" i="13"/>
  <c r="X61" i="13"/>
  <c r="U69" i="18"/>
  <c r="T71" i="19"/>
  <c r="T81" i="19"/>
  <c r="U79" i="18"/>
  <c r="U76" i="18"/>
  <c r="T78" i="19"/>
  <c r="Y59" i="13"/>
  <c r="X59" i="13"/>
  <c r="Y68" i="13"/>
  <c r="X68" i="13"/>
  <c r="W12" i="13"/>
  <c r="W8" i="13"/>
  <c r="W11" i="13"/>
  <c r="W16" i="13"/>
  <c r="K12" i="19"/>
  <c r="K12" i="18"/>
  <c r="K12" i="13"/>
  <c r="K6" i="18"/>
  <c r="K6" i="19"/>
  <c r="K6" i="13"/>
  <c r="L18" i="18"/>
  <c r="L18" i="19"/>
  <c r="L18" i="13"/>
  <c r="L7" i="19"/>
  <c r="L7" i="18"/>
  <c r="L7" i="13"/>
  <c r="L8" i="18"/>
  <c r="L8" i="19"/>
  <c r="L8" i="13"/>
  <c r="L9" i="18"/>
  <c r="L9" i="19"/>
  <c r="L9" i="13"/>
  <c r="K7" i="18"/>
  <c r="K7" i="19"/>
  <c r="K7" i="13"/>
  <c r="K17" i="18"/>
  <c r="K17" i="19"/>
  <c r="K17" i="13"/>
  <c r="U27" i="1"/>
  <c r="U8" i="18"/>
  <c r="U31" i="1"/>
  <c r="T75" i="25" s="1"/>
  <c r="U12" i="18"/>
  <c r="U28" i="1"/>
  <c r="T72" i="25" s="1"/>
  <c r="U9" i="18"/>
  <c r="U36" i="1"/>
  <c r="T80" i="25" s="1"/>
  <c r="U17" i="18"/>
  <c r="Z17" i="18" s="1"/>
  <c r="U29" i="1"/>
  <c r="U10" i="18"/>
  <c r="U37" i="1"/>
  <c r="T81" i="25" s="1"/>
  <c r="U18" i="18"/>
  <c r="U34" i="1"/>
  <c r="U15" i="18"/>
  <c r="U35" i="1"/>
  <c r="U16" i="18"/>
  <c r="U32" i="1"/>
  <c r="T76" i="25" s="1"/>
  <c r="U13" i="18"/>
  <c r="U40" i="1"/>
  <c r="U21" i="18"/>
  <c r="AA21" i="18" s="1"/>
  <c r="U33" i="1"/>
  <c r="U14" i="18"/>
  <c r="U30" i="1"/>
  <c r="U11" i="18"/>
  <c r="U38" i="1"/>
  <c r="T82" i="25" s="1"/>
  <c r="U19" i="18"/>
  <c r="K57" i="13"/>
  <c r="K50" i="13"/>
  <c r="K58" i="13"/>
  <c r="K51" i="13"/>
  <c r="K59" i="13"/>
  <c r="K52" i="13"/>
  <c r="K56" i="13"/>
  <c r="D67" i="1"/>
  <c r="A50" i="12"/>
  <c r="A97" i="12" s="1"/>
  <c r="A85" i="12"/>
  <c r="A132" i="12" s="1"/>
  <c r="A86" i="12"/>
  <c r="A87" i="12"/>
  <c r="A88" i="12"/>
  <c r="A89" i="12"/>
  <c r="A90" i="12"/>
  <c r="A91" i="12"/>
  <c r="A92" i="12"/>
  <c r="A93" i="12"/>
  <c r="A94" i="12"/>
  <c r="A95" i="12"/>
  <c r="A96" i="12"/>
  <c r="T15" i="4"/>
  <c r="R15" i="4"/>
  <c r="Q15" i="4"/>
  <c r="T14" i="4"/>
  <c r="R14" i="4"/>
  <c r="Q14" i="4"/>
  <c r="Q12" i="4"/>
  <c r="R12" i="4"/>
  <c r="T12" i="4"/>
  <c r="U12" i="4"/>
  <c r="H43" i="5"/>
  <c r="D28" i="4"/>
  <c r="D25" i="4"/>
  <c r="F147" i="14"/>
  <c r="J147" i="14" s="1"/>
  <c r="G147" i="14"/>
  <c r="K147" i="14" s="1"/>
  <c r="H147" i="14"/>
  <c r="P147" i="14" s="1"/>
  <c r="F148" i="14"/>
  <c r="J148" i="14" s="1"/>
  <c r="G148" i="14"/>
  <c r="O148" i="14" s="1"/>
  <c r="H148" i="14"/>
  <c r="L148" i="14" s="1"/>
  <c r="B149" i="14"/>
  <c r="C149" i="14"/>
  <c r="D149" i="14"/>
  <c r="F149" i="14" s="1"/>
  <c r="N149" i="14" s="1"/>
  <c r="E149" i="14"/>
  <c r="H149" i="14" s="1"/>
  <c r="F150" i="14"/>
  <c r="J150" i="14" s="1"/>
  <c r="G150" i="14"/>
  <c r="K150" i="14" s="1"/>
  <c r="H150" i="14"/>
  <c r="L150" i="14" s="1"/>
  <c r="B151" i="14"/>
  <c r="C151" i="14"/>
  <c r="H151" i="14" s="1"/>
  <c r="P151" i="14" s="1"/>
  <c r="D151" i="14"/>
  <c r="E151" i="14"/>
  <c r="F151" i="14" s="1"/>
  <c r="F152" i="14"/>
  <c r="J152" i="14" s="1"/>
  <c r="G152" i="14"/>
  <c r="O152" i="14" s="1"/>
  <c r="H152" i="14"/>
  <c r="L152" i="14" s="1"/>
  <c r="F153" i="14"/>
  <c r="N153" i="14" s="1"/>
  <c r="G153" i="14"/>
  <c r="K153" i="14" s="1"/>
  <c r="H153" i="14"/>
  <c r="P153" i="14" s="1"/>
  <c r="F154" i="14"/>
  <c r="J154" i="14" s="1"/>
  <c r="G154" i="14"/>
  <c r="K154" i="14" s="1"/>
  <c r="H154" i="14"/>
  <c r="L154" i="14" s="1"/>
  <c r="F155" i="14"/>
  <c r="J155" i="14" s="1"/>
  <c r="G155" i="14"/>
  <c r="K155" i="14" s="1"/>
  <c r="H155" i="14"/>
  <c r="P155" i="14" s="1"/>
  <c r="F156" i="14"/>
  <c r="J156" i="14" s="1"/>
  <c r="G156" i="14"/>
  <c r="O156" i="14" s="1"/>
  <c r="H156" i="14"/>
  <c r="L156" i="14" s="1"/>
  <c r="F157" i="14"/>
  <c r="N157" i="14" s="1"/>
  <c r="G157" i="14"/>
  <c r="K157" i="14" s="1"/>
  <c r="H157" i="14"/>
  <c r="L157" i="14" s="1"/>
  <c r="F158" i="14"/>
  <c r="J158" i="14" s="1"/>
  <c r="G158" i="14"/>
  <c r="O158" i="14" s="1"/>
  <c r="H158" i="14"/>
  <c r="L158" i="14" s="1"/>
  <c r="F159" i="14"/>
  <c r="N159" i="14" s="1"/>
  <c r="G159" i="14"/>
  <c r="K159" i="14" s="1"/>
  <c r="H159" i="14"/>
  <c r="P159" i="14" s="1"/>
  <c r="H42" i="5"/>
  <c r="H40" i="5"/>
  <c r="J2" i="11"/>
  <c r="M8" i="11" s="1"/>
  <c r="C25" i="5"/>
  <c r="C18" i="5"/>
  <c r="C8" i="11" s="1"/>
  <c r="C16" i="5"/>
  <c r="D27" i="4"/>
  <c r="D20" i="4"/>
  <c r="J137" i="14"/>
  <c r="R137" i="14" s="1"/>
  <c r="I137" i="14"/>
  <c r="M137" i="14" s="1"/>
  <c r="H137" i="14"/>
  <c r="L137" i="14" s="1"/>
  <c r="J133" i="14"/>
  <c r="N133" i="14" s="1"/>
  <c r="I133" i="14"/>
  <c r="M133" i="14" s="1"/>
  <c r="H133" i="14"/>
  <c r="P133" i="14" s="1"/>
  <c r="J129" i="14"/>
  <c r="N129" i="14" s="1"/>
  <c r="I129" i="14"/>
  <c r="Q129" i="14" s="1"/>
  <c r="H129" i="14"/>
  <c r="P129" i="14" s="1"/>
  <c r="J125" i="14"/>
  <c r="R125" i="14" s="1"/>
  <c r="I125" i="14"/>
  <c r="Q125" i="14" s="1"/>
  <c r="H125" i="14"/>
  <c r="L125" i="14" s="1"/>
  <c r="I117" i="14"/>
  <c r="Q117" i="14" s="1"/>
  <c r="J116" i="14"/>
  <c r="N116" i="14" s="1"/>
  <c r="I116" i="14"/>
  <c r="Q116" i="14" s="1"/>
  <c r="H116" i="14"/>
  <c r="L116" i="14" s="1"/>
  <c r="J115" i="14"/>
  <c r="R115" i="14" s="1"/>
  <c r="I115" i="14"/>
  <c r="M115" i="14" s="1"/>
  <c r="H115" i="14"/>
  <c r="L115" i="14" s="1"/>
  <c r="J114" i="14"/>
  <c r="N114" i="14" s="1"/>
  <c r="I114" i="14"/>
  <c r="M114" i="14" s="1"/>
  <c r="H114" i="14"/>
  <c r="L114" i="14" s="1"/>
  <c r="J113" i="14"/>
  <c r="N113" i="14" s="1"/>
  <c r="I113" i="14"/>
  <c r="Q113" i="14" s="1"/>
  <c r="H113" i="14"/>
  <c r="P113" i="14" s="1"/>
  <c r="J105" i="14"/>
  <c r="R105" i="14" s="1"/>
  <c r="J109" i="14"/>
  <c r="R109" i="14" s="1"/>
  <c r="I109" i="14"/>
  <c r="M109" i="14" s="1"/>
  <c r="H109" i="14"/>
  <c r="L109" i="14" s="1"/>
  <c r="J108" i="14"/>
  <c r="N108" i="14" s="1"/>
  <c r="I108" i="14"/>
  <c r="M108" i="14" s="1"/>
  <c r="H108" i="14"/>
  <c r="P108" i="14" s="1"/>
  <c r="J107" i="14"/>
  <c r="N107" i="14" s="1"/>
  <c r="I107" i="14"/>
  <c r="M107" i="14" s="1"/>
  <c r="H107" i="14"/>
  <c r="P107" i="14" s="1"/>
  <c r="J106" i="14"/>
  <c r="I106" i="14"/>
  <c r="Q106" i="14" s="1"/>
  <c r="H106" i="14"/>
  <c r="L106" i="14" s="1"/>
  <c r="I105" i="14"/>
  <c r="M105" i="14" s="1"/>
  <c r="H105" i="14"/>
  <c r="L105" i="14" s="1"/>
  <c r="J104" i="14"/>
  <c r="N104" i="14" s="1"/>
  <c r="I104" i="14"/>
  <c r="M104" i="14" s="1"/>
  <c r="H104" i="14"/>
  <c r="P104" i="14" s="1"/>
  <c r="J103" i="14"/>
  <c r="N103" i="14" s="1"/>
  <c r="I103" i="14"/>
  <c r="Q103" i="14" s="1"/>
  <c r="H103" i="14"/>
  <c r="P103" i="14" s="1"/>
  <c r="J99" i="14"/>
  <c r="R99" i="14" s="1"/>
  <c r="I99" i="14"/>
  <c r="Q99" i="14" s="1"/>
  <c r="H99" i="14"/>
  <c r="L99" i="14" s="1"/>
  <c r="J98" i="14"/>
  <c r="R98" i="14" s="1"/>
  <c r="I98" i="14"/>
  <c r="M98" i="14" s="1"/>
  <c r="H98" i="14"/>
  <c r="L98" i="14" s="1"/>
  <c r="J97" i="14"/>
  <c r="N97" i="14" s="1"/>
  <c r="I97" i="14"/>
  <c r="M97" i="14" s="1"/>
  <c r="H97" i="14"/>
  <c r="L97" i="14" s="1"/>
  <c r="J96" i="14"/>
  <c r="N96" i="14" s="1"/>
  <c r="I96" i="14"/>
  <c r="Q96" i="14" s="1"/>
  <c r="H96" i="14"/>
  <c r="P96" i="14" s="1"/>
  <c r="J95" i="14"/>
  <c r="R95" i="14" s="1"/>
  <c r="I95" i="14"/>
  <c r="Q95" i="14" s="1"/>
  <c r="H95" i="14"/>
  <c r="L95" i="14" s="1"/>
  <c r="J94" i="14"/>
  <c r="R94" i="14" s="1"/>
  <c r="I94" i="14"/>
  <c r="M94" i="14" s="1"/>
  <c r="H94" i="14"/>
  <c r="L94" i="14" s="1"/>
  <c r="J93" i="14"/>
  <c r="N93" i="14" s="1"/>
  <c r="I93" i="14"/>
  <c r="M93" i="14" s="1"/>
  <c r="H93" i="14"/>
  <c r="P93" i="14" s="1"/>
  <c r="J89" i="14"/>
  <c r="N89" i="14" s="1"/>
  <c r="I89" i="14"/>
  <c r="Q89" i="14" s="1"/>
  <c r="H89" i="14"/>
  <c r="P89" i="14" s="1"/>
  <c r="J88" i="14"/>
  <c r="R88" i="14" s="1"/>
  <c r="I88" i="14"/>
  <c r="Q88" i="14" s="1"/>
  <c r="H88" i="14"/>
  <c r="L88" i="14" s="1"/>
  <c r="J87" i="14"/>
  <c r="R87" i="14" s="1"/>
  <c r="I87" i="14"/>
  <c r="M87" i="14" s="1"/>
  <c r="H87" i="14"/>
  <c r="L87" i="14" s="1"/>
  <c r="J86" i="14"/>
  <c r="N86" i="14" s="1"/>
  <c r="I86" i="14"/>
  <c r="M86" i="14" s="1"/>
  <c r="H86" i="14"/>
  <c r="P86" i="14" s="1"/>
  <c r="J85" i="14"/>
  <c r="N85" i="14" s="1"/>
  <c r="I85" i="14"/>
  <c r="Q85" i="14" s="1"/>
  <c r="H85" i="14"/>
  <c r="P85" i="14" s="1"/>
  <c r="J84" i="14"/>
  <c r="N84" i="14" s="1"/>
  <c r="I84" i="14"/>
  <c r="Q84" i="14" s="1"/>
  <c r="H84" i="14"/>
  <c r="L84" i="14" s="1"/>
  <c r="J83" i="14"/>
  <c r="R83" i="14" s="1"/>
  <c r="I83" i="14"/>
  <c r="M83" i="14" s="1"/>
  <c r="H83" i="14"/>
  <c r="L83" i="14" s="1"/>
  <c r="J79" i="14"/>
  <c r="N79" i="14" s="1"/>
  <c r="I79" i="14"/>
  <c r="M79" i="14" s="1"/>
  <c r="H79" i="14"/>
  <c r="P79" i="14" s="1"/>
  <c r="J78" i="14"/>
  <c r="N78" i="14" s="1"/>
  <c r="I78" i="14"/>
  <c r="Q78" i="14" s="1"/>
  <c r="H78" i="14"/>
  <c r="P78" i="14" s="1"/>
  <c r="J77" i="14"/>
  <c r="R77" i="14" s="1"/>
  <c r="I77" i="14"/>
  <c r="Q77" i="14" s="1"/>
  <c r="H77" i="14"/>
  <c r="L77" i="14" s="1"/>
  <c r="J76" i="14"/>
  <c r="R76" i="14" s="1"/>
  <c r="I76" i="14"/>
  <c r="M76" i="14" s="1"/>
  <c r="H76" i="14"/>
  <c r="L76" i="14" s="1"/>
  <c r="J75" i="14"/>
  <c r="N75" i="14" s="1"/>
  <c r="I75" i="14"/>
  <c r="M75" i="14" s="1"/>
  <c r="H75" i="14"/>
  <c r="L75" i="14" s="1"/>
  <c r="J74" i="14"/>
  <c r="N74" i="14" s="1"/>
  <c r="I74" i="14"/>
  <c r="Q74" i="14" s="1"/>
  <c r="H74" i="14"/>
  <c r="P74" i="14" s="1"/>
  <c r="J73" i="14"/>
  <c r="R73" i="14" s="1"/>
  <c r="I73" i="14"/>
  <c r="Q73" i="14" s="1"/>
  <c r="H73" i="14"/>
  <c r="L73" i="14" s="1"/>
  <c r="J69" i="14"/>
  <c r="R69" i="14" s="1"/>
  <c r="I69" i="14"/>
  <c r="M69" i="14" s="1"/>
  <c r="H69" i="14"/>
  <c r="L69" i="14" s="1"/>
  <c r="J68" i="14"/>
  <c r="N68" i="14" s="1"/>
  <c r="I68" i="14"/>
  <c r="M68" i="14" s="1"/>
  <c r="H68" i="14"/>
  <c r="P68" i="14" s="1"/>
  <c r="J67" i="14"/>
  <c r="N67" i="14" s="1"/>
  <c r="I67" i="14"/>
  <c r="Q67" i="14" s="1"/>
  <c r="H67" i="14"/>
  <c r="P67" i="14" s="1"/>
  <c r="J66" i="14"/>
  <c r="N66" i="14" s="1"/>
  <c r="I66" i="14"/>
  <c r="Q66" i="14" s="1"/>
  <c r="H66" i="14"/>
  <c r="L66" i="14" s="1"/>
  <c r="J65" i="14"/>
  <c r="R65" i="14" s="1"/>
  <c r="I65" i="14"/>
  <c r="M65" i="14" s="1"/>
  <c r="H65" i="14"/>
  <c r="L65" i="14" s="1"/>
  <c r="J64" i="14"/>
  <c r="N64" i="14" s="1"/>
  <c r="I64" i="14"/>
  <c r="M64" i="14" s="1"/>
  <c r="H64" i="14"/>
  <c r="P64" i="14" s="1"/>
  <c r="J63" i="14"/>
  <c r="N63" i="14" s="1"/>
  <c r="I63" i="14"/>
  <c r="H63" i="14"/>
  <c r="P63" i="14" s="1"/>
  <c r="J55" i="14"/>
  <c r="N55" i="14" s="1"/>
  <c r="I55" i="14"/>
  <c r="Q55" i="14" s="1"/>
  <c r="H55" i="14"/>
  <c r="L55" i="14" s="1"/>
  <c r="J54" i="14"/>
  <c r="R54" i="14" s="1"/>
  <c r="I54" i="14"/>
  <c r="M54" i="14" s="1"/>
  <c r="H54" i="14"/>
  <c r="L54" i="14" s="1"/>
  <c r="J53" i="14"/>
  <c r="N53" i="14" s="1"/>
  <c r="I53" i="14"/>
  <c r="M53" i="14" s="1"/>
  <c r="H53" i="14"/>
  <c r="P53" i="14" s="1"/>
  <c r="J52" i="14"/>
  <c r="N52" i="14" s="1"/>
  <c r="I52" i="14"/>
  <c r="Q52" i="14" s="1"/>
  <c r="H52" i="14"/>
  <c r="P52" i="14" s="1"/>
  <c r="J51" i="14"/>
  <c r="R51" i="14" s="1"/>
  <c r="I51" i="14"/>
  <c r="Q51" i="14" s="1"/>
  <c r="H51" i="14"/>
  <c r="L51" i="14" s="1"/>
  <c r="E22" i="6"/>
  <c r="E23" i="6"/>
  <c r="E24" i="6"/>
  <c r="E34" i="6"/>
  <c r="C67" i="6" s="1"/>
  <c r="C61" i="6"/>
  <c r="E12" i="6"/>
  <c r="E13" i="6"/>
  <c r="A54" i="6"/>
  <c r="A55" i="6"/>
  <c r="A56" i="6"/>
  <c r="A53" i="6"/>
  <c r="A49" i="6"/>
  <c r="A50" i="6"/>
  <c r="A51" i="6"/>
  <c r="A52" i="6"/>
  <c r="A48" i="6"/>
  <c r="A44" i="6"/>
  <c r="A45" i="6"/>
  <c r="A46" i="6"/>
  <c r="A47" i="6"/>
  <c r="A43" i="6"/>
  <c r="F17" i="17"/>
  <c r="F16" i="17"/>
  <c r="F15" i="17"/>
  <c r="F14" i="17"/>
  <c r="F13" i="17"/>
  <c r="F12" i="17"/>
  <c r="Y70" i="25" l="1"/>
  <c r="AC7" i="25" s="1"/>
  <c r="Y6" i="26"/>
  <c r="Y69" i="25"/>
  <c r="AC6" i="25" s="1"/>
  <c r="AE29" i="1"/>
  <c r="T10" i="26" s="1"/>
  <c r="T10" i="25"/>
  <c r="AE27" i="1"/>
  <c r="T8" i="26" s="1"/>
  <c r="T8" i="25"/>
  <c r="AE28" i="1"/>
  <c r="T9" i="26" s="1"/>
  <c r="T9" i="25"/>
  <c r="AE39" i="1"/>
  <c r="T20" i="26" s="1"/>
  <c r="T20" i="25"/>
  <c r="AE37" i="1"/>
  <c r="T18" i="26" s="1"/>
  <c r="T18" i="25"/>
  <c r="AE35" i="1"/>
  <c r="T16" i="26" s="1"/>
  <c r="T16" i="25"/>
  <c r="AE34" i="1"/>
  <c r="T15" i="26" s="1"/>
  <c r="T15" i="25"/>
  <c r="AE32" i="1"/>
  <c r="T13" i="26" s="1"/>
  <c r="T13" i="25"/>
  <c r="Y7" i="26"/>
  <c r="Y20" i="25"/>
  <c r="W20" i="25"/>
  <c r="AE30" i="1"/>
  <c r="T11" i="26" s="1"/>
  <c r="T11" i="25"/>
  <c r="AE40" i="1"/>
  <c r="T21" i="26" s="1"/>
  <c r="T21" i="25"/>
  <c r="AE36" i="1"/>
  <c r="T17" i="26" s="1"/>
  <c r="T17" i="25"/>
  <c r="AE38" i="1"/>
  <c r="T19" i="26" s="1"/>
  <c r="T19" i="25"/>
  <c r="AE33" i="1"/>
  <c r="T14" i="26" s="1"/>
  <c r="T14" i="25"/>
  <c r="AE31" i="1"/>
  <c r="T12" i="26" s="1"/>
  <c r="T12" i="25"/>
  <c r="AB20" i="26"/>
  <c r="AD20" i="26"/>
  <c r="AA20" i="26"/>
  <c r="Z20" i="26"/>
  <c r="Y16" i="13"/>
  <c r="Y14" i="13"/>
  <c r="Y11" i="13"/>
  <c r="Y68" i="26"/>
  <c r="AC5" i="26" s="1"/>
  <c r="E40" i="13"/>
  <c r="J40" i="13" s="1"/>
  <c r="E40" i="25"/>
  <c r="J40" i="25" s="1"/>
  <c r="J45" i="25" s="1"/>
  <c r="C64" i="25" s="1"/>
  <c r="E40" i="26"/>
  <c r="J40" i="26" s="1"/>
  <c r="J45" i="26" s="1"/>
  <c r="C64" i="26" s="1"/>
  <c r="Z6" i="18"/>
  <c r="AA6" i="18"/>
  <c r="W70" i="26"/>
  <c r="E41" i="26"/>
  <c r="J41" i="26" s="1"/>
  <c r="E41" i="25"/>
  <c r="J41" i="25" s="1"/>
  <c r="T71" i="25"/>
  <c r="U14" i="1"/>
  <c r="Z7" i="18"/>
  <c r="AA7" i="18"/>
  <c r="AA40" i="1"/>
  <c r="U21" i="25" s="1"/>
  <c r="T84" i="25"/>
  <c r="X83" i="25"/>
  <c r="Y83" i="25" s="1"/>
  <c r="AC20" i="25" s="1"/>
  <c r="K59" i="18"/>
  <c r="T77" i="25"/>
  <c r="AA33" i="1"/>
  <c r="U14" i="25" s="1"/>
  <c r="T74" i="25"/>
  <c r="AA30" i="1"/>
  <c r="U11" i="25" s="1"/>
  <c r="T79" i="25"/>
  <c r="AA35" i="1"/>
  <c r="U16" i="25" s="1"/>
  <c r="AA34" i="1"/>
  <c r="U15" i="25" s="1"/>
  <c r="T78" i="25"/>
  <c r="AA29" i="1"/>
  <c r="U10" i="25" s="1"/>
  <c r="T73" i="25"/>
  <c r="X70" i="26"/>
  <c r="AA11" i="18"/>
  <c r="Z11" i="18"/>
  <c r="Z21" i="18"/>
  <c r="Z16" i="18"/>
  <c r="AA16" i="18"/>
  <c r="AA18" i="18"/>
  <c r="Z18" i="18"/>
  <c r="AA17" i="18"/>
  <c r="Z12" i="18"/>
  <c r="AA12" i="18"/>
  <c r="AA19" i="18"/>
  <c r="Z19" i="18"/>
  <c r="AA14" i="18"/>
  <c r="Z14" i="18"/>
  <c r="AA13" i="18"/>
  <c r="Z13" i="18"/>
  <c r="AA9" i="18"/>
  <c r="Z9" i="18"/>
  <c r="Z8" i="18"/>
  <c r="AA8" i="18"/>
  <c r="W69" i="26"/>
  <c r="Y69" i="26" s="1"/>
  <c r="AC6" i="26" s="1"/>
  <c r="X79" i="18"/>
  <c r="X80" i="18"/>
  <c r="Y19" i="18"/>
  <c r="AA28" i="1"/>
  <c r="U9" i="25" s="1"/>
  <c r="AA27" i="1"/>
  <c r="U8" i="25" s="1"/>
  <c r="U12" i="1"/>
  <c r="U10" i="1"/>
  <c r="U16" i="1"/>
  <c r="AA38" i="1"/>
  <c r="U19" i="25" s="1"/>
  <c r="AA32" i="1"/>
  <c r="U13" i="25" s="1"/>
  <c r="AA37" i="1"/>
  <c r="U18" i="25" s="1"/>
  <c r="AA36" i="1"/>
  <c r="U17" i="25" s="1"/>
  <c r="AA31" i="1"/>
  <c r="U12" i="25" s="1"/>
  <c r="Z68" i="13"/>
  <c r="AA68" i="13" s="1"/>
  <c r="AC19" i="13" s="1"/>
  <c r="Z67" i="13"/>
  <c r="AA67" i="13" s="1"/>
  <c r="AC18" i="13" s="1"/>
  <c r="Z59" i="13"/>
  <c r="AA59" i="13" s="1"/>
  <c r="AC10" i="13" s="1"/>
  <c r="Z61" i="13"/>
  <c r="AA61" i="13" s="1"/>
  <c r="AC12" i="13" s="1"/>
  <c r="Y12" i="13"/>
  <c r="Z57" i="13"/>
  <c r="AA57" i="13" s="1"/>
  <c r="Y8" i="13"/>
  <c r="Z62" i="13"/>
  <c r="AA62" i="13" s="1"/>
  <c r="AC13" i="13" s="1"/>
  <c r="Z66" i="13"/>
  <c r="AA66" i="13" s="1"/>
  <c r="AC17" i="13" s="1"/>
  <c r="Z64" i="13"/>
  <c r="AA64" i="13" s="1"/>
  <c r="AC15" i="13" s="1"/>
  <c r="Y15" i="13"/>
  <c r="Z70" i="13"/>
  <c r="AA70" i="13" s="1"/>
  <c r="AC21" i="13" s="1"/>
  <c r="K50" i="18"/>
  <c r="W17" i="13"/>
  <c r="Y17" i="13" s="1"/>
  <c r="W19" i="13"/>
  <c r="Y19" i="13" s="1"/>
  <c r="W9" i="13"/>
  <c r="Y9" i="13" s="1"/>
  <c r="W76" i="18"/>
  <c r="W78" i="18"/>
  <c r="K56" i="18"/>
  <c r="K58" i="18"/>
  <c r="W71" i="18"/>
  <c r="Y71" i="18" s="1"/>
  <c r="AC10" i="18" s="1"/>
  <c r="W74" i="18"/>
  <c r="W73" i="18"/>
  <c r="W82" i="18"/>
  <c r="AA58" i="13"/>
  <c r="AC9" i="13" s="1"/>
  <c r="W21" i="13"/>
  <c r="Y21" i="13" s="1"/>
  <c r="W70" i="18"/>
  <c r="W69" i="18"/>
  <c r="W77" i="18"/>
  <c r="W72" i="18"/>
  <c r="W18" i="18"/>
  <c r="Y18" i="18" s="1"/>
  <c r="W79" i="18"/>
  <c r="W19" i="18"/>
  <c r="W80" i="18"/>
  <c r="W75" i="18"/>
  <c r="U19" i="19"/>
  <c r="U82" i="19"/>
  <c r="U14" i="19"/>
  <c r="U77" i="19"/>
  <c r="U13" i="19"/>
  <c r="U76" i="19"/>
  <c r="U18" i="19"/>
  <c r="U81" i="19"/>
  <c r="U17" i="19"/>
  <c r="U80" i="19"/>
  <c r="U12" i="19"/>
  <c r="U75" i="19"/>
  <c r="U8" i="19"/>
  <c r="U71" i="19"/>
  <c r="W13" i="13"/>
  <c r="Y13" i="13" s="1"/>
  <c r="U11" i="19"/>
  <c r="U74" i="19"/>
  <c r="U21" i="19"/>
  <c r="U84" i="19"/>
  <c r="U16" i="19"/>
  <c r="U79" i="19"/>
  <c r="U15" i="19"/>
  <c r="U78" i="19"/>
  <c r="U9" i="19"/>
  <c r="U72" i="19"/>
  <c r="W10" i="13"/>
  <c r="Y10" i="13" s="1"/>
  <c r="W18" i="13"/>
  <c r="Y18" i="13" s="1"/>
  <c r="W10" i="18"/>
  <c r="U10" i="19"/>
  <c r="U73" i="19"/>
  <c r="F20" i="17"/>
  <c r="E50" i="18" s="1"/>
  <c r="F50" i="18" s="1"/>
  <c r="O147" i="14"/>
  <c r="N155" i="14"/>
  <c r="P158" i="14"/>
  <c r="P157" i="14"/>
  <c r="A37" i="12"/>
  <c r="J159" i="14"/>
  <c r="N152" i="14"/>
  <c r="C65" i="6"/>
  <c r="O154" i="14"/>
  <c r="L153" i="14"/>
  <c r="G149" i="14"/>
  <c r="K149" i="14" s="1"/>
  <c r="E41" i="18"/>
  <c r="J41" i="18" s="1"/>
  <c r="E41" i="19"/>
  <c r="J41" i="19" s="1"/>
  <c r="E41" i="13"/>
  <c r="J41" i="13" s="1"/>
  <c r="C66" i="6"/>
  <c r="O155" i="14"/>
  <c r="E40" i="18"/>
  <c r="J40" i="18" s="1"/>
  <c r="E40" i="19"/>
  <c r="J40" i="19" s="1"/>
  <c r="C62" i="6"/>
  <c r="K158" i="14"/>
  <c r="A3" i="12"/>
  <c r="O150" i="14"/>
  <c r="N147" i="14"/>
  <c r="G151" i="14"/>
  <c r="O151" i="14" s="1"/>
  <c r="N156" i="14"/>
  <c r="O159" i="14"/>
  <c r="P154" i="14"/>
  <c r="P150" i="14"/>
  <c r="N148" i="14"/>
  <c r="B8" i="11"/>
  <c r="H8" i="11"/>
  <c r="F3" i="11"/>
  <c r="C3" i="11"/>
  <c r="C33" i="5"/>
  <c r="C2" i="11" s="1"/>
  <c r="F2" i="11"/>
  <c r="S12" i="4"/>
  <c r="N151" i="14"/>
  <c r="J151" i="14"/>
  <c r="P149" i="14"/>
  <c r="L149" i="14"/>
  <c r="L159" i="14"/>
  <c r="N158" i="14"/>
  <c r="O157" i="14"/>
  <c r="J157" i="14"/>
  <c r="P156" i="14"/>
  <c r="K156" i="14"/>
  <c r="L155" i="14"/>
  <c r="N154" i="14"/>
  <c r="O153" i="14"/>
  <c r="J153" i="14"/>
  <c r="P152" i="14"/>
  <c r="K152" i="14"/>
  <c r="L151" i="14"/>
  <c r="N150" i="14"/>
  <c r="J149" i="14"/>
  <c r="P148" i="14"/>
  <c r="K148" i="14"/>
  <c r="L147" i="14"/>
  <c r="A35" i="12"/>
  <c r="A34" i="12"/>
  <c r="A33" i="12"/>
  <c r="A36" i="12"/>
  <c r="R55" i="14"/>
  <c r="M63" i="14"/>
  <c r="R52" i="14"/>
  <c r="L53" i="14"/>
  <c r="R107" i="14"/>
  <c r="L108" i="14"/>
  <c r="N137" i="14"/>
  <c r="R66" i="14"/>
  <c r="M67" i="14"/>
  <c r="N73" i="14"/>
  <c r="R78" i="14"/>
  <c r="Q107" i="14"/>
  <c r="Q63" i="14"/>
  <c r="N88" i="14"/>
  <c r="P94" i="14"/>
  <c r="N95" i="14"/>
  <c r="R103" i="14"/>
  <c r="L104" i="14"/>
  <c r="R116" i="14"/>
  <c r="R84" i="14"/>
  <c r="M85" i="14"/>
  <c r="M89" i="14"/>
  <c r="L113" i="14"/>
  <c r="M125" i="14"/>
  <c r="M129" i="14"/>
  <c r="L133" i="14"/>
  <c r="P69" i="14"/>
  <c r="L79" i="14"/>
  <c r="M113" i="14"/>
  <c r="Q68" i="14"/>
  <c r="Q93" i="14"/>
  <c r="P114" i="14"/>
  <c r="Q133" i="14"/>
  <c r="P75" i="14"/>
  <c r="P97" i="14"/>
  <c r="N51" i="14"/>
  <c r="R63" i="14"/>
  <c r="L64" i="14"/>
  <c r="M74" i="14"/>
  <c r="Q75" i="14"/>
  <c r="P76" i="14"/>
  <c r="N77" i="14"/>
  <c r="R85" i="14"/>
  <c r="L86" i="14"/>
  <c r="M96" i="14"/>
  <c r="Q97" i="14"/>
  <c r="P98" i="14"/>
  <c r="N99" i="14"/>
  <c r="Q114" i="14"/>
  <c r="N115" i="14"/>
  <c r="P137" i="14"/>
  <c r="M52" i="14"/>
  <c r="Q53" i="14"/>
  <c r="P54" i="14"/>
  <c r="R67" i="14"/>
  <c r="L68" i="14"/>
  <c r="M78" i="14"/>
  <c r="Q79" i="14"/>
  <c r="P83" i="14"/>
  <c r="R89" i="14"/>
  <c r="L93" i="14"/>
  <c r="M103" i="14"/>
  <c r="Q104" i="14"/>
  <c r="P105" i="14"/>
  <c r="N106" i="14"/>
  <c r="P115" i="14"/>
  <c r="M116" i="14"/>
  <c r="N125" i="14"/>
  <c r="R129" i="14"/>
  <c r="Q64" i="14"/>
  <c r="P65" i="14"/>
  <c r="R74" i="14"/>
  <c r="Q86" i="14"/>
  <c r="P87" i="14"/>
  <c r="R96" i="14"/>
  <c r="R106" i="14"/>
  <c r="Q108" i="14"/>
  <c r="P109" i="14"/>
  <c r="R113" i="14"/>
  <c r="L129" i="14"/>
  <c r="R114" i="14"/>
  <c r="Q115" i="14"/>
  <c r="P116" i="14"/>
  <c r="M117" i="14"/>
  <c r="P125" i="14"/>
  <c r="R133" i="14"/>
  <c r="Q137" i="14"/>
  <c r="M51" i="14"/>
  <c r="L52" i="14"/>
  <c r="N54" i="14"/>
  <c r="M55" i="14"/>
  <c r="L63" i="14"/>
  <c r="N65" i="14"/>
  <c r="M66" i="14"/>
  <c r="L67" i="14"/>
  <c r="N69" i="14"/>
  <c r="M73" i="14"/>
  <c r="L74" i="14"/>
  <c r="N76" i="14"/>
  <c r="M77" i="14"/>
  <c r="L78" i="14"/>
  <c r="N83" i="14"/>
  <c r="M84" i="14"/>
  <c r="L85" i="14"/>
  <c r="N87" i="14"/>
  <c r="M88" i="14"/>
  <c r="L89" i="14"/>
  <c r="N94" i="14"/>
  <c r="M95" i="14"/>
  <c r="L96" i="14"/>
  <c r="N98" i="14"/>
  <c r="M99" i="14"/>
  <c r="L103" i="14"/>
  <c r="N105" i="14"/>
  <c r="M106" i="14"/>
  <c r="L107" i="14"/>
  <c r="N109" i="14"/>
  <c r="P51" i="14"/>
  <c r="R53" i="14"/>
  <c r="Q54" i="14"/>
  <c r="P55" i="14"/>
  <c r="R64" i="14"/>
  <c r="Q65" i="14"/>
  <c r="P66" i="14"/>
  <c r="R68" i="14"/>
  <c r="Q69" i="14"/>
  <c r="P73" i="14"/>
  <c r="R75" i="14"/>
  <c r="Q76" i="14"/>
  <c r="P77" i="14"/>
  <c r="R79" i="14"/>
  <c r="Q83" i="14"/>
  <c r="P84" i="14"/>
  <c r="R86" i="14"/>
  <c r="Q87" i="14"/>
  <c r="P88" i="14"/>
  <c r="R93" i="14"/>
  <c r="Q94" i="14"/>
  <c r="P95" i="14"/>
  <c r="R97" i="14"/>
  <c r="Q98" i="14"/>
  <c r="P99" i="14"/>
  <c r="R104" i="14"/>
  <c r="Q105" i="14"/>
  <c r="P106" i="14"/>
  <c r="R108" i="14"/>
  <c r="Q109" i="14"/>
  <c r="AE20" i="25" l="1"/>
  <c r="AA93" i="1" s="1"/>
  <c r="W12" i="19"/>
  <c r="W20" i="26"/>
  <c r="Y20" i="26"/>
  <c r="X83" i="26"/>
  <c r="Y83" i="26" s="1"/>
  <c r="AC20" i="26" s="1"/>
  <c r="W9" i="19"/>
  <c r="Y9" i="19" s="1"/>
  <c r="W8" i="19"/>
  <c r="Y8" i="19" s="1"/>
  <c r="W17" i="19"/>
  <c r="W13" i="19"/>
  <c r="W19" i="19"/>
  <c r="Y19" i="19"/>
  <c r="W14" i="19"/>
  <c r="W11" i="19"/>
  <c r="Y11" i="19"/>
  <c r="Z6" i="26"/>
  <c r="AA6" i="26"/>
  <c r="AA7" i="19"/>
  <c r="AB51" i="19" s="1"/>
  <c r="Z7" i="19"/>
  <c r="AA51" i="19" s="1"/>
  <c r="E50" i="13"/>
  <c r="F50" i="13" s="1"/>
  <c r="E50" i="25"/>
  <c r="E50" i="26"/>
  <c r="AA14" i="1"/>
  <c r="AA12" i="1"/>
  <c r="AA10" i="1"/>
  <c r="Z7" i="25"/>
  <c r="AA7" i="25"/>
  <c r="Z6" i="19"/>
  <c r="AA50" i="19" s="1"/>
  <c r="AA6" i="19"/>
  <c r="AB50" i="19" s="1"/>
  <c r="Y70" i="26"/>
  <c r="AC7" i="26" s="1"/>
  <c r="Z7" i="26"/>
  <c r="AA7" i="26"/>
  <c r="AA6" i="25"/>
  <c r="Z6" i="25"/>
  <c r="U80" i="25"/>
  <c r="AG36" i="1"/>
  <c r="T80" i="26"/>
  <c r="U82" i="25"/>
  <c r="T82" i="26"/>
  <c r="AA16" i="25"/>
  <c r="Z16" i="25"/>
  <c r="Z21" i="25"/>
  <c r="AA21" i="25"/>
  <c r="T75" i="26"/>
  <c r="AG31" i="1"/>
  <c r="U75" i="25"/>
  <c r="U81" i="25"/>
  <c r="X81" i="25" s="1"/>
  <c r="T81" i="26"/>
  <c r="AG37" i="1"/>
  <c r="U73" i="25"/>
  <c r="T73" i="26"/>
  <c r="AG29" i="1"/>
  <c r="T71" i="26"/>
  <c r="AG27" i="1"/>
  <c r="U8" i="26" s="1"/>
  <c r="U71" i="25"/>
  <c r="Z14" i="25"/>
  <c r="AA14" i="25"/>
  <c r="U72" i="25"/>
  <c r="AG28" i="1"/>
  <c r="T72" i="26"/>
  <c r="AG34" i="1"/>
  <c r="U78" i="25"/>
  <c r="T78" i="26"/>
  <c r="AA11" i="25"/>
  <c r="Z11" i="25"/>
  <c r="U77" i="25"/>
  <c r="T77" i="26"/>
  <c r="AG33" i="1"/>
  <c r="AA15" i="25"/>
  <c r="AG30" i="1"/>
  <c r="U74" i="25"/>
  <c r="T74" i="26"/>
  <c r="U76" i="25"/>
  <c r="W13" i="25" s="1"/>
  <c r="AG32" i="1"/>
  <c r="T76" i="26"/>
  <c r="AA10" i="25"/>
  <c r="T79" i="26"/>
  <c r="AG35" i="1"/>
  <c r="U79" i="25"/>
  <c r="U84" i="25"/>
  <c r="W84" i="25" s="1"/>
  <c r="T84" i="26"/>
  <c r="AG40" i="1"/>
  <c r="AA8" i="19"/>
  <c r="AB52" i="19" s="1"/>
  <c r="Z8" i="19"/>
  <c r="AA52" i="19" s="1"/>
  <c r="AA17" i="19"/>
  <c r="Z17" i="19"/>
  <c r="AA61" i="19" s="1"/>
  <c r="AA13" i="19"/>
  <c r="AB57" i="19" s="1"/>
  <c r="Z13" i="19"/>
  <c r="AA57" i="19" s="1"/>
  <c r="AA19" i="19"/>
  <c r="AB63" i="19" s="1"/>
  <c r="Z19" i="19"/>
  <c r="AA63" i="19" s="1"/>
  <c r="AA17" i="25"/>
  <c r="Z17" i="25"/>
  <c r="AA13" i="25"/>
  <c r="Z13" i="25"/>
  <c r="AA21" i="19"/>
  <c r="AB65" i="19" s="1"/>
  <c r="Z21" i="19"/>
  <c r="AA65" i="19" s="1"/>
  <c r="Z12" i="25"/>
  <c r="AA12" i="25"/>
  <c r="AA18" i="25"/>
  <c r="Z18" i="25"/>
  <c r="Z8" i="25"/>
  <c r="AA8" i="25"/>
  <c r="AA8" i="26"/>
  <c r="Z8" i="26"/>
  <c r="AA9" i="25"/>
  <c r="Z9" i="25"/>
  <c r="Y10" i="18"/>
  <c r="AA12" i="19"/>
  <c r="AB56" i="19" s="1"/>
  <c r="Z12" i="19"/>
  <c r="AA56" i="19" s="1"/>
  <c r="Z18" i="19"/>
  <c r="AA62" i="19" s="1"/>
  <c r="AA18" i="19"/>
  <c r="AB62" i="19" s="1"/>
  <c r="Z14" i="19"/>
  <c r="AA58" i="19" s="1"/>
  <c r="AA14" i="19"/>
  <c r="AB58" i="19" s="1"/>
  <c r="AA9" i="19"/>
  <c r="AB53" i="19" s="1"/>
  <c r="Z9" i="19"/>
  <c r="AA53" i="19" s="1"/>
  <c r="AA16" i="19"/>
  <c r="AB60" i="19" s="1"/>
  <c r="Z16" i="19"/>
  <c r="AA60" i="19" s="1"/>
  <c r="AA11" i="19"/>
  <c r="AB55" i="19" s="1"/>
  <c r="Z11" i="19"/>
  <c r="AA55" i="19" s="1"/>
  <c r="AA19" i="25"/>
  <c r="Z19" i="25"/>
  <c r="AG38" i="1"/>
  <c r="AA16" i="1"/>
  <c r="X80" i="19"/>
  <c r="X82" i="19"/>
  <c r="X75" i="18"/>
  <c r="Y75" i="18" s="1"/>
  <c r="AC14" i="18" s="1"/>
  <c r="X72" i="18"/>
  <c r="Y72" i="18" s="1"/>
  <c r="AC11" i="18" s="1"/>
  <c r="Y11" i="18"/>
  <c r="X69" i="18"/>
  <c r="Y69" i="18" s="1"/>
  <c r="X72" i="19"/>
  <c r="X75" i="19"/>
  <c r="X77" i="19"/>
  <c r="X74" i="18"/>
  <c r="Y74" i="18" s="1"/>
  <c r="AC13" i="18" s="1"/>
  <c r="AB19" i="25"/>
  <c r="X73" i="18"/>
  <c r="Y73" i="18" s="1"/>
  <c r="AC12" i="18" s="1"/>
  <c r="X70" i="18"/>
  <c r="Y70" i="18" s="1"/>
  <c r="AC9" i="18" s="1"/>
  <c r="X77" i="18"/>
  <c r="Y77" i="18" s="1"/>
  <c r="AC16" i="18" s="1"/>
  <c r="Y16" i="18"/>
  <c r="W17" i="25"/>
  <c r="W12" i="25"/>
  <c r="X78" i="18"/>
  <c r="X82" i="18"/>
  <c r="Y82" i="18" s="1"/>
  <c r="AC21" i="18" s="1"/>
  <c r="Y21" i="18"/>
  <c r="W21" i="18"/>
  <c r="W9" i="25"/>
  <c r="AA86" i="13"/>
  <c r="F52" i="13" s="1"/>
  <c r="AC8" i="13"/>
  <c r="AC37" i="13" s="1"/>
  <c r="Y78" i="18"/>
  <c r="AC17" i="18" s="1"/>
  <c r="W12" i="18"/>
  <c r="Y12" i="18" s="1"/>
  <c r="K49" i="19"/>
  <c r="L49" i="19" s="1"/>
  <c r="L84" i="19" s="1"/>
  <c r="K56" i="19"/>
  <c r="L56" i="19" s="1"/>
  <c r="M84" i="19" s="1"/>
  <c r="W75" i="19"/>
  <c r="W13" i="18"/>
  <c r="Y13" i="18" s="1"/>
  <c r="W16" i="18"/>
  <c r="K51" i="19"/>
  <c r="K58" i="19"/>
  <c r="K59" i="19"/>
  <c r="K52" i="19"/>
  <c r="K50" i="19"/>
  <c r="K57" i="19"/>
  <c r="X71" i="19"/>
  <c r="X76" i="19"/>
  <c r="X74" i="19"/>
  <c r="W80" i="19"/>
  <c r="W76" i="19"/>
  <c r="W73" i="19"/>
  <c r="W78" i="19"/>
  <c r="W84" i="19"/>
  <c r="W17" i="18"/>
  <c r="Y17" i="18" s="1"/>
  <c r="W77" i="19"/>
  <c r="W72" i="19"/>
  <c r="W14" i="18"/>
  <c r="Y14" i="18" s="1"/>
  <c r="W82" i="19"/>
  <c r="Y82" i="19" s="1"/>
  <c r="AC19" i="19" s="1"/>
  <c r="Y80" i="18"/>
  <c r="AC19" i="18" s="1"/>
  <c r="Y79" i="18"/>
  <c r="AC18" i="18" s="1"/>
  <c r="W81" i="19"/>
  <c r="W74" i="19"/>
  <c r="W71" i="19"/>
  <c r="W9" i="18"/>
  <c r="Y9" i="18" s="1"/>
  <c r="X76" i="18"/>
  <c r="Y76" i="18" s="1"/>
  <c r="AC15" i="18" s="1"/>
  <c r="W15" i="18"/>
  <c r="Y15" i="18" s="1"/>
  <c r="W11" i="18"/>
  <c r="W79" i="19"/>
  <c r="W8" i="18"/>
  <c r="Y8" i="18" s="1"/>
  <c r="K151" i="14"/>
  <c r="O149" i="14"/>
  <c r="B37" i="12"/>
  <c r="D37" i="12"/>
  <c r="I37" i="12"/>
  <c r="O37" i="12"/>
  <c r="T37" i="12"/>
  <c r="E37" i="12"/>
  <c r="K37" i="12"/>
  <c r="P37" i="12"/>
  <c r="L37" i="12"/>
  <c r="G37" i="12"/>
  <c r="C37" i="12"/>
  <c r="H37" i="12"/>
  <c r="M37" i="12"/>
  <c r="U37" i="12"/>
  <c r="N37" i="12"/>
  <c r="Z37" i="12" s="1"/>
  <c r="F37" i="12"/>
  <c r="J37" i="12"/>
  <c r="K33" i="12"/>
  <c r="G33" i="12"/>
  <c r="E33" i="12"/>
  <c r="N33" i="12"/>
  <c r="L33" i="12"/>
  <c r="H33" i="12"/>
  <c r="D33" i="12"/>
  <c r="O33" i="12"/>
  <c r="M33" i="12"/>
  <c r="I33" i="12"/>
  <c r="F33" i="12"/>
  <c r="C33" i="12"/>
  <c r="B33" i="12"/>
  <c r="P33" i="12"/>
  <c r="J33" i="12"/>
  <c r="A51" i="12"/>
  <c r="A98" i="12" s="1"/>
  <c r="M3" i="12"/>
  <c r="G3" i="12"/>
  <c r="E3" i="12"/>
  <c r="P3" i="12"/>
  <c r="L3" i="12"/>
  <c r="J3" i="12"/>
  <c r="D3" i="12"/>
  <c r="N3" i="12"/>
  <c r="O3" i="12"/>
  <c r="K3" i="12"/>
  <c r="I3" i="12"/>
  <c r="F3" i="12"/>
  <c r="C3" i="12"/>
  <c r="B3" i="12"/>
  <c r="H3" i="12"/>
  <c r="O35" i="12"/>
  <c r="M35" i="12"/>
  <c r="I35" i="12"/>
  <c r="F35" i="12"/>
  <c r="C35" i="12"/>
  <c r="B35" i="12"/>
  <c r="N35" i="12"/>
  <c r="L35" i="12"/>
  <c r="P35" i="12"/>
  <c r="J35" i="12"/>
  <c r="K35" i="12"/>
  <c r="G35" i="12"/>
  <c r="E35" i="12"/>
  <c r="H35" i="12"/>
  <c r="D35" i="12"/>
  <c r="P36" i="12"/>
  <c r="J36" i="12"/>
  <c r="D36" i="12"/>
  <c r="K36" i="12"/>
  <c r="F36" i="12"/>
  <c r="C36" i="12"/>
  <c r="B36" i="12"/>
  <c r="M36" i="12"/>
  <c r="N36" i="12"/>
  <c r="L36" i="12"/>
  <c r="H36" i="12"/>
  <c r="O36" i="12"/>
  <c r="I36" i="12"/>
  <c r="G36" i="12"/>
  <c r="E36" i="12"/>
  <c r="N34" i="12"/>
  <c r="L34" i="12"/>
  <c r="H34" i="12"/>
  <c r="O34" i="12"/>
  <c r="M34" i="12"/>
  <c r="I34" i="12"/>
  <c r="G34" i="12"/>
  <c r="E34" i="12"/>
  <c r="K34" i="12"/>
  <c r="P34" i="12"/>
  <c r="J34" i="12"/>
  <c r="D34" i="12"/>
  <c r="F34" i="12"/>
  <c r="C34" i="12"/>
  <c r="B34" i="12"/>
  <c r="A4" i="12"/>
  <c r="E50" i="19"/>
  <c r="F50" i="19" s="1"/>
  <c r="I8" i="11"/>
  <c r="A32" i="11"/>
  <c r="A36" i="11"/>
  <c r="A40" i="11"/>
  <c r="A9" i="11"/>
  <c r="A10" i="11" s="1"/>
  <c r="A11" i="11" s="1"/>
  <c r="A33" i="11"/>
  <c r="A37" i="11"/>
  <c r="A41" i="11"/>
  <c r="A34" i="11"/>
  <c r="A38" i="11"/>
  <c r="A42" i="11"/>
  <c r="A35" i="11"/>
  <c r="A39" i="11"/>
  <c r="G36" i="11"/>
  <c r="N36" i="11" s="1"/>
  <c r="G40" i="11"/>
  <c r="N40" i="11" s="1"/>
  <c r="G37" i="11"/>
  <c r="N37" i="11" s="1"/>
  <c r="G41" i="11"/>
  <c r="N41" i="11" s="1"/>
  <c r="G38" i="11"/>
  <c r="N38" i="11" s="1"/>
  <c r="G42" i="11"/>
  <c r="N42" i="11" s="1"/>
  <c r="G39" i="11"/>
  <c r="N39" i="11" s="1"/>
  <c r="G9" i="11"/>
  <c r="A83" i="12"/>
  <c r="A130" i="12" s="1"/>
  <c r="A82" i="12"/>
  <c r="A129" i="12" s="1"/>
  <c r="A84" i="12"/>
  <c r="A131" i="12" s="1"/>
  <c r="A81" i="12"/>
  <c r="A128" i="12" s="1"/>
  <c r="B11" i="8"/>
  <c r="M32" i="17" s="1"/>
  <c r="T34" i="12"/>
  <c r="U35" i="12"/>
  <c r="T35" i="12"/>
  <c r="U34" i="12"/>
  <c r="U36" i="12"/>
  <c r="T36" i="12"/>
  <c r="T33" i="12"/>
  <c r="U33" i="12"/>
  <c r="I69" i="1" l="1"/>
  <c r="F50" i="25"/>
  <c r="G50" i="25" s="1"/>
  <c r="F50" i="26"/>
  <c r="G50" i="26" s="1"/>
  <c r="Y72" i="19"/>
  <c r="AC9" i="19" s="1"/>
  <c r="Y12" i="19"/>
  <c r="Y17" i="19"/>
  <c r="Y13" i="19"/>
  <c r="Y12" i="25"/>
  <c r="Y13" i="25"/>
  <c r="Y75" i="19"/>
  <c r="AC12" i="19" s="1"/>
  <c r="X71" i="25"/>
  <c r="W8" i="25"/>
  <c r="Y8" i="25" s="1"/>
  <c r="Y14" i="19"/>
  <c r="W18" i="25"/>
  <c r="Y18" i="25" s="1"/>
  <c r="W18" i="19"/>
  <c r="Y18" i="19" s="1"/>
  <c r="U72" i="26"/>
  <c r="U9" i="26"/>
  <c r="Y17" i="25"/>
  <c r="Y9" i="25"/>
  <c r="U82" i="26"/>
  <c r="W82" i="26" s="1"/>
  <c r="U19" i="26"/>
  <c r="U80" i="26"/>
  <c r="W80" i="26" s="1"/>
  <c r="U17" i="26"/>
  <c r="AE20" i="26"/>
  <c r="AG93" i="1" s="1"/>
  <c r="U76" i="26"/>
  <c r="U13" i="26"/>
  <c r="U81" i="26"/>
  <c r="U18" i="26"/>
  <c r="U75" i="26"/>
  <c r="U12" i="26"/>
  <c r="Y10" i="25"/>
  <c r="W16" i="25"/>
  <c r="Y16" i="25"/>
  <c r="U79" i="26"/>
  <c r="U16" i="26"/>
  <c r="Y16" i="19"/>
  <c r="W16" i="19"/>
  <c r="W15" i="25"/>
  <c r="Y15" i="25"/>
  <c r="W15" i="19"/>
  <c r="Y15" i="19"/>
  <c r="U78" i="26"/>
  <c r="U15" i="26"/>
  <c r="W14" i="25"/>
  <c r="Y14" i="25" s="1"/>
  <c r="U77" i="26"/>
  <c r="U14" i="26"/>
  <c r="W11" i="25"/>
  <c r="Y11" i="25"/>
  <c r="U74" i="26"/>
  <c r="X74" i="26" s="1"/>
  <c r="U11" i="26"/>
  <c r="AB61" i="19"/>
  <c r="W21" i="19"/>
  <c r="Y21" i="19" s="1"/>
  <c r="U84" i="26"/>
  <c r="W84" i="26" s="1"/>
  <c r="U21" i="26"/>
  <c r="W10" i="25"/>
  <c r="W10" i="19"/>
  <c r="Y10" i="19"/>
  <c r="U73" i="26"/>
  <c r="U10" i="26"/>
  <c r="I71" i="1"/>
  <c r="W80" i="25"/>
  <c r="W15" i="26"/>
  <c r="U71" i="26"/>
  <c r="AG14" i="1"/>
  <c r="AG16" i="1"/>
  <c r="AG12" i="1"/>
  <c r="AG10" i="1"/>
  <c r="X73" i="25"/>
  <c r="X74" i="25"/>
  <c r="X79" i="25"/>
  <c r="X78" i="25"/>
  <c r="W82" i="25"/>
  <c r="K56" i="25"/>
  <c r="L56" i="25" s="1"/>
  <c r="K49" i="25"/>
  <c r="L49" i="25" s="1"/>
  <c r="X77" i="25"/>
  <c r="K58" i="25"/>
  <c r="K51" i="25"/>
  <c r="W71" i="25"/>
  <c r="Y71" i="25" s="1"/>
  <c r="K59" i="25"/>
  <c r="K52" i="25"/>
  <c r="L52" i="25" s="1"/>
  <c r="L89" i="25" s="1"/>
  <c r="W8" i="26"/>
  <c r="W18" i="26"/>
  <c r="W73" i="25"/>
  <c r="K57" i="25"/>
  <c r="K50" i="25"/>
  <c r="L50" i="25" s="1"/>
  <c r="L85" i="25" s="1"/>
  <c r="W78" i="25"/>
  <c r="W79" i="25"/>
  <c r="W74" i="25"/>
  <c r="W75" i="25"/>
  <c r="W71" i="26"/>
  <c r="W76" i="25"/>
  <c r="W72" i="25"/>
  <c r="W72" i="26" s="1"/>
  <c r="W77" i="25"/>
  <c r="Y77" i="25" s="1"/>
  <c r="AC14" i="25" s="1"/>
  <c r="W81" i="25"/>
  <c r="W81" i="26" s="1"/>
  <c r="O40" i="25"/>
  <c r="P40" i="25" s="1"/>
  <c r="AA37" i="25"/>
  <c r="D66" i="25" s="1"/>
  <c r="Y37" i="18"/>
  <c r="O65" i="1" s="1"/>
  <c r="AC8" i="18"/>
  <c r="AC37" i="18" s="1"/>
  <c r="Y98" i="18"/>
  <c r="F52" i="18" s="1"/>
  <c r="X84" i="19"/>
  <c r="Y84" i="19" s="1"/>
  <c r="AC21" i="19" s="1"/>
  <c r="X80" i="25"/>
  <c r="Y80" i="25" s="1"/>
  <c r="AC17" i="25" s="1"/>
  <c r="X72" i="25"/>
  <c r="Y72" i="25" s="1"/>
  <c r="AC9" i="25" s="1"/>
  <c r="X78" i="19"/>
  <c r="Y78" i="19" s="1"/>
  <c r="AC15" i="19" s="1"/>
  <c r="X81" i="19"/>
  <c r="AD19" i="26"/>
  <c r="X75" i="25"/>
  <c r="Y77" i="19"/>
  <c r="AC14" i="19" s="1"/>
  <c r="X79" i="19"/>
  <c r="Y79" i="19" s="1"/>
  <c r="AC16" i="19" s="1"/>
  <c r="X73" i="19"/>
  <c r="Y73" i="19" s="1"/>
  <c r="AC10" i="19" s="1"/>
  <c r="Y80" i="19"/>
  <c r="AC17" i="19" s="1"/>
  <c r="X76" i="25"/>
  <c r="AD19" i="25"/>
  <c r="Y81" i="19"/>
  <c r="AC18" i="19" s="1"/>
  <c r="Y76" i="19"/>
  <c r="AC13" i="19" s="1"/>
  <c r="Y74" i="19"/>
  <c r="AC11" i="19" s="1"/>
  <c r="Y71" i="19"/>
  <c r="F36" i="11"/>
  <c r="L36" i="11"/>
  <c r="J36" i="11"/>
  <c r="K36" i="11"/>
  <c r="K42" i="11"/>
  <c r="L42" i="11"/>
  <c r="F42" i="11"/>
  <c r="J42" i="11"/>
  <c r="K38" i="11"/>
  <c r="J38" i="11"/>
  <c r="L38" i="11"/>
  <c r="F38" i="11"/>
  <c r="L9" i="11"/>
  <c r="K9" i="11"/>
  <c r="F9" i="11"/>
  <c r="L41" i="11"/>
  <c r="K41" i="11"/>
  <c r="F41" i="11"/>
  <c r="J41" i="11"/>
  <c r="F40" i="11"/>
  <c r="L40" i="11"/>
  <c r="J40" i="11"/>
  <c r="K40" i="11"/>
  <c r="J39" i="11"/>
  <c r="F39" i="11"/>
  <c r="K39" i="11"/>
  <c r="L39" i="11"/>
  <c r="L37" i="11"/>
  <c r="F37" i="11"/>
  <c r="J37" i="11"/>
  <c r="K37" i="11"/>
  <c r="R37" i="12"/>
  <c r="S37" i="12"/>
  <c r="Y37" i="12" s="1"/>
  <c r="Q37" i="12"/>
  <c r="Z39" i="11"/>
  <c r="U39" i="11"/>
  <c r="P39" i="11"/>
  <c r="T39" i="11"/>
  <c r="V39" i="11"/>
  <c r="Q39" i="11"/>
  <c r="X39" i="11"/>
  <c r="W39" i="11"/>
  <c r="R39" i="11"/>
  <c r="O39" i="11"/>
  <c r="Y39" i="11"/>
  <c r="S39" i="11"/>
  <c r="X37" i="11"/>
  <c r="W37" i="11"/>
  <c r="P37" i="11"/>
  <c r="T37" i="11"/>
  <c r="Y37" i="11"/>
  <c r="Q37" i="11"/>
  <c r="Z37" i="11"/>
  <c r="U37" i="11"/>
  <c r="R37" i="11"/>
  <c r="V37" i="11"/>
  <c r="S37" i="11"/>
  <c r="O37" i="11"/>
  <c r="X41" i="11"/>
  <c r="W41" i="11"/>
  <c r="P41" i="11"/>
  <c r="T41" i="11"/>
  <c r="Y41" i="11"/>
  <c r="Q41" i="11"/>
  <c r="Z41" i="11"/>
  <c r="U41" i="11"/>
  <c r="R41" i="11"/>
  <c r="O41" i="11"/>
  <c r="S41" i="11"/>
  <c r="V41" i="11"/>
  <c r="Y42" i="11"/>
  <c r="R42" i="11"/>
  <c r="Z42" i="11"/>
  <c r="U42" i="11"/>
  <c r="O42" i="11"/>
  <c r="S42" i="11"/>
  <c r="V42" i="11"/>
  <c r="P42" i="11"/>
  <c r="T42" i="11"/>
  <c r="X42" i="11"/>
  <c r="W42" i="11"/>
  <c r="Q42" i="11"/>
  <c r="V40" i="11"/>
  <c r="R40" i="11"/>
  <c r="X40" i="11"/>
  <c r="W40" i="11"/>
  <c r="O40" i="11"/>
  <c r="S40" i="11"/>
  <c r="Y40" i="11"/>
  <c r="P40" i="11"/>
  <c r="T40" i="11"/>
  <c r="U40" i="11"/>
  <c r="Z40" i="11"/>
  <c r="Q40" i="11"/>
  <c r="X9" i="11"/>
  <c r="W9" i="11"/>
  <c r="S9" i="11"/>
  <c r="O9" i="11"/>
  <c r="V9" i="11"/>
  <c r="R9" i="11"/>
  <c r="Z9" i="11"/>
  <c r="U9" i="11"/>
  <c r="Q9" i="11"/>
  <c r="P9" i="11"/>
  <c r="Y9" i="11"/>
  <c r="T9" i="11"/>
  <c r="Y38" i="11"/>
  <c r="R38" i="11"/>
  <c r="Z38" i="11"/>
  <c r="U38" i="11"/>
  <c r="O38" i="11"/>
  <c r="S38" i="11"/>
  <c r="V38" i="11"/>
  <c r="P38" i="11"/>
  <c r="T38" i="11"/>
  <c r="Q38" i="11"/>
  <c r="X38" i="11"/>
  <c r="W38" i="11"/>
  <c r="V36" i="11"/>
  <c r="R36" i="11"/>
  <c r="Z36" i="11"/>
  <c r="X36" i="11"/>
  <c r="W36" i="11"/>
  <c r="O36" i="11"/>
  <c r="S36" i="11"/>
  <c r="Y36" i="11"/>
  <c r="P36" i="11"/>
  <c r="T36" i="11"/>
  <c r="Q36" i="11"/>
  <c r="U36" i="11"/>
  <c r="N4" i="12"/>
  <c r="L4" i="12"/>
  <c r="J4" i="12"/>
  <c r="D4" i="12"/>
  <c r="O4" i="12"/>
  <c r="M4" i="12"/>
  <c r="F4" i="12"/>
  <c r="P4" i="12"/>
  <c r="H4" i="12"/>
  <c r="K4" i="12"/>
  <c r="I4" i="12"/>
  <c r="E4" i="12"/>
  <c r="G4" i="12"/>
  <c r="A52" i="12"/>
  <c r="A99" i="12" s="1"/>
  <c r="C4" i="12"/>
  <c r="A5" i="12"/>
  <c r="B4" i="12"/>
  <c r="K37" i="17"/>
  <c r="M37" i="17" s="1"/>
  <c r="B44" i="12" s="1"/>
  <c r="K36" i="17"/>
  <c r="M36" i="17" s="1"/>
  <c r="K39" i="17"/>
  <c r="M39" i="17" s="1"/>
  <c r="K38" i="17"/>
  <c r="M38" i="17" s="1"/>
  <c r="G43" i="19"/>
  <c r="G43" i="18"/>
  <c r="G43" i="13"/>
  <c r="G44" i="18"/>
  <c r="G44" i="19"/>
  <c r="G44" i="13"/>
  <c r="G42" i="19"/>
  <c r="G42" i="18"/>
  <c r="G42" i="13"/>
  <c r="G50" i="18"/>
  <c r="J50" i="18" s="1"/>
  <c r="L50" i="18" s="1"/>
  <c r="L85" i="18" s="1"/>
  <c r="G50" i="13"/>
  <c r="J49" i="13" s="1"/>
  <c r="L49" i="13" s="1"/>
  <c r="K79" i="13" s="1"/>
  <c r="G50" i="19"/>
  <c r="J50" i="19" s="1"/>
  <c r="L50" i="19" s="1"/>
  <c r="E43" i="13"/>
  <c r="T42" i="13" s="1"/>
  <c r="E43" i="19"/>
  <c r="E43" i="18"/>
  <c r="E42" i="13"/>
  <c r="J42" i="13" s="1"/>
  <c r="E42" i="19"/>
  <c r="E42" i="18"/>
  <c r="D71" i="1"/>
  <c r="Z2" i="12"/>
  <c r="AB8" i="11"/>
  <c r="AC8" i="11"/>
  <c r="AD8" i="11" s="1"/>
  <c r="AE8" i="11" s="1"/>
  <c r="AA8" i="11"/>
  <c r="H9" i="11"/>
  <c r="H41" i="11"/>
  <c r="H39" i="11"/>
  <c r="H37" i="11"/>
  <c r="H42" i="11"/>
  <c r="H40" i="11"/>
  <c r="H38" i="11"/>
  <c r="H36" i="11"/>
  <c r="I42" i="11"/>
  <c r="D10" i="11"/>
  <c r="I38" i="11"/>
  <c r="I36" i="11"/>
  <c r="E42" i="11"/>
  <c r="B42" i="11"/>
  <c r="D42" i="11"/>
  <c r="B41" i="11"/>
  <c r="D41" i="11"/>
  <c r="E41" i="11"/>
  <c r="D40" i="11"/>
  <c r="E40" i="11"/>
  <c r="B40" i="11"/>
  <c r="I40" i="11"/>
  <c r="C9" i="11"/>
  <c r="B9" i="11"/>
  <c r="D9" i="11"/>
  <c r="G10" i="11"/>
  <c r="I9" i="11"/>
  <c r="I41" i="11"/>
  <c r="D39" i="11"/>
  <c r="E39" i="11"/>
  <c r="B39" i="11"/>
  <c r="E38" i="11"/>
  <c r="B38" i="11"/>
  <c r="D38" i="11"/>
  <c r="B37" i="11"/>
  <c r="E37" i="11"/>
  <c r="D37" i="11"/>
  <c r="D36" i="11"/>
  <c r="B36" i="11"/>
  <c r="E36" i="11"/>
  <c r="A12" i="11"/>
  <c r="D11" i="11"/>
  <c r="I39" i="11"/>
  <c r="I37" i="11"/>
  <c r="D35" i="11"/>
  <c r="E35" i="11"/>
  <c r="B35" i="11"/>
  <c r="E34" i="11"/>
  <c r="D34" i="11"/>
  <c r="B34" i="11"/>
  <c r="B33" i="11"/>
  <c r="D33" i="11"/>
  <c r="E33" i="11"/>
  <c r="D32" i="11"/>
  <c r="E32" i="11"/>
  <c r="B32" i="11"/>
  <c r="S35" i="12"/>
  <c r="Z36" i="12"/>
  <c r="R35" i="12"/>
  <c r="R36" i="12"/>
  <c r="Z35" i="12"/>
  <c r="Q36" i="12"/>
  <c r="S36" i="12"/>
  <c r="Z34" i="12"/>
  <c r="Q34" i="12"/>
  <c r="Z33" i="12"/>
  <c r="R33" i="12"/>
  <c r="R34" i="12"/>
  <c r="S33" i="12"/>
  <c r="Q33" i="12"/>
  <c r="S34" i="12"/>
  <c r="Q35" i="12"/>
  <c r="F27" i="17"/>
  <c r="D69" i="1" s="1"/>
  <c r="G27" i="17"/>
  <c r="M13" i="17" s="1"/>
  <c r="J49" i="26" l="1"/>
  <c r="J51" i="26"/>
  <c r="J50" i="26"/>
  <c r="J52" i="26"/>
  <c r="J52" i="25"/>
  <c r="J51" i="25"/>
  <c r="J50" i="25"/>
  <c r="J49" i="25"/>
  <c r="W9" i="26"/>
  <c r="X72" i="26"/>
  <c r="W12" i="26"/>
  <c r="Y12" i="26" s="1"/>
  <c r="X75" i="26"/>
  <c r="W13" i="26"/>
  <c r="X76" i="26"/>
  <c r="Y76" i="26" s="1"/>
  <c r="AC13" i="26" s="1"/>
  <c r="Y19" i="25"/>
  <c r="W19" i="25"/>
  <c r="W19" i="26"/>
  <c r="Y19" i="26"/>
  <c r="Z9" i="26"/>
  <c r="AA9" i="26"/>
  <c r="W75" i="26"/>
  <c r="Y73" i="25"/>
  <c r="AC10" i="25" s="1"/>
  <c r="Z13" i="26"/>
  <c r="AA13" i="26"/>
  <c r="Z18" i="26"/>
  <c r="Y18" i="26"/>
  <c r="AA18" i="26"/>
  <c r="AB19" i="26"/>
  <c r="AA19" i="26"/>
  <c r="Z19" i="26"/>
  <c r="Y75" i="25"/>
  <c r="AC12" i="25" s="1"/>
  <c r="W76" i="26"/>
  <c r="Z12" i="26"/>
  <c r="AA12" i="26"/>
  <c r="Z17" i="26"/>
  <c r="AA17" i="26"/>
  <c r="Y8" i="26"/>
  <c r="W10" i="26"/>
  <c r="W16" i="26"/>
  <c r="Y16" i="26"/>
  <c r="Z16" i="26"/>
  <c r="AA16" i="26"/>
  <c r="X78" i="26"/>
  <c r="AA15" i="26"/>
  <c r="Y15" i="26"/>
  <c r="W14" i="26"/>
  <c r="Y14" i="26" s="1"/>
  <c r="Z14" i="26"/>
  <c r="AA14" i="26"/>
  <c r="Z11" i="26"/>
  <c r="AA11" i="26"/>
  <c r="Y74" i="25"/>
  <c r="AC11" i="25" s="1"/>
  <c r="W11" i="26"/>
  <c r="Y11" i="26"/>
  <c r="AB28" i="25"/>
  <c r="AB29" i="25"/>
  <c r="AB26" i="18"/>
  <c r="AB27" i="18"/>
  <c r="Z21" i="26"/>
  <c r="AA21" i="26"/>
  <c r="W21" i="26"/>
  <c r="Y21" i="26" s="1"/>
  <c r="Y21" i="25"/>
  <c r="W21" i="25"/>
  <c r="L85" i="19"/>
  <c r="W73" i="26"/>
  <c r="AA10" i="26"/>
  <c r="Y10" i="26"/>
  <c r="L51" i="25"/>
  <c r="AB14" i="25" s="1"/>
  <c r="Y79" i="25"/>
  <c r="AC16" i="25" s="1"/>
  <c r="Y78" i="25"/>
  <c r="AC15" i="25" s="1"/>
  <c r="AG71" i="1"/>
  <c r="J58" i="26"/>
  <c r="J57" i="26"/>
  <c r="J56" i="26"/>
  <c r="J59" i="26"/>
  <c r="J58" i="25"/>
  <c r="L58" i="25" s="1"/>
  <c r="AD21" i="25" s="1"/>
  <c r="J56" i="25"/>
  <c r="AA71" i="1"/>
  <c r="J57" i="25"/>
  <c r="L57" i="25" s="1"/>
  <c r="J59" i="25"/>
  <c r="L59" i="25" s="1"/>
  <c r="D64" i="18"/>
  <c r="H41" i="25"/>
  <c r="M41" i="25" s="1"/>
  <c r="AB16" i="25"/>
  <c r="AB11" i="25"/>
  <c r="X84" i="25"/>
  <c r="Y84" i="25" s="1"/>
  <c r="AC21" i="25" s="1"/>
  <c r="L84" i="25"/>
  <c r="H40" i="25"/>
  <c r="M40" i="25" s="1"/>
  <c r="X84" i="26"/>
  <c r="Y84" i="26" s="1"/>
  <c r="AC21" i="26" s="1"/>
  <c r="X81" i="26"/>
  <c r="Y81" i="26" s="1"/>
  <c r="AC18" i="26" s="1"/>
  <c r="M84" i="25"/>
  <c r="I40" i="25"/>
  <c r="N40" i="25" s="1"/>
  <c r="N45" i="25" s="1"/>
  <c r="C68" i="25" s="1"/>
  <c r="X82" i="26"/>
  <c r="Y82" i="26" s="1"/>
  <c r="AC19" i="26" s="1"/>
  <c r="X71" i="26"/>
  <c r="Y71" i="26" s="1"/>
  <c r="AC8" i="26" s="1"/>
  <c r="X79" i="26"/>
  <c r="Y76" i="25"/>
  <c r="AC13" i="25" s="1"/>
  <c r="X73" i="26"/>
  <c r="X77" i="26"/>
  <c r="X82" i="25"/>
  <c r="Y82" i="25" s="1"/>
  <c r="AC19" i="25" s="1"/>
  <c r="Y72" i="26"/>
  <c r="AC9" i="26" s="1"/>
  <c r="W79" i="26"/>
  <c r="Y37" i="19"/>
  <c r="U65" i="1" s="1"/>
  <c r="Y81" i="25"/>
  <c r="AC18" i="25" s="1"/>
  <c r="W77" i="26"/>
  <c r="W74" i="26"/>
  <c r="Y74" i="26" s="1"/>
  <c r="AC11" i="26" s="1"/>
  <c r="W78" i="26"/>
  <c r="E66" i="26"/>
  <c r="K58" i="26"/>
  <c r="K51" i="26"/>
  <c r="L51" i="26" s="1"/>
  <c r="AB21" i="26" s="1"/>
  <c r="K59" i="26"/>
  <c r="L59" i="26" s="1"/>
  <c r="K52" i="26"/>
  <c r="L52" i="26" s="1"/>
  <c r="K49" i="26"/>
  <c r="K56" i="26"/>
  <c r="K57" i="26"/>
  <c r="K50" i="26"/>
  <c r="L50" i="26" s="1"/>
  <c r="L85" i="26" s="1"/>
  <c r="AB30" i="26" s="1"/>
  <c r="O42" i="25"/>
  <c r="P42" i="25" s="1"/>
  <c r="O43" i="25"/>
  <c r="P43" i="25" s="1"/>
  <c r="AC8" i="19"/>
  <c r="AC37" i="19" s="1"/>
  <c r="Y100" i="19"/>
  <c r="F52" i="19" s="1"/>
  <c r="U69" i="1" s="1"/>
  <c r="AC8" i="25"/>
  <c r="AB21" i="13"/>
  <c r="O69" i="1"/>
  <c r="K10" i="11"/>
  <c r="L10" i="11"/>
  <c r="F10" i="11"/>
  <c r="C5" i="12"/>
  <c r="E5" i="12"/>
  <c r="D5" i="12"/>
  <c r="A6" i="12"/>
  <c r="D6" i="12" s="1"/>
  <c r="A53" i="12"/>
  <c r="A100" i="12" s="1"/>
  <c r="B5" i="12"/>
  <c r="F5" i="12"/>
  <c r="H41" i="18"/>
  <c r="M41" i="18" s="1"/>
  <c r="AB16" i="18"/>
  <c r="H41" i="19"/>
  <c r="M41" i="19" s="1"/>
  <c r="AB16" i="19"/>
  <c r="P10" i="11"/>
  <c r="T10" i="11"/>
  <c r="X10" i="11"/>
  <c r="U10" i="11"/>
  <c r="Q10" i="11"/>
  <c r="Y10" i="11"/>
  <c r="V10" i="11"/>
  <c r="R10" i="11"/>
  <c r="Z10" i="11"/>
  <c r="O10" i="11"/>
  <c r="W10" i="11"/>
  <c r="S10" i="11"/>
  <c r="O5" i="12"/>
  <c r="M5" i="12"/>
  <c r="L5" i="12"/>
  <c r="J5" i="12"/>
  <c r="P5" i="12"/>
  <c r="H5" i="12"/>
  <c r="K5" i="12"/>
  <c r="I5" i="12"/>
  <c r="N5" i="12"/>
  <c r="G5" i="12"/>
  <c r="Y36" i="12"/>
  <c r="J52" i="13"/>
  <c r="L52" i="13" s="1"/>
  <c r="K84" i="13" s="1"/>
  <c r="AA40" i="11"/>
  <c r="J49" i="18"/>
  <c r="L49" i="18" s="1"/>
  <c r="L84" i="18" s="1"/>
  <c r="J51" i="18"/>
  <c r="L51" i="18" s="1"/>
  <c r="Y46" i="18"/>
  <c r="L42" i="18"/>
  <c r="Y48" i="13"/>
  <c r="AA15" i="13" s="1"/>
  <c r="L44" i="13"/>
  <c r="J52" i="18"/>
  <c r="L52" i="18" s="1"/>
  <c r="L89" i="18" s="1"/>
  <c r="Y48" i="19"/>
  <c r="AA15" i="19" s="1"/>
  <c r="L44" i="19"/>
  <c r="Y46" i="19"/>
  <c r="AA5" i="19" s="1"/>
  <c r="L42" i="19"/>
  <c r="L44" i="18"/>
  <c r="Y48" i="18"/>
  <c r="AA15" i="18" s="1"/>
  <c r="S42" i="13"/>
  <c r="J56" i="19"/>
  <c r="U71" i="1"/>
  <c r="J59" i="19"/>
  <c r="L59" i="19" s="1"/>
  <c r="M89" i="19" s="1"/>
  <c r="J57" i="19"/>
  <c r="L57" i="19" s="1"/>
  <c r="M85" i="19" s="1"/>
  <c r="J58" i="19"/>
  <c r="L58" i="19" s="1"/>
  <c r="J56" i="18"/>
  <c r="L56" i="18" s="1"/>
  <c r="M84" i="18" s="1"/>
  <c r="J58" i="18"/>
  <c r="L58" i="18" s="1"/>
  <c r="J57" i="18"/>
  <c r="L57" i="18" s="1"/>
  <c r="M85" i="18" s="1"/>
  <c r="J59" i="18"/>
  <c r="L59" i="18" s="1"/>
  <c r="M89" i="18" s="1"/>
  <c r="Y47" i="13"/>
  <c r="L43" i="13"/>
  <c r="Y47" i="18"/>
  <c r="AA10" i="18" s="1"/>
  <c r="L43" i="18"/>
  <c r="Y46" i="13"/>
  <c r="L42" i="13"/>
  <c r="Y47" i="19"/>
  <c r="AA10" i="19" s="1"/>
  <c r="AB54" i="19" s="1"/>
  <c r="L43" i="19"/>
  <c r="J49" i="19"/>
  <c r="J52" i="19"/>
  <c r="L52" i="19" s="1"/>
  <c r="L89" i="19" s="1"/>
  <c r="J50" i="13"/>
  <c r="L50" i="13" s="1"/>
  <c r="J51" i="13"/>
  <c r="L51" i="13" s="1"/>
  <c r="J51" i="19"/>
  <c r="L51" i="19" s="1"/>
  <c r="AB5" i="19" s="1"/>
  <c r="AB20" i="13"/>
  <c r="H40" i="13"/>
  <c r="M40" i="13" s="1"/>
  <c r="AB10" i="13"/>
  <c r="S42" i="19"/>
  <c r="J42" i="19"/>
  <c r="J43" i="13"/>
  <c r="T42" i="18"/>
  <c r="J43" i="18"/>
  <c r="S42" i="18"/>
  <c r="J42" i="18"/>
  <c r="T42" i="19"/>
  <c r="J43" i="19"/>
  <c r="J58" i="13"/>
  <c r="L58" i="13" s="1"/>
  <c r="J56" i="13"/>
  <c r="L56" i="13" s="1"/>
  <c r="L79" i="13" s="1"/>
  <c r="J57" i="13"/>
  <c r="L57" i="13" s="1"/>
  <c r="J59" i="13"/>
  <c r="L59" i="13" s="1"/>
  <c r="L84" i="13" s="1"/>
  <c r="D73" i="1"/>
  <c r="H22" i="14"/>
  <c r="H16" i="14"/>
  <c r="H26" i="14"/>
  <c r="H18" i="14"/>
  <c r="H23" i="14"/>
  <c r="H17" i="14"/>
  <c r="H27" i="14"/>
  <c r="H21" i="14"/>
  <c r="H15" i="14"/>
  <c r="Y33" i="12"/>
  <c r="B81" i="12" s="1"/>
  <c r="AB41" i="11"/>
  <c r="S2" i="12"/>
  <c r="Q2" i="12"/>
  <c r="R2" i="12"/>
  <c r="Z3" i="12"/>
  <c r="AA39" i="11"/>
  <c r="AB39" i="11"/>
  <c r="AC39" i="11"/>
  <c r="AB9" i="11"/>
  <c r="H10" i="11"/>
  <c r="AB36" i="11"/>
  <c r="AC40" i="11"/>
  <c r="AC42" i="11"/>
  <c r="AB42" i="11"/>
  <c r="AA42" i="11"/>
  <c r="AC37" i="11"/>
  <c r="AA41" i="11"/>
  <c r="AC38" i="11"/>
  <c r="AB40" i="11"/>
  <c r="AB37" i="11"/>
  <c r="AA9" i="11"/>
  <c r="AA36" i="11"/>
  <c r="AC36" i="11"/>
  <c r="AD36" i="11" s="1"/>
  <c r="AE36" i="11" s="1"/>
  <c r="AB38" i="11"/>
  <c r="AA38" i="11"/>
  <c r="AA37" i="11"/>
  <c r="AC41" i="11"/>
  <c r="M37" i="11"/>
  <c r="A13" i="11"/>
  <c r="D12" i="11"/>
  <c r="C10" i="11"/>
  <c r="C11" i="11" s="1"/>
  <c r="C12" i="11" s="1"/>
  <c r="G11" i="11"/>
  <c r="I10" i="11"/>
  <c r="B10" i="11"/>
  <c r="Y35" i="12"/>
  <c r="Y34" i="12"/>
  <c r="B82" i="12" s="1"/>
  <c r="B46" i="12"/>
  <c r="U2" i="12"/>
  <c r="U3" i="12"/>
  <c r="U4" i="12"/>
  <c r="U5" i="12"/>
  <c r="K23" i="17"/>
  <c r="M23" i="17" s="1"/>
  <c r="G15" i="14" s="1"/>
  <c r="K22" i="17"/>
  <c r="M22" i="17" s="1"/>
  <c r="K24" i="17"/>
  <c r="M24" i="17" s="1"/>
  <c r="K21" i="17"/>
  <c r="L58" i="26" l="1"/>
  <c r="AD21" i="26" s="1"/>
  <c r="Y77" i="26"/>
  <c r="AC14" i="26" s="1"/>
  <c r="Y75" i="26"/>
  <c r="AC12" i="26" s="1"/>
  <c r="Y9" i="26"/>
  <c r="Y13" i="26"/>
  <c r="Y78" i="26"/>
  <c r="AC15" i="26" s="1"/>
  <c r="W17" i="26"/>
  <c r="Y17" i="26" s="1"/>
  <c r="X80" i="26"/>
  <c r="Y80" i="26" s="1"/>
  <c r="AC17" i="26" s="1"/>
  <c r="AB59" i="19"/>
  <c r="Y73" i="26"/>
  <c r="AC10" i="26" s="1"/>
  <c r="AB49" i="19"/>
  <c r="AA37" i="19"/>
  <c r="D66" i="19" s="1"/>
  <c r="AB28" i="19"/>
  <c r="AB29" i="19"/>
  <c r="AD28" i="19"/>
  <c r="AD29" i="19"/>
  <c r="AD26" i="18"/>
  <c r="AE26" i="18" s="1"/>
  <c r="O99" i="1" s="1"/>
  <c r="AD27" i="18"/>
  <c r="AE27" i="18" s="1"/>
  <c r="O100" i="1" s="1"/>
  <c r="AA37" i="26"/>
  <c r="D66" i="26" s="1"/>
  <c r="AD21" i="19"/>
  <c r="AE21" i="26"/>
  <c r="AG94" i="1" s="1"/>
  <c r="AB15" i="25"/>
  <c r="AB21" i="25"/>
  <c r="AE21" i="25" s="1"/>
  <c r="AA94" i="1" s="1"/>
  <c r="AD21" i="18"/>
  <c r="AB8" i="25"/>
  <c r="AB12" i="25"/>
  <c r="L87" i="25"/>
  <c r="L88" i="25"/>
  <c r="AB27" i="25" s="1"/>
  <c r="AB7" i="25"/>
  <c r="AB13" i="25"/>
  <c r="AB6" i="25"/>
  <c r="AB26" i="25"/>
  <c r="H42" i="25"/>
  <c r="M42" i="25" s="1"/>
  <c r="AB10" i="25"/>
  <c r="L86" i="25"/>
  <c r="AB18" i="25"/>
  <c r="AB5" i="25"/>
  <c r="H43" i="25"/>
  <c r="M43" i="25" s="1"/>
  <c r="AB17" i="25"/>
  <c r="H44" i="25"/>
  <c r="M44" i="25" s="1"/>
  <c r="AB9" i="25"/>
  <c r="AD14" i="25"/>
  <c r="AE14" i="25" s="1"/>
  <c r="AA87" i="1" s="1"/>
  <c r="M89" i="25"/>
  <c r="M85" i="25"/>
  <c r="AD16" i="25"/>
  <c r="AE16" i="25" s="1"/>
  <c r="AA89" i="1" s="1"/>
  <c r="AD11" i="25"/>
  <c r="AE11" i="25" s="1"/>
  <c r="AA84" i="1" s="1"/>
  <c r="I41" i="25"/>
  <c r="N41" i="25" s="1"/>
  <c r="M86" i="25"/>
  <c r="M87" i="25"/>
  <c r="I43" i="25"/>
  <c r="N43" i="25" s="1"/>
  <c r="I42" i="25"/>
  <c r="N42" i="25" s="1"/>
  <c r="AD12" i="25"/>
  <c r="AD7" i="25"/>
  <c r="M88" i="25"/>
  <c r="AD27" i="25" s="1"/>
  <c r="AD5" i="25"/>
  <c r="AD10" i="25"/>
  <c r="AD17" i="25"/>
  <c r="AD13" i="25"/>
  <c r="AD8" i="25"/>
  <c r="AD18" i="25"/>
  <c r="I44" i="25"/>
  <c r="N44" i="25" s="1"/>
  <c r="AD6" i="25"/>
  <c r="AD15" i="25"/>
  <c r="AD9" i="25"/>
  <c r="F43" i="25"/>
  <c r="F43" i="26"/>
  <c r="F44" i="25"/>
  <c r="F44" i="26"/>
  <c r="Y100" i="25"/>
  <c r="F52" i="25" s="1"/>
  <c r="AA69" i="1" s="1"/>
  <c r="F42" i="25"/>
  <c r="F42" i="26"/>
  <c r="L57" i="26"/>
  <c r="M85" i="26" s="1"/>
  <c r="AD30" i="26" s="1"/>
  <c r="AE30" i="26" s="1"/>
  <c r="AG103" i="1" s="1"/>
  <c r="AE19" i="25"/>
  <c r="AA92" i="1" s="1"/>
  <c r="Y37" i="25"/>
  <c r="AA65" i="1" s="1"/>
  <c r="AE19" i="26"/>
  <c r="AG92" i="1" s="1"/>
  <c r="M45" i="25"/>
  <c r="C67" i="25" s="1"/>
  <c r="D64" i="19"/>
  <c r="AC37" i="25"/>
  <c r="E68" i="25"/>
  <c r="Y79" i="26"/>
  <c r="AC16" i="26" s="1"/>
  <c r="AB15" i="18"/>
  <c r="L86" i="18"/>
  <c r="L88" i="18"/>
  <c r="L87" i="18"/>
  <c r="AB14" i="26"/>
  <c r="L89" i="26"/>
  <c r="M88" i="18"/>
  <c r="AD25" i="18" s="1"/>
  <c r="M87" i="18"/>
  <c r="M86" i="18"/>
  <c r="AB15" i="19"/>
  <c r="L86" i="19"/>
  <c r="L88" i="19"/>
  <c r="AB24" i="19" s="1"/>
  <c r="L87" i="19"/>
  <c r="AD14" i="26"/>
  <c r="M89" i="26"/>
  <c r="K83" i="13"/>
  <c r="K82" i="13"/>
  <c r="K81" i="13"/>
  <c r="L56" i="26"/>
  <c r="M84" i="26" s="1"/>
  <c r="AD33" i="26" s="1"/>
  <c r="L86" i="26"/>
  <c r="L88" i="26"/>
  <c r="AB28" i="26" s="1"/>
  <c r="L87" i="26"/>
  <c r="K80" i="13"/>
  <c r="AB25" i="13" s="1"/>
  <c r="AB5" i="13"/>
  <c r="M88" i="19"/>
  <c r="AD25" i="19" s="1"/>
  <c r="M87" i="19"/>
  <c r="M86" i="19"/>
  <c r="L49" i="26"/>
  <c r="L84" i="26" s="1"/>
  <c r="AB33" i="26" s="1"/>
  <c r="M88" i="26"/>
  <c r="M87" i="26"/>
  <c r="M86" i="26"/>
  <c r="L83" i="13"/>
  <c r="L82" i="13"/>
  <c r="L81" i="13"/>
  <c r="L80" i="13"/>
  <c r="AD25" i="13" s="1"/>
  <c r="AD5" i="13"/>
  <c r="AB8" i="26"/>
  <c r="AB12" i="26"/>
  <c r="AB15" i="26"/>
  <c r="AB10" i="26"/>
  <c r="AB17" i="26"/>
  <c r="H43" i="26"/>
  <c r="M43" i="26" s="1"/>
  <c r="H42" i="26"/>
  <c r="M42" i="26" s="1"/>
  <c r="AB5" i="26"/>
  <c r="AB6" i="26"/>
  <c r="AB7" i="26"/>
  <c r="H44" i="26"/>
  <c r="M44" i="26" s="1"/>
  <c r="AB18" i="26"/>
  <c r="AB13" i="26"/>
  <c r="AB9" i="26"/>
  <c r="H41" i="26"/>
  <c r="AB16" i="26"/>
  <c r="AB11" i="26"/>
  <c r="AD13" i="26"/>
  <c r="AD12" i="26"/>
  <c r="AD17" i="26"/>
  <c r="I42" i="26"/>
  <c r="N42" i="26" s="1"/>
  <c r="AD6" i="26"/>
  <c r="AD7" i="26"/>
  <c r="AD9" i="26"/>
  <c r="I44" i="26"/>
  <c r="N44" i="26" s="1"/>
  <c r="AD8" i="26"/>
  <c r="AD18" i="26"/>
  <c r="AD15" i="26"/>
  <c r="I43" i="26"/>
  <c r="N43" i="26" s="1"/>
  <c r="AA37" i="18"/>
  <c r="D66" i="18" s="1"/>
  <c r="AA37" i="13"/>
  <c r="D66" i="13" s="1"/>
  <c r="AD15" i="13"/>
  <c r="H43" i="13"/>
  <c r="M43" i="13" s="1"/>
  <c r="AE28" i="13"/>
  <c r="I101" i="1" s="1"/>
  <c r="AD21" i="13"/>
  <c r="AE21" i="13" s="1"/>
  <c r="I94" i="1" s="1"/>
  <c r="AB8" i="13"/>
  <c r="AB15" i="13"/>
  <c r="AD20" i="19"/>
  <c r="AD15" i="19"/>
  <c r="AD20" i="18"/>
  <c r="AD15" i="18"/>
  <c r="AB11" i="13"/>
  <c r="AB11" i="19"/>
  <c r="AB21" i="19"/>
  <c r="H40" i="18"/>
  <c r="M40" i="18" s="1"/>
  <c r="AB21" i="18"/>
  <c r="AB9" i="18"/>
  <c r="AB20" i="18"/>
  <c r="AB7" i="19"/>
  <c r="AB20" i="19"/>
  <c r="F11" i="11"/>
  <c r="K11" i="11"/>
  <c r="L11" i="11"/>
  <c r="A7" i="12"/>
  <c r="D7" i="12" s="1"/>
  <c r="C6" i="12"/>
  <c r="E6" i="12"/>
  <c r="A54" i="12"/>
  <c r="A101" i="12" s="1"/>
  <c r="G6" i="12"/>
  <c r="H6" i="12"/>
  <c r="M6" i="12"/>
  <c r="U6" i="12"/>
  <c r="N6" i="12"/>
  <c r="N7" i="12" s="1"/>
  <c r="P6" i="12"/>
  <c r="O6" i="12"/>
  <c r="F6" i="12"/>
  <c r="I6" i="12"/>
  <c r="J6" i="12"/>
  <c r="K6" i="12"/>
  <c r="L6" i="12"/>
  <c r="B6" i="12"/>
  <c r="B7" i="12" s="1"/>
  <c r="B84" i="12"/>
  <c r="AB13" i="19"/>
  <c r="R11" i="11"/>
  <c r="I41" i="18"/>
  <c r="AD16" i="18"/>
  <c r="AE16" i="18" s="1"/>
  <c r="AD16" i="19"/>
  <c r="I41" i="19"/>
  <c r="H41" i="13"/>
  <c r="M41" i="13" s="1"/>
  <c r="AB16" i="13"/>
  <c r="I41" i="13"/>
  <c r="N41" i="13" s="1"/>
  <c r="AD16" i="13"/>
  <c r="W11" i="11"/>
  <c r="Y11" i="11"/>
  <c r="X11" i="11"/>
  <c r="U11" i="11"/>
  <c r="S11" i="11"/>
  <c r="V11" i="11"/>
  <c r="O11" i="11"/>
  <c r="T11" i="11"/>
  <c r="P11" i="11"/>
  <c r="Q11" i="11"/>
  <c r="Z11" i="11"/>
  <c r="AD39" i="11"/>
  <c r="AE39" i="11" s="1"/>
  <c r="AD40" i="11"/>
  <c r="AE40" i="11" s="1"/>
  <c r="AD38" i="11"/>
  <c r="AE38" i="11" s="1"/>
  <c r="AB11" i="18"/>
  <c r="AB10" i="18"/>
  <c r="AB5" i="18"/>
  <c r="H42" i="19"/>
  <c r="M42" i="19" s="1"/>
  <c r="AB19" i="18"/>
  <c r="H43" i="18"/>
  <c r="M43" i="18" s="1"/>
  <c r="AB14" i="18"/>
  <c r="AB6" i="18"/>
  <c r="AB8" i="18"/>
  <c r="AB7" i="18"/>
  <c r="AD42" i="11"/>
  <c r="AE42" i="11" s="1"/>
  <c r="AD37" i="11"/>
  <c r="AE37" i="11" s="1"/>
  <c r="AD41" i="11"/>
  <c r="AE41" i="11" s="1"/>
  <c r="AC9" i="11"/>
  <c r="AD9" i="11" s="1"/>
  <c r="AE9" i="11" s="1"/>
  <c r="AB9" i="19"/>
  <c r="AB19" i="19"/>
  <c r="AB12" i="19"/>
  <c r="AB8" i="19"/>
  <c r="AB18" i="19"/>
  <c r="AB18" i="13"/>
  <c r="AB17" i="19"/>
  <c r="AB10" i="19"/>
  <c r="AB7" i="13"/>
  <c r="AB17" i="13"/>
  <c r="L45" i="13"/>
  <c r="C66" i="13" s="1"/>
  <c r="H44" i="19"/>
  <c r="M44" i="19" s="1"/>
  <c r="H40" i="19"/>
  <c r="M40" i="19" s="1"/>
  <c r="AB18" i="18"/>
  <c r="AD5" i="19"/>
  <c r="I40" i="19"/>
  <c r="N40" i="19" s="1"/>
  <c r="AD10" i="19"/>
  <c r="AD11" i="19"/>
  <c r="AD19" i="19"/>
  <c r="Y2" i="12"/>
  <c r="B50" i="12" s="1"/>
  <c r="F43" i="19"/>
  <c r="F43" i="18"/>
  <c r="F43" i="13"/>
  <c r="K43" i="13" s="1"/>
  <c r="F44" i="19"/>
  <c r="F44" i="18"/>
  <c r="F44" i="13"/>
  <c r="H43" i="19"/>
  <c r="M43" i="19" s="1"/>
  <c r="AB12" i="18"/>
  <c r="H42" i="18"/>
  <c r="M42" i="18" s="1"/>
  <c r="AB14" i="19"/>
  <c r="AB13" i="18"/>
  <c r="F42" i="18"/>
  <c r="F42" i="19"/>
  <c r="F42" i="13"/>
  <c r="AB6" i="19"/>
  <c r="AB17" i="18"/>
  <c r="AD12" i="18"/>
  <c r="AD13" i="18"/>
  <c r="I42" i="18"/>
  <c r="N42" i="18" s="1"/>
  <c r="AD6" i="18"/>
  <c r="AD17" i="18"/>
  <c r="I44" i="18"/>
  <c r="N44" i="18" s="1"/>
  <c r="AD18" i="18"/>
  <c r="I43" i="18"/>
  <c r="N43" i="18" s="1"/>
  <c r="AD7" i="18"/>
  <c r="AD9" i="18"/>
  <c r="AD8" i="18"/>
  <c r="AD14" i="18"/>
  <c r="H44" i="18"/>
  <c r="M44" i="18" s="1"/>
  <c r="AD19" i="18"/>
  <c r="AD5" i="18"/>
  <c r="AD10" i="18"/>
  <c r="I40" i="18"/>
  <c r="N40" i="18" s="1"/>
  <c r="AD11" i="18"/>
  <c r="AD18" i="19"/>
  <c r="AD6" i="19"/>
  <c r="AD8" i="19"/>
  <c r="AD13" i="19"/>
  <c r="I42" i="19"/>
  <c r="N42" i="19" s="1"/>
  <c r="AD12" i="19"/>
  <c r="I44" i="19"/>
  <c r="N44" i="19" s="1"/>
  <c r="I43" i="19"/>
  <c r="N43" i="19" s="1"/>
  <c r="AD17" i="19"/>
  <c r="AD9" i="19"/>
  <c r="AD7" i="19"/>
  <c r="AD14" i="19"/>
  <c r="L45" i="18"/>
  <c r="C66" i="18" s="1"/>
  <c r="L45" i="19"/>
  <c r="C66" i="19" s="1"/>
  <c r="H44" i="13"/>
  <c r="M44" i="13" s="1"/>
  <c r="AB9" i="13"/>
  <c r="AB6" i="13"/>
  <c r="AB12" i="13"/>
  <c r="AB13" i="13"/>
  <c r="H42" i="13"/>
  <c r="M42" i="13" s="1"/>
  <c r="AB14" i="13"/>
  <c r="M16" i="14"/>
  <c r="I7" i="13"/>
  <c r="I7" i="18" s="1"/>
  <c r="M15" i="14"/>
  <c r="I6" i="13"/>
  <c r="I6" i="18" s="1"/>
  <c r="M23" i="14"/>
  <c r="I14" i="13"/>
  <c r="I14" i="18" s="1"/>
  <c r="M22" i="14"/>
  <c r="I13" i="13"/>
  <c r="I13" i="18" s="1"/>
  <c r="AD20" i="13"/>
  <c r="AE20" i="13" s="1"/>
  <c r="AD10" i="13"/>
  <c r="AE10" i="13" s="1"/>
  <c r="I40" i="13"/>
  <c r="N40" i="13" s="1"/>
  <c r="O40" i="13" s="1"/>
  <c r="AD11" i="13"/>
  <c r="AD19" i="13"/>
  <c r="M17" i="14"/>
  <c r="I8" i="13"/>
  <c r="I8" i="18" s="1"/>
  <c r="M21" i="14"/>
  <c r="I12" i="13"/>
  <c r="I12" i="18" s="1"/>
  <c r="M18" i="14"/>
  <c r="I9" i="13"/>
  <c r="I9" i="18" s="1"/>
  <c r="AD18" i="13"/>
  <c r="AD13" i="13"/>
  <c r="AD6" i="13"/>
  <c r="I44" i="13"/>
  <c r="N44" i="13" s="1"/>
  <c r="AD9" i="13"/>
  <c r="I42" i="13"/>
  <c r="N42" i="13" s="1"/>
  <c r="AD17" i="13"/>
  <c r="AD7" i="13"/>
  <c r="AD8" i="13"/>
  <c r="I43" i="13"/>
  <c r="N43" i="13" s="1"/>
  <c r="AD14" i="13"/>
  <c r="AD12" i="13"/>
  <c r="M27" i="14"/>
  <c r="I18" i="13"/>
  <c r="I18" i="18" s="1"/>
  <c r="M26" i="14"/>
  <c r="I17" i="13"/>
  <c r="I17" i="18" s="1"/>
  <c r="M40" i="11"/>
  <c r="M42" i="11"/>
  <c r="M38" i="11"/>
  <c r="M9" i="11"/>
  <c r="M39" i="11"/>
  <c r="G22" i="14"/>
  <c r="G16" i="14"/>
  <c r="G27" i="14"/>
  <c r="G26" i="14"/>
  <c r="G18" i="14"/>
  <c r="G23" i="14"/>
  <c r="R23" i="14" s="1"/>
  <c r="G17" i="14"/>
  <c r="G21" i="14"/>
  <c r="C44" i="12"/>
  <c r="I44" i="12" s="1"/>
  <c r="M36" i="11"/>
  <c r="S3" i="12"/>
  <c r="Z4" i="12"/>
  <c r="Q3" i="12"/>
  <c r="R3" i="12"/>
  <c r="M41" i="11"/>
  <c r="M10" i="11"/>
  <c r="AA10" i="11"/>
  <c r="AC10" i="11"/>
  <c r="H11" i="11"/>
  <c r="AB10" i="11"/>
  <c r="B11" i="11"/>
  <c r="C13" i="11"/>
  <c r="G12" i="11"/>
  <c r="A14" i="11"/>
  <c r="D13" i="11"/>
  <c r="I11" i="11"/>
  <c r="B83" i="12"/>
  <c r="C46" i="12"/>
  <c r="A8" i="12"/>
  <c r="T3" i="12"/>
  <c r="T7" i="12"/>
  <c r="T5" i="12"/>
  <c r="T6" i="12"/>
  <c r="T4" i="12"/>
  <c r="T2" i="12"/>
  <c r="AE5" i="13" l="1"/>
  <c r="AE6" i="25"/>
  <c r="AA79" i="1" s="1"/>
  <c r="AC37" i="26"/>
  <c r="Y37" i="26"/>
  <c r="AG65" i="1" s="1"/>
  <c r="Y100" i="26"/>
  <c r="F52" i="26" s="1"/>
  <c r="AG69" i="1" s="1"/>
  <c r="AB24" i="25"/>
  <c r="AE28" i="19"/>
  <c r="U101" i="1" s="1"/>
  <c r="AB29" i="26"/>
  <c r="AB23" i="25"/>
  <c r="AE21" i="19"/>
  <c r="U94" i="1" s="1"/>
  <c r="AE29" i="19"/>
  <c r="U102" i="1" s="1"/>
  <c r="AD28" i="26"/>
  <c r="AE28" i="26" s="1"/>
  <c r="AG101" i="1" s="1"/>
  <c r="AD29" i="26"/>
  <c r="AD28" i="25"/>
  <c r="AE28" i="25" s="1"/>
  <c r="AA101" i="1" s="1"/>
  <c r="AD29" i="25"/>
  <c r="AE29" i="25" s="1"/>
  <c r="AA102" i="1" s="1"/>
  <c r="AE7" i="25"/>
  <c r="AA80" i="1" s="1"/>
  <c r="AB27" i="19"/>
  <c r="AD27" i="19"/>
  <c r="AD26" i="19"/>
  <c r="AB26" i="19"/>
  <c r="AB24" i="18"/>
  <c r="AB25" i="18"/>
  <c r="AE25" i="18" s="1"/>
  <c r="O98" i="1" s="1"/>
  <c r="AB25" i="19"/>
  <c r="AE25" i="19" s="1"/>
  <c r="U98" i="1" s="1"/>
  <c r="AE12" i="25"/>
  <c r="AA85" i="1" s="1"/>
  <c r="AD23" i="13"/>
  <c r="AD24" i="13"/>
  <c r="AB23" i="13"/>
  <c r="AB24" i="13"/>
  <c r="AE8" i="25"/>
  <c r="AA81" i="1" s="1"/>
  <c r="AE13" i="25"/>
  <c r="AA86" i="1" s="1"/>
  <c r="AE17" i="25"/>
  <c r="AA90" i="1" s="1"/>
  <c r="AD5" i="26"/>
  <c r="AD10" i="26"/>
  <c r="AB22" i="25"/>
  <c r="AE9" i="25"/>
  <c r="AA82" i="1" s="1"/>
  <c r="AB25" i="25"/>
  <c r="AE33" i="26"/>
  <c r="AG106" i="1" s="1"/>
  <c r="AE18" i="25"/>
  <c r="AA91" i="1" s="1"/>
  <c r="AD26" i="26"/>
  <c r="AD27" i="26"/>
  <c r="AB26" i="26"/>
  <c r="AB27" i="26"/>
  <c r="AE27" i="25"/>
  <c r="AA100" i="1" s="1"/>
  <c r="AD25" i="25"/>
  <c r="AD26" i="25"/>
  <c r="AE26" i="25" s="1"/>
  <c r="AA99" i="1" s="1"/>
  <c r="AD22" i="25"/>
  <c r="AD24" i="26"/>
  <c r="AD25" i="26"/>
  <c r="AB24" i="26"/>
  <c r="AB25" i="26"/>
  <c r="AD23" i="25"/>
  <c r="AD24" i="25"/>
  <c r="AD22" i="18"/>
  <c r="AD24" i="18"/>
  <c r="AD22" i="19"/>
  <c r="AD24" i="19"/>
  <c r="AE24" i="19" s="1"/>
  <c r="U97" i="1" s="1"/>
  <c r="AD22" i="13"/>
  <c r="AB22" i="13"/>
  <c r="O41" i="25"/>
  <c r="P41" i="25" s="1"/>
  <c r="AB22" i="18"/>
  <c r="AB23" i="18"/>
  <c r="AD23" i="18"/>
  <c r="I17" i="19"/>
  <c r="I9" i="19"/>
  <c r="X48" i="26"/>
  <c r="Z15" i="26" s="1"/>
  <c r="AE15" i="26" s="1"/>
  <c r="AG88" i="1" s="1"/>
  <c r="K44" i="26"/>
  <c r="X47" i="25"/>
  <c r="Z10" i="25" s="1"/>
  <c r="AE10" i="25" s="1"/>
  <c r="AA83" i="1" s="1"/>
  <c r="K43" i="25"/>
  <c r="S14" i="25"/>
  <c r="S14" i="26"/>
  <c r="N17" i="25"/>
  <c r="N17" i="26"/>
  <c r="N9" i="25"/>
  <c r="N9" i="26"/>
  <c r="N8" i="26"/>
  <c r="N8" i="25"/>
  <c r="I14" i="19"/>
  <c r="I7" i="19"/>
  <c r="I41" i="26"/>
  <c r="N41" i="26" s="1"/>
  <c r="X46" i="26"/>
  <c r="Z5" i="26" s="1"/>
  <c r="AE5" i="26" s="1"/>
  <c r="K42" i="26"/>
  <c r="X48" i="25"/>
  <c r="Z15" i="25" s="1"/>
  <c r="AE15" i="25" s="1"/>
  <c r="AA88" i="1" s="1"/>
  <c r="K44" i="25"/>
  <c r="I8" i="19"/>
  <c r="I18" i="19"/>
  <c r="I12" i="19"/>
  <c r="N14" i="26"/>
  <c r="N14" i="25"/>
  <c r="N7" i="26"/>
  <c r="N7" i="25"/>
  <c r="AD11" i="26"/>
  <c r="AE11" i="26" s="1"/>
  <c r="AG84" i="1" s="1"/>
  <c r="X46" i="25"/>
  <c r="Z5" i="25" s="1"/>
  <c r="K42" i="25"/>
  <c r="N13" i="25"/>
  <c r="N13" i="26"/>
  <c r="E16" i="5"/>
  <c r="N6" i="26"/>
  <c r="N6" i="25"/>
  <c r="N18" i="26"/>
  <c r="N18" i="25"/>
  <c r="N12" i="26"/>
  <c r="N12" i="25"/>
  <c r="I13" i="19"/>
  <c r="I6" i="19"/>
  <c r="AD16" i="26"/>
  <c r="AE16" i="26" s="1"/>
  <c r="AG89" i="1" s="1"/>
  <c r="X47" i="26"/>
  <c r="Z10" i="26" s="1"/>
  <c r="K43" i="26"/>
  <c r="D64" i="25"/>
  <c r="E64" i="25" s="1"/>
  <c r="AD23" i="19"/>
  <c r="AB22" i="19"/>
  <c r="AB23" i="19"/>
  <c r="AB22" i="26"/>
  <c r="AB23" i="26"/>
  <c r="AD22" i="26"/>
  <c r="AD23" i="26"/>
  <c r="D64" i="26"/>
  <c r="E64" i="26" s="1"/>
  <c r="I40" i="26"/>
  <c r="N40" i="26" s="1"/>
  <c r="N45" i="26" s="1"/>
  <c r="C68" i="26" s="1"/>
  <c r="H40" i="26"/>
  <c r="M40" i="26" s="1"/>
  <c r="O40" i="26" s="1"/>
  <c r="P40" i="26" s="1"/>
  <c r="AE14" i="26"/>
  <c r="AG87" i="1" s="1"/>
  <c r="AE13" i="26"/>
  <c r="AG86" i="1" s="1"/>
  <c r="M41" i="26"/>
  <c r="O42" i="26"/>
  <c r="P42" i="26" s="1"/>
  <c r="AE9" i="26"/>
  <c r="AG82" i="1" s="1"/>
  <c r="AE7" i="26"/>
  <c r="AG80" i="1" s="1"/>
  <c r="O43" i="26"/>
  <c r="P43" i="26" s="1"/>
  <c r="AE12" i="26"/>
  <c r="AG85" i="1" s="1"/>
  <c r="AE6" i="26"/>
  <c r="AG79" i="1" s="1"/>
  <c r="AE17" i="26"/>
  <c r="AG90" i="1" s="1"/>
  <c r="AE8" i="26"/>
  <c r="AG81" i="1" s="1"/>
  <c r="AE18" i="26"/>
  <c r="AG91" i="1" s="1"/>
  <c r="AE21" i="18"/>
  <c r="O94" i="1" s="1"/>
  <c r="AE30" i="13"/>
  <c r="I103" i="1" s="1"/>
  <c r="AE29" i="13"/>
  <c r="I102" i="1" s="1"/>
  <c r="AE26" i="13"/>
  <c r="I99" i="1" s="1"/>
  <c r="AE25" i="13"/>
  <c r="I98" i="1" s="1"/>
  <c r="AE20" i="18"/>
  <c r="O93" i="1" s="1"/>
  <c r="AE20" i="19"/>
  <c r="U93" i="1" s="1"/>
  <c r="AE6" i="19"/>
  <c r="U79" i="1" s="1"/>
  <c r="AE9" i="13"/>
  <c r="I82" i="1" s="1"/>
  <c r="AE19" i="19"/>
  <c r="U92" i="1" s="1"/>
  <c r="AE13" i="19"/>
  <c r="U86" i="1" s="1"/>
  <c r="AE17" i="18"/>
  <c r="O90" i="1" s="1"/>
  <c r="AE18" i="19"/>
  <c r="U91" i="1" s="1"/>
  <c r="AE14" i="18"/>
  <c r="O87" i="1" s="1"/>
  <c r="AE16" i="13"/>
  <c r="I89" i="1" s="1"/>
  <c r="O89" i="1"/>
  <c r="AE13" i="18"/>
  <c r="O86" i="1" s="1"/>
  <c r="AE7" i="18"/>
  <c r="O80" i="1" s="1"/>
  <c r="AE13" i="13"/>
  <c r="I86" i="1" s="1"/>
  <c r="AE14" i="19"/>
  <c r="U87" i="1" s="1"/>
  <c r="AE18" i="18"/>
  <c r="O91" i="1" s="1"/>
  <c r="AE17" i="13"/>
  <c r="I90" i="1" s="1"/>
  <c r="AE17" i="19"/>
  <c r="U90" i="1" s="1"/>
  <c r="AE19" i="18"/>
  <c r="O92" i="1" s="1"/>
  <c r="AE16" i="19"/>
  <c r="U89" i="1" s="1"/>
  <c r="AE9" i="19"/>
  <c r="U82" i="1" s="1"/>
  <c r="AE8" i="19"/>
  <c r="U81" i="1" s="1"/>
  <c r="AE7" i="19"/>
  <c r="U80" i="1" s="1"/>
  <c r="AE12" i="19"/>
  <c r="U85" i="1" s="1"/>
  <c r="AE11" i="19"/>
  <c r="U84" i="1" s="1"/>
  <c r="AE11" i="18"/>
  <c r="O84" i="1" s="1"/>
  <c r="AE6" i="18"/>
  <c r="O79" i="1" s="1"/>
  <c r="AE12" i="18"/>
  <c r="O85" i="1" s="1"/>
  <c r="AE9" i="18"/>
  <c r="O82" i="1" s="1"/>
  <c r="AE8" i="18"/>
  <c r="O81" i="1" s="1"/>
  <c r="A55" i="12"/>
  <c r="A102" i="12" s="1"/>
  <c r="I93" i="1"/>
  <c r="AE7" i="13"/>
  <c r="I80" i="1" s="1"/>
  <c r="AE18" i="13"/>
  <c r="I91" i="1" s="1"/>
  <c r="I7" i="12"/>
  <c r="L7" i="12"/>
  <c r="L8" i="12" s="1"/>
  <c r="F7" i="12"/>
  <c r="I83" i="1"/>
  <c r="U7" i="12"/>
  <c r="AE14" i="13"/>
  <c r="I87" i="1" s="1"/>
  <c r="AE12" i="13"/>
  <c r="I85" i="1" s="1"/>
  <c r="AE19" i="13"/>
  <c r="I92" i="1" s="1"/>
  <c r="AE11" i="13"/>
  <c r="I84" i="1" s="1"/>
  <c r="AE6" i="13"/>
  <c r="I79" i="1" s="1"/>
  <c r="AE8" i="13"/>
  <c r="I81" i="1" s="1"/>
  <c r="F12" i="11"/>
  <c r="L12" i="11"/>
  <c r="K12" i="11"/>
  <c r="G7" i="12"/>
  <c r="K7" i="12"/>
  <c r="K8" i="12" s="1"/>
  <c r="O7" i="12"/>
  <c r="O8" i="12" s="1"/>
  <c r="M7" i="12"/>
  <c r="M8" i="12" s="1"/>
  <c r="E7" i="12"/>
  <c r="E8" i="12" s="1"/>
  <c r="J7" i="12"/>
  <c r="J8" i="12" s="1"/>
  <c r="P7" i="12"/>
  <c r="P8" i="12" s="1"/>
  <c r="H7" i="12"/>
  <c r="H8" i="12" s="1"/>
  <c r="C7" i="12"/>
  <c r="C8" i="12" s="1"/>
  <c r="A9" i="12"/>
  <c r="A10" i="12" s="1"/>
  <c r="L44" i="12"/>
  <c r="R16" i="4" s="1"/>
  <c r="O41" i="13"/>
  <c r="P41" i="13" s="1"/>
  <c r="N41" i="19"/>
  <c r="N45" i="19" s="1"/>
  <c r="C68" i="19" s="1"/>
  <c r="O41" i="19"/>
  <c r="P41" i="19" s="1"/>
  <c r="N41" i="18"/>
  <c r="N45" i="18" s="1"/>
  <c r="C68" i="18" s="1"/>
  <c r="O41" i="18"/>
  <c r="P41" i="18" s="1"/>
  <c r="Z12" i="11"/>
  <c r="X12" i="11"/>
  <c r="Y12" i="11"/>
  <c r="V12" i="11"/>
  <c r="O12" i="11"/>
  <c r="Q12" i="11"/>
  <c r="P12" i="11"/>
  <c r="S12" i="11"/>
  <c r="W12" i="11"/>
  <c r="T12" i="11"/>
  <c r="U12" i="11"/>
  <c r="R12" i="11"/>
  <c r="G8" i="12"/>
  <c r="D8" i="12"/>
  <c r="F8" i="12"/>
  <c r="I8" i="12"/>
  <c r="B8" i="12"/>
  <c r="N8" i="12"/>
  <c r="M45" i="19"/>
  <c r="C67" i="19" s="1"/>
  <c r="AD10" i="11"/>
  <c r="AE10" i="11" s="1"/>
  <c r="M45" i="18"/>
  <c r="C67" i="18" s="1"/>
  <c r="M45" i="13"/>
  <c r="C67" i="13" s="1"/>
  <c r="E67" i="13" s="1"/>
  <c r="O40" i="18"/>
  <c r="P40" i="18" s="1"/>
  <c r="X48" i="13"/>
  <c r="Z15" i="13" s="1"/>
  <c r="K44" i="13"/>
  <c r="X46" i="13"/>
  <c r="K42" i="13"/>
  <c r="X48" i="18"/>
  <c r="Z15" i="18" s="1"/>
  <c r="K44" i="18"/>
  <c r="O40" i="19"/>
  <c r="P40" i="19" s="1"/>
  <c r="K42" i="19"/>
  <c r="X48" i="19"/>
  <c r="K44" i="19"/>
  <c r="K42" i="18"/>
  <c r="X46" i="18"/>
  <c r="X47" i="13"/>
  <c r="O43" i="13"/>
  <c r="P43" i="13" s="1"/>
  <c r="K43" i="18"/>
  <c r="O43" i="18" s="1"/>
  <c r="P43" i="18" s="1"/>
  <c r="X47" i="18"/>
  <c r="Z10" i="18" s="1"/>
  <c r="X47" i="19"/>
  <c r="Z10" i="19" s="1"/>
  <c r="K43" i="19"/>
  <c r="O43" i="19" s="1"/>
  <c r="P43" i="19" s="1"/>
  <c r="N14" i="13"/>
  <c r="N14" i="19"/>
  <c r="N14" i="18"/>
  <c r="N7" i="13"/>
  <c r="N7" i="19"/>
  <c r="N7" i="18"/>
  <c r="N9" i="13"/>
  <c r="N9" i="18"/>
  <c r="N9" i="19"/>
  <c r="N8" i="13"/>
  <c r="N8" i="19"/>
  <c r="N8" i="18"/>
  <c r="N17" i="13"/>
  <c r="N17" i="18"/>
  <c r="N17" i="19"/>
  <c r="N12" i="13"/>
  <c r="N12" i="19"/>
  <c r="N12" i="18"/>
  <c r="N18" i="13"/>
  <c r="N18" i="18"/>
  <c r="N18" i="19"/>
  <c r="N13" i="13"/>
  <c r="N13" i="19"/>
  <c r="N13" i="18"/>
  <c r="N6" i="13"/>
  <c r="N6" i="19"/>
  <c r="N6" i="18"/>
  <c r="H18" i="13"/>
  <c r="H18" i="18" s="1"/>
  <c r="H9" i="13"/>
  <c r="H9" i="18" s="1"/>
  <c r="H7" i="13"/>
  <c r="H7" i="18" s="1"/>
  <c r="H8" i="13"/>
  <c r="H8" i="18" s="1"/>
  <c r="H6" i="13"/>
  <c r="H6" i="18" s="1"/>
  <c r="H14" i="13"/>
  <c r="H14" i="18" s="1"/>
  <c r="H17" i="13"/>
  <c r="H17" i="18" s="1"/>
  <c r="H13" i="13"/>
  <c r="H13" i="18" s="1"/>
  <c r="N45" i="13"/>
  <c r="C68" i="13" s="1"/>
  <c r="P40" i="13"/>
  <c r="R21" i="14"/>
  <c r="H12" i="13"/>
  <c r="H12" i="18" s="1"/>
  <c r="L23" i="14"/>
  <c r="L27" i="14"/>
  <c r="R27" i="14"/>
  <c r="L18" i="14"/>
  <c r="R18" i="14"/>
  <c r="L16" i="14"/>
  <c r="R16" i="14"/>
  <c r="L26" i="14"/>
  <c r="R26" i="14"/>
  <c r="L22" i="14"/>
  <c r="R22" i="14"/>
  <c r="L17" i="14"/>
  <c r="R17" i="14"/>
  <c r="L15" i="14"/>
  <c r="R15" i="14"/>
  <c r="I46" i="12"/>
  <c r="L21" i="14"/>
  <c r="C20" i="5"/>
  <c r="Y3" i="12"/>
  <c r="Q4" i="12"/>
  <c r="S4" i="12"/>
  <c r="R4" i="12"/>
  <c r="Z5" i="12"/>
  <c r="M11" i="11"/>
  <c r="AA11" i="11"/>
  <c r="AB11" i="11"/>
  <c r="AC11" i="11"/>
  <c r="H12" i="11"/>
  <c r="C14" i="11"/>
  <c r="B12" i="11"/>
  <c r="I12" i="11"/>
  <c r="G13" i="11"/>
  <c r="A15" i="11"/>
  <c r="D14" i="11"/>
  <c r="T8" i="12"/>
  <c r="A56" i="12"/>
  <c r="A103" i="12" s="1"/>
  <c r="U8" i="12"/>
  <c r="AE24" i="25" l="1"/>
  <c r="AA97" i="1" s="1"/>
  <c r="AD37" i="13"/>
  <c r="I111" i="1" s="1"/>
  <c r="AA54" i="19"/>
  <c r="AE23" i="13"/>
  <c r="I96" i="1" s="1"/>
  <c r="AE24" i="18"/>
  <c r="O97" i="1" s="1"/>
  <c r="AE29" i="26"/>
  <c r="AG102" i="1" s="1"/>
  <c r="AE23" i="25"/>
  <c r="AA96" i="1" s="1"/>
  <c r="AE10" i="26"/>
  <c r="AG83" i="1" s="1"/>
  <c r="AE25" i="25"/>
  <c r="AA98" i="1" s="1"/>
  <c r="AE27" i="19"/>
  <c r="U100" i="1" s="1"/>
  <c r="AE24" i="13"/>
  <c r="I97" i="1" s="1"/>
  <c r="AE26" i="19"/>
  <c r="U99" i="1" s="1"/>
  <c r="AB37" i="13"/>
  <c r="I110" i="1" s="1"/>
  <c r="AB37" i="25"/>
  <c r="D67" i="25" s="1"/>
  <c r="E67" i="25" s="1"/>
  <c r="AE22" i="19"/>
  <c r="U95" i="1" s="1"/>
  <c r="AB37" i="18"/>
  <c r="O110" i="1" s="1"/>
  <c r="AE23" i="18"/>
  <c r="O96" i="1" s="1"/>
  <c r="AE24" i="26"/>
  <c r="AG97" i="1" s="1"/>
  <c r="AE26" i="26"/>
  <c r="AG99" i="1" s="1"/>
  <c r="AE27" i="26"/>
  <c r="AG100" i="1" s="1"/>
  <c r="AE22" i="18"/>
  <c r="O95" i="1" s="1"/>
  <c r="AD37" i="25"/>
  <c r="D68" i="25" s="1"/>
  <c r="AD37" i="18"/>
  <c r="O111" i="1" s="1"/>
  <c r="AE22" i="25"/>
  <c r="AA95" i="1" s="1"/>
  <c r="AE25" i="26"/>
  <c r="AG98" i="1" s="1"/>
  <c r="O41" i="26"/>
  <c r="P41" i="26" s="1"/>
  <c r="AE23" i="19"/>
  <c r="U96" i="1" s="1"/>
  <c r="M7" i="26"/>
  <c r="M7" i="25"/>
  <c r="Z37" i="25"/>
  <c r="AE5" i="25"/>
  <c r="M12" i="25"/>
  <c r="M12" i="26"/>
  <c r="S8" i="26"/>
  <c r="S8" i="25"/>
  <c r="S17" i="26"/>
  <c r="S17" i="25"/>
  <c r="S9" i="26"/>
  <c r="S9" i="25"/>
  <c r="M14" i="26"/>
  <c r="M14" i="25"/>
  <c r="H6" i="19"/>
  <c r="H6" i="25" s="1"/>
  <c r="H6" i="26" s="1"/>
  <c r="H18" i="19"/>
  <c r="H18" i="25" s="1"/>
  <c r="H18" i="26" s="1"/>
  <c r="M6" i="26"/>
  <c r="M6" i="25"/>
  <c r="M13" i="26"/>
  <c r="M13" i="25"/>
  <c r="M18" i="26"/>
  <c r="M18" i="25"/>
  <c r="H9" i="19"/>
  <c r="H9" i="25" s="1"/>
  <c r="H9" i="26" s="1"/>
  <c r="M8" i="25"/>
  <c r="M8" i="26"/>
  <c r="M17" i="26"/>
  <c r="M17" i="25"/>
  <c r="M9" i="26"/>
  <c r="M9" i="25"/>
  <c r="H12" i="19"/>
  <c r="H12" i="25" s="1"/>
  <c r="H12" i="26" s="1"/>
  <c r="H13" i="19"/>
  <c r="H13" i="25" s="1"/>
  <c r="H13" i="26" s="1"/>
  <c r="H8" i="19"/>
  <c r="H8" i="25" s="1"/>
  <c r="H8" i="26" s="1"/>
  <c r="Z15" i="19"/>
  <c r="Z37" i="19" s="1"/>
  <c r="AD37" i="19"/>
  <c r="D68" i="19" s="1"/>
  <c r="AB37" i="19"/>
  <c r="U110" i="1" s="1"/>
  <c r="Z37" i="26"/>
  <c r="H14" i="19"/>
  <c r="H14" i="25" s="1"/>
  <c r="H14" i="26" s="1"/>
  <c r="S6" i="25"/>
  <c r="S6" i="26"/>
  <c r="S13" i="26"/>
  <c r="S13" i="25"/>
  <c r="S7" i="26"/>
  <c r="S7" i="25"/>
  <c r="S18" i="25"/>
  <c r="S18" i="26"/>
  <c r="S12" i="26"/>
  <c r="S12" i="25"/>
  <c r="H17" i="19"/>
  <c r="H17" i="25" s="1"/>
  <c r="H17" i="26" s="1"/>
  <c r="H7" i="19"/>
  <c r="H7" i="25" s="1"/>
  <c r="H7" i="26" s="1"/>
  <c r="Z5" i="18"/>
  <c r="AE23" i="26"/>
  <c r="AG96" i="1" s="1"/>
  <c r="AB37" i="26"/>
  <c r="D67" i="26" s="1"/>
  <c r="AE22" i="26"/>
  <c r="AG95" i="1" s="1"/>
  <c r="AD37" i="26"/>
  <c r="D68" i="26" s="1"/>
  <c r="D68" i="13"/>
  <c r="E68" i="26"/>
  <c r="M45" i="26"/>
  <c r="C67" i="26" s="1"/>
  <c r="E67" i="26" s="1"/>
  <c r="AG78" i="1"/>
  <c r="AE5" i="19"/>
  <c r="U78" i="1" s="1"/>
  <c r="AE15" i="18"/>
  <c r="O88" i="1" s="1"/>
  <c r="AE15" i="13"/>
  <c r="I88" i="1" s="1"/>
  <c r="AE10" i="19"/>
  <c r="AE10" i="18"/>
  <c r="O83" i="1" s="1"/>
  <c r="N11" i="11"/>
  <c r="N8" i="11"/>
  <c r="E8" i="11"/>
  <c r="N9" i="11"/>
  <c r="N10" i="11"/>
  <c r="N12" i="11"/>
  <c r="L13" i="11"/>
  <c r="K13" i="11"/>
  <c r="F13" i="11"/>
  <c r="N13" i="11" s="1"/>
  <c r="O9" i="12"/>
  <c r="O10" i="12" s="1"/>
  <c r="B51" i="12"/>
  <c r="L46" i="12"/>
  <c r="T16" i="4" s="1"/>
  <c r="R13" i="11"/>
  <c r="S13" i="11"/>
  <c r="V13" i="11"/>
  <c r="O13" i="11"/>
  <c r="U13" i="11"/>
  <c r="P13" i="11"/>
  <c r="Y13" i="11"/>
  <c r="T13" i="11"/>
  <c r="Q13" i="11"/>
  <c r="X13" i="11"/>
  <c r="W13" i="11"/>
  <c r="Z13" i="11"/>
  <c r="I9" i="12"/>
  <c r="P9" i="12"/>
  <c r="M9" i="12"/>
  <c r="N9" i="12"/>
  <c r="L9" i="12"/>
  <c r="E9" i="12"/>
  <c r="J9" i="12"/>
  <c r="B9" i="12"/>
  <c r="K9" i="12"/>
  <c r="D9" i="12"/>
  <c r="G9" i="12"/>
  <c r="H9" i="12"/>
  <c r="F9" i="12"/>
  <c r="C9" i="12"/>
  <c r="E68" i="18"/>
  <c r="AD11" i="11"/>
  <c r="AE11" i="11" s="1"/>
  <c r="K45" i="19"/>
  <c r="C65" i="19" s="1"/>
  <c r="O42" i="19"/>
  <c r="P42" i="19" s="1"/>
  <c r="E68" i="19"/>
  <c r="K45" i="13"/>
  <c r="C65" i="13" s="1"/>
  <c r="O42" i="13"/>
  <c r="P42" i="13" s="1"/>
  <c r="K45" i="18"/>
  <c r="C65" i="18" s="1"/>
  <c r="O42" i="18"/>
  <c r="P42" i="18" s="1"/>
  <c r="M17" i="13"/>
  <c r="M17" i="18"/>
  <c r="M17" i="19"/>
  <c r="M14" i="13"/>
  <c r="M14" i="19"/>
  <c r="M14" i="18"/>
  <c r="S13" i="19"/>
  <c r="S13" i="18"/>
  <c r="S18" i="18"/>
  <c r="S18" i="19"/>
  <c r="M6" i="13"/>
  <c r="M6" i="18"/>
  <c r="M6" i="19"/>
  <c r="M13" i="13"/>
  <c r="M13" i="18"/>
  <c r="M13" i="19"/>
  <c r="M7" i="13"/>
  <c r="M7" i="19"/>
  <c r="M7" i="18"/>
  <c r="M18" i="13"/>
  <c r="M18" i="19"/>
  <c r="M18" i="18"/>
  <c r="M8" i="13"/>
  <c r="M8" i="18"/>
  <c r="M8" i="19"/>
  <c r="M9" i="13"/>
  <c r="M9" i="19"/>
  <c r="M9" i="18"/>
  <c r="S6" i="19"/>
  <c r="S6" i="18"/>
  <c r="S7" i="18"/>
  <c r="S7" i="19"/>
  <c r="S12" i="18"/>
  <c r="S12" i="19"/>
  <c r="M12" i="13"/>
  <c r="M12" i="19"/>
  <c r="M12" i="18"/>
  <c r="S8" i="18"/>
  <c r="S8" i="19"/>
  <c r="S17" i="19"/>
  <c r="S17" i="18"/>
  <c r="S9" i="18"/>
  <c r="S9" i="19"/>
  <c r="S14" i="18"/>
  <c r="S14" i="19"/>
  <c r="E68" i="13"/>
  <c r="D79" i="1"/>
  <c r="S6" i="13"/>
  <c r="D80" i="1"/>
  <c r="S7" i="13"/>
  <c r="D91" i="1"/>
  <c r="S18" i="13"/>
  <c r="D85" i="1"/>
  <c r="S12" i="13"/>
  <c r="D81" i="1"/>
  <c r="S8" i="13"/>
  <c r="D90" i="1"/>
  <c r="S17" i="13"/>
  <c r="D86" i="1"/>
  <c r="S13" i="13"/>
  <c r="D82" i="1"/>
  <c r="S9" i="13"/>
  <c r="D87" i="1"/>
  <c r="S14" i="13"/>
  <c r="C15" i="11"/>
  <c r="Y4" i="12"/>
  <c r="B52" i="12" s="1"/>
  <c r="E10" i="11"/>
  <c r="E9" i="11"/>
  <c r="E11" i="11"/>
  <c r="E12" i="11"/>
  <c r="E13" i="11"/>
  <c r="E14" i="11"/>
  <c r="S5" i="12"/>
  <c r="R5" i="12"/>
  <c r="Z6" i="12"/>
  <c r="Q5" i="12"/>
  <c r="M12" i="11"/>
  <c r="H13" i="11"/>
  <c r="AB12" i="11"/>
  <c r="AC12" i="11"/>
  <c r="AA12" i="11"/>
  <c r="B13" i="11"/>
  <c r="G14" i="11"/>
  <c r="I13" i="11"/>
  <c r="A16" i="11"/>
  <c r="D15" i="11"/>
  <c r="E15" i="11"/>
  <c r="A57" i="12"/>
  <c r="A104" i="12" s="1"/>
  <c r="U9" i="12"/>
  <c r="T9" i="12"/>
  <c r="AE15" i="19" l="1"/>
  <c r="U88" i="1" s="1"/>
  <c r="AA59" i="19"/>
  <c r="D67" i="13"/>
  <c r="Z51" i="13"/>
  <c r="AE5" i="18"/>
  <c r="O78" i="1" s="1"/>
  <c r="O113" i="1" s="1"/>
  <c r="AA49" i="19"/>
  <c r="AA110" i="1"/>
  <c r="AA111" i="1"/>
  <c r="D67" i="18"/>
  <c r="E67" i="18" s="1"/>
  <c r="D68" i="18"/>
  <c r="Z37" i="18"/>
  <c r="AD42" i="13" s="1"/>
  <c r="D67" i="19"/>
  <c r="E67" i="19" s="1"/>
  <c r="AG110" i="1"/>
  <c r="U111" i="1"/>
  <c r="AA78" i="1"/>
  <c r="AE37" i="25"/>
  <c r="AE37" i="26"/>
  <c r="D65" i="25"/>
  <c r="E66" i="25" s="1"/>
  <c r="AA67" i="1"/>
  <c r="AA73" i="1" s="1"/>
  <c r="AG67" i="1"/>
  <c r="AG73" i="1" s="1"/>
  <c r="D65" i="26"/>
  <c r="AG111" i="1"/>
  <c r="D65" i="19"/>
  <c r="U67" i="1"/>
  <c r="E66" i="19"/>
  <c r="Z37" i="13"/>
  <c r="I78" i="1"/>
  <c r="U83" i="1"/>
  <c r="Z14" i="11"/>
  <c r="K14" i="11"/>
  <c r="L14" i="11"/>
  <c r="F14" i="11"/>
  <c r="N14" i="11" s="1"/>
  <c r="V14" i="11"/>
  <c r="P14" i="11"/>
  <c r="Q14" i="11"/>
  <c r="W14" i="11"/>
  <c r="T14" i="11"/>
  <c r="U14" i="11"/>
  <c r="S14" i="11"/>
  <c r="R14" i="11"/>
  <c r="O14" i="11"/>
  <c r="X14" i="11"/>
  <c r="Y14" i="11"/>
  <c r="G10" i="12"/>
  <c r="J10" i="12"/>
  <c r="M10" i="12"/>
  <c r="C10" i="12"/>
  <c r="D10" i="12"/>
  <c r="E10" i="12"/>
  <c r="P10" i="12"/>
  <c r="F10" i="12"/>
  <c r="K10" i="12"/>
  <c r="L10" i="12"/>
  <c r="I10" i="12"/>
  <c r="H10" i="12"/>
  <c r="B10" i="12"/>
  <c r="N10" i="12"/>
  <c r="AD12" i="11"/>
  <c r="AE12" i="11" s="1"/>
  <c r="E66" i="18"/>
  <c r="Y5" i="12"/>
  <c r="B53" i="12" s="1"/>
  <c r="H14" i="11"/>
  <c r="R6" i="12"/>
  <c r="Q6" i="12"/>
  <c r="S6" i="12"/>
  <c r="Z7" i="12"/>
  <c r="M13" i="11"/>
  <c r="AA13" i="11"/>
  <c r="AC13" i="11"/>
  <c r="AB13" i="11"/>
  <c r="B14" i="11"/>
  <c r="I14" i="11"/>
  <c r="A17" i="11"/>
  <c r="D16" i="11"/>
  <c r="E16" i="11"/>
  <c r="G15" i="11"/>
  <c r="C16" i="11"/>
  <c r="A58" i="12"/>
  <c r="A105" i="12" s="1"/>
  <c r="A11" i="12"/>
  <c r="U10" i="12"/>
  <c r="T10" i="12"/>
  <c r="AE37" i="19" l="1"/>
  <c r="AE37" i="18"/>
  <c r="U113" i="1"/>
  <c r="AA113" i="1"/>
  <c r="O67" i="1"/>
  <c r="O73" i="1" s="1"/>
  <c r="D65" i="18"/>
  <c r="D65" i="13"/>
  <c r="E66" i="13" s="1"/>
  <c r="I67" i="1"/>
  <c r="V15" i="11"/>
  <c r="K15" i="11"/>
  <c r="L15" i="11"/>
  <c r="F15" i="11"/>
  <c r="N15" i="11" s="1"/>
  <c r="O11" i="12"/>
  <c r="I11" i="12"/>
  <c r="P11" i="12"/>
  <c r="M11" i="12"/>
  <c r="R15" i="11"/>
  <c r="W15" i="11"/>
  <c r="Y15" i="11"/>
  <c r="X15" i="11"/>
  <c r="S15" i="11"/>
  <c r="P15" i="11"/>
  <c r="Z15" i="11"/>
  <c r="U15" i="11"/>
  <c r="Q15" i="11"/>
  <c r="O15" i="11"/>
  <c r="T15" i="11"/>
  <c r="N11" i="12"/>
  <c r="L11" i="12"/>
  <c r="E11" i="12"/>
  <c r="J11" i="12"/>
  <c r="B11" i="12"/>
  <c r="K11" i="12"/>
  <c r="D11" i="12"/>
  <c r="G11" i="12"/>
  <c r="H11" i="12"/>
  <c r="F11" i="12"/>
  <c r="C11" i="12"/>
  <c r="AD13" i="11"/>
  <c r="AE13" i="11" s="1"/>
  <c r="Y6" i="12"/>
  <c r="H15" i="11"/>
  <c r="S7" i="12"/>
  <c r="Q7" i="12"/>
  <c r="Z8" i="12"/>
  <c r="R7" i="12"/>
  <c r="M14" i="11"/>
  <c r="AC14" i="11"/>
  <c r="AA14" i="11"/>
  <c r="AB14" i="11"/>
  <c r="B15" i="11"/>
  <c r="I15" i="11"/>
  <c r="C17" i="11"/>
  <c r="G16" i="11"/>
  <c r="A18" i="11"/>
  <c r="E17" i="11"/>
  <c r="D17" i="11"/>
  <c r="A59" i="12"/>
  <c r="A106" i="12" s="1"/>
  <c r="A12" i="12"/>
  <c r="T11" i="12"/>
  <c r="U11" i="12"/>
  <c r="V16" i="11" l="1"/>
  <c r="F16" i="11"/>
  <c r="N16" i="11" s="1"/>
  <c r="L16" i="11"/>
  <c r="K16" i="11"/>
  <c r="T16" i="11"/>
  <c r="U16" i="11"/>
  <c r="O12" i="12"/>
  <c r="S16" i="11"/>
  <c r="O16" i="11"/>
  <c r="Z16" i="11"/>
  <c r="X16" i="11"/>
  <c r="R16" i="11"/>
  <c r="Y16" i="11"/>
  <c r="W16" i="11"/>
  <c r="Q16" i="11"/>
  <c r="P16" i="11"/>
  <c r="B12" i="12"/>
  <c r="G12" i="12"/>
  <c r="M12" i="12"/>
  <c r="F12" i="12"/>
  <c r="J12" i="12"/>
  <c r="I12" i="12"/>
  <c r="P12" i="12"/>
  <c r="L12" i="12"/>
  <c r="C12" i="12"/>
  <c r="N12" i="12"/>
  <c r="D12" i="12"/>
  <c r="H12" i="12"/>
  <c r="K12" i="12"/>
  <c r="E12" i="12"/>
  <c r="AD14" i="11"/>
  <c r="AE14" i="11" s="1"/>
  <c r="H16" i="11"/>
  <c r="B54" i="12"/>
  <c r="Q8" i="12"/>
  <c r="Z9" i="12"/>
  <c r="Y7" i="12"/>
  <c r="R8" i="12"/>
  <c r="S8" i="12"/>
  <c r="M15" i="11"/>
  <c r="AA15" i="11"/>
  <c r="AC15" i="11"/>
  <c r="AB15" i="11"/>
  <c r="C18" i="11"/>
  <c r="B16" i="11"/>
  <c r="A19" i="11"/>
  <c r="E18" i="11"/>
  <c r="D18" i="11"/>
  <c r="G17" i="11"/>
  <c r="I16" i="11"/>
  <c r="A60" i="12"/>
  <c r="A107" i="12" s="1"/>
  <c r="A13" i="12"/>
  <c r="O13" i="12" s="1"/>
  <c r="T12" i="12"/>
  <c r="U12" i="12"/>
  <c r="V17" i="11" l="1"/>
  <c r="L17" i="11"/>
  <c r="K17" i="11"/>
  <c r="F17" i="11"/>
  <c r="N17" i="11" s="1"/>
  <c r="O17" i="11"/>
  <c r="P17" i="11"/>
  <c r="R17" i="11"/>
  <c r="Q17" i="11"/>
  <c r="T17" i="11"/>
  <c r="S17" i="11"/>
  <c r="W17" i="11"/>
  <c r="X17" i="11"/>
  <c r="U17" i="11"/>
  <c r="Y17" i="11"/>
  <c r="Z17" i="11"/>
  <c r="D13" i="12"/>
  <c r="P13" i="12"/>
  <c r="M13" i="12"/>
  <c r="E13" i="12"/>
  <c r="N13" i="12"/>
  <c r="I13" i="12"/>
  <c r="G13" i="12"/>
  <c r="K13" i="12"/>
  <c r="C13" i="12"/>
  <c r="J13" i="12"/>
  <c r="B13" i="12"/>
  <c r="H13" i="12"/>
  <c r="L13" i="12"/>
  <c r="F13" i="12"/>
  <c r="AD15" i="11"/>
  <c r="AE15" i="11" s="1"/>
  <c r="H17" i="11"/>
  <c r="Y8" i="12"/>
  <c r="B56" i="12" s="1"/>
  <c r="M16" i="11"/>
  <c r="Z10" i="12"/>
  <c r="R9" i="12"/>
  <c r="Q9" i="12"/>
  <c r="S9" i="12"/>
  <c r="B55" i="12"/>
  <c r="AA16" i="11"/>
  <c r="AC16" i="11"/>
  <c r="AB16" i="11"/>
  <c r="B17" i="11"/>
  <c r="I17" i="11"/>
  <c r="G18" i="11"/>
  <c r="A20" i="11"/>
  <c r="D19" i="11"/>
  <c r="E19" i="11"/>
  <c r="C19" i="11"/>
  <c r="A61" i="12"/>
  <c r="A108" i="12" s="1"/>
  <c r="A14" i="12"/>
  <c r="O14" i="12" s="1"/>
  <c r="U13" i="12"/>
  <c r="T13" i="12"/>
  <c r="V18" i="11" l="1"/>
  <c r="K18" i="11"/>
  <c r="L18" i="11"/>
  <c r="F18" i="11"/>
  <c r="N18" i="11" s="1"/>
  <c r="X18" i="11"/>
  <c r="Z18" i="11"/>
  <c r="F14" i="12"/>
  <c r="T18" i="11"/>
  <c r="Y18" i="11"/>
  <c r="W18" i="11"/>
  <c r="Q18" i="11"/>
  <c r="R18" i="11"/>
  <c r="P18" i="11"/>
  <c r="O18" i="11"/>
  <c r="U18" i="11"/>
  <c r="S18" i="11"/>
  <c r="B14" i="12"/>
  <c r="G14" i="12"/>
  <c r="M14" i="12"/>
  <c r="J14" i="12"/>
  <c r="I14" i="12"/>
  <c r="P14" i="12"/>
  <c r="L14" i="12"/>
  <c r="C14" i="12"/>
  <c r="N14" i="12"/>
  <c r="D14" i="12"/>
  <c r="H14" i="12"/>
  <c r="K14" i="12"/>
  <c r="E14" i="12"/>
  <c r="AD16" i="11"/>
  <c r="AE16" i="11" s="1"/>
  <c r="H18" i="11"/>
  <c r="M17" i="11"/>
  <c r="Y9" i="12"/>
  <c r="Q10" i="12"/>
  <c r="R10" i="12"/>
  <c r="Z11" i="12"/>
  <c r="S10" i="12"/>
  <c r="C20" i="11"/>
  <c r="AB17" i="11"/>
  <c r="AC17" i="11"/>
  <c r="AD17" i="11" s="1"/>
  <c r="AE17" i="11" s="1"/>
  <c r="AA17" i="11"/>
  <c r="B18" i="11"/>
  <c r="G19" i="11"/>
  <c r="A21" i="11"/>
  <c r="D20" i="11"/>
  <c r="E20" i="11"/>
  <c r="I18" i="11"/>
  <c r="A62" i="12"/>
  <c r="A109" i="12" s="1"/>
  <c r="A15" i="12"/>
  <c r="O15" i="12" s="1"/>
  <c r="U14" i="12"/>
  <c r="T14" i="12"/>
  <c r="V19" i="11" l="1"/>
  <c r="K19" i="11"/>
  <c r="L19" i="11"/>
  <c r="F19" i="11"/>
  <c r="N19" i="11" s="1"/>
  <c r="P19" i="11"/>
  <c r="W19" i="11"/>
  <c r="S19" i="11"/>
  <c r="U19" i="11"/>
  <c r="R19" i="11"/>
  <c r="Y19" i="11"/>
  <c r="T19" i="11"/>
  <c r="Z19" i="11"/>
  <c r="X19" i="11"/>
  <c r="O19" i="11"/>
  <c r="Q19" i="11"/>
  <c r="D15" i="12"/>
  <c r="P15" i="12"/>
  <c r="M15" i="12"/>
  <c r="N15" i="12"/>
  <c r="K15" i="12"/>
  <c r="J15" i="12"/>
  <c r="B15" i="12"/>
  <c r="E15" i="12"/>
  <c r="I15" i="12"/>
  <c r="G15" i="12"/>
  <c r="C15" i="12"/>
  <c r="H15" i="12"/>
  <c r="L15" i="12"/>
  <c r="F15" i="12"/>
  <c r="H19" i="11"/>
  <c r="B57" i="12"/>
  <c r="Y10" i="12"/>
  <c r="B58" i="12" s="1"/>
  <c r="C21" i="11"/>
  <c r="M18" i="11"/>
  <c r="Z12" i="12"/>
  <c r="R11" i="12"/>
  <c r="Q11" i="12"/>
  <c r="S11" i="12"/>
  <c r="AB18" i="11"/>
  <c r="I19" i="11"/>
  <c r="AA18" i="11"/>
  <c r="AC18" i="11"/>
  <c r="B19" i="11"/>
  <c r="G20" i="11"/>
  <c r="A22" i="11"/>
  <c r="D21" i="11"/>
  <c r="E21" i="11"/>
  <c r="A63" i="12"/>
  <c r="A110" i="12" s="1"/>
  <c r="A16" i="12"/>
  <c r="O16" i="12" s="1"/>
  <c r="T59" i="12"/>
  <c r="U15" i="12"/>
  <c r="T15" i="12"/>
  <c r="F20" i="11" l="1"/>
  <c r="N20" i="11" s="1"/>
  <c r="L20" i="11"/>
  <c r="K20" i="11"/>
  <c r="H20" i="11"/>
  <c r="V20" i="11"/>
  <c r="R20" i="11"/>
  <c r="Z20" i="11"/>
  <c r="X20" i="11"/>
  <c r="W20" i="11"/>
  <c r="O20" i="11"/>
  <c r="S20" i="11"/>
  <c r="Y20" i="11"/>
  <c r="P20" i="11"/>
  <c r="T20" i="11"/>
  <c r="Q20" i="11"/>
  <c r="U20" i="11"/>
  <c r="F16" i="12"/>
  <c r="G16" i="12"/>
  <c r="J16" i="12"/>
  <c r="P16" i="12"/>
  <c r="C16" i="12"/>
  <c r="B16" i="12"/>
  <c r="M16" i="12"/>
  <c r="L16" i="12"/>
  <c r="I16" i="12"/>
  <c r="K16" i="12"/>
  <c r="D16" i="12"/>
  <c r="H16" i="12"/>
  <c r="E16" i="12"/>
  <c r="N16" i="12"/>
  <c r="AD18" i="11"/>
  <c r="AE18" i="11" s="1"/>
  <c r="C22" i="11"/>
  <c r="Y11" i="12"/>
  <c r="B59" i="12" s="1"/>
  <c r="R12" i="12"/>
  <c r="Q12" i="12"/>
  <c r="Z13" i="12"/>
  <c r="S12" i="12"/>
  <c r="Y12" i="12" s="1"/>
  <c r="M19" i="11"/>
  <c r="AC19" i="11"/>
  <c r="AB19" i="11"/>
  <c r="AA19" i="11"/>
  <c r="B20" i="11"/>
  <c r="G21" i="11"/>
  <c r="A23" i="11"/>
  <c r="E22" i="11"/>
  <c r="D22" i="11"/>
  <c r="I20" i="11"/>
  <c r="A64" i="12"/>
  <c r="A111" i="12" s="1"/>
  <c r="A17" i="12"/>
  <c r="O17" i="12" s="1"/>
  <c r="T16" i="12"/>
  <c r="U16" i="12"/>
  <c r="L21" i="11" l="1"/>
  <c r="K21" i="11"/>
  <c r="F21" i="11"/>
  <c r="N21" i="11" s="1"/>
  <c r="H21" i="11"/>
  <c r="X21" i="11"/>
  <c r="W21" i="11"/>
  <c r="P21" i="11"/>
  <c r="T21" i="11"/>
  <c r="Y21" i="11"/>
  <c r="Q21" i="11"/>
  <c r="Z21" i="11"/>
  <c r="U21" i="11"/>
  <c r="R21" i="11"/>
  <c r="V21" i="11"/>
  <c r="O21" i="11"/>
  <c r="S21" i="11"/>
  <c r="N17" i="12"/>
  <c r="B17" i="12"/>
  <c r="G17" i="12"/>
  <c r="D17" i="12"/>
  <c r="J17" i="12"/>
  <c r="K17" i="12"/>
  <c r="E17" i="12"/>
  <c r="I17" i="12"/>
  <c r="C17" i="12"/>
  <c r="F17" i="12"/>
  <c r="M17" i="12"/>
  <c r="H17" i="12"/>
  <c r="L17" i="12"/>
  <c r="P17" i="12"/>
  <c r="AD19" i="11"/>
  <c r="AE19" i="11" s="1"/>
  <c r="Q13" i="12"/>
  <c r="B60" i="12"/>
  <c r="S13" i="12"/>
  <c r="Z14" i="12"/>
  <c r="R13" i="12"/>
  <c r="M20" i="11"/>
  <c r="AC20" i="11"/>
  <c r="AA20" i="11"/>
  <c r="AB20" i="11"/>
  <c r="B21" i="11"/>
  <c r="I21" i="11"/>
  <c r="G22" i="11"/>
  <c r="A24" i="11"/>
  <c r="D23" i="11"/>
  <c r="E23" i="11"/>
  <c r="C23" i="11"/>
  <c r="A65" i="12"/>
  <c r="A112" i="12" s="1"/>
  <c r="A18" i="12"/>
  <c r="O18" i="12" s="1"/>
  <c r="T17" i="12"/>
  <c r="U17" i="12"/>
  <c r="K22" i="11" l="1"/>
  <c r="L22" i="11"/>
  <c r="F22" i="11"/>
  <c r="N22" i="11" s="1"/>
  <c r="Y13" i="12"/>
  <c r="B61" i="12" s="1"/>
  <c r="H22" i="11"/>
  <c r="Y22" i="11"/>
  <c r="R22" i="11"/>
  <c r="Z22" i="11"/>
  <c r="U22" i="11"/>
  <c r="O22" i="11"/>
  <c r="S22" i="11"/>
  <c r="X22" i="11"/>
  <c r="V22" i="11"/>
  <c r="P22" i="11"/>
  <c r="T22" i="11"/>
  <c r="Q22" i="11"/>
  <c r="W22" i="11"/>
  <c r="M18" i="12"/>
  <c r="E18" i="12"/>
  <c r="G18" i="12"/>
  <c r="P18" i="12"/>
  <c r="F18" i="12"/>
  <c r="K18" i="12"/>
  <c r="B18" i="12"/>
  <c r="L18" i="12"/>
  <c r="C18" i="12"/>
  <c r="J18" i="12"/>
  <c r="N18" i="12"/>
  <c r="H18" i="12"/>
  <c r="I18" i="12"/>
  <c r="D18" i="12"/>
  <c r="AD20" i="11"/>
  <c r="AE20" i="11" s="1"/>
  <c r="R14" i="12"/>
  <c r="Q14" i="12"/>
  <c r="Z15" i="12"/>
  <c r="S14" i="12"/>
  <c r="M21" i="11"/>
  <c r="AC21" i="11"/>
  <c r="AA21" i="11"/>
  <c r="AB21" i="11"/>
  <c r="B22" i="11"/>
  <c r="C24" i="11"/>
  <c r="G23" i="11"/>
  <c r="A25" i="11"/>
  <c r="D24" i="11"/>
  <c r="E24" i="11"/>
  <c r="I22" i="11"/>
  <c r="A19" i="12"/>
  <c r="A67" i="12" s="1"/>
  <c r="A114" i="12" s="1"/>
  <c r="A66" i="12"/>
  <c r="A113" i="12" s="1"/>
  <c r="T18" i="12"/>
  <c r="U18" i="12"/>
  <c r="F23" i="11" l="1"/>
  <c r="N23" i="11" s="1"/>
  <c r="K23" i="11"/>
  <c r="L23" i="11"/>
  <c r="N19" i="12"/>
  <c r="B19" i="12"/>
  <c r="H23" i="11"/>
  <c r="Z23" i="11"/>
  <c r="U23" i="11"/>
  <c r="P23" i="11"/>
  <c r="T23" i="11"/>
  <c r="Y23" i="11"/>
  <c r="V23" i="11"/>
  <c r="Q23" i="11"/>
  <c r="X23" i="11"/>
  <c r="W23" i="11"/>
  <c r="R23" i="11"/>
  <c r="O23" i="11"/>
  <c r="S23" i="11"/>
  <c r="G19" i="12"/>
  <c r="J19" i="12"/>
  <c r="K19" i="12"/>
  <c r="E19" i="12"/>
  <c r="D19" i="12"/>
  <c r="I19" i="12"/>
  <c r="C19" i="12"/>
  <c r="F19" i="12"/>
  <c r="M19" i="12"/>
  <c r="H19" i="12"/>
  <c r="L19" i="12"/>
  <c r="P19" i="12"/>
  <c r="O19" i="12"/>
  <c r="AD21" i="11"/>
  <c r="AE21" i="11" s="1"/>
  <c r="A20" i="12"/>
  <c r="A21" i="12" s="1"/>
  <c r="Y14" i="12"/>
  <c r="Z16" i="12"/>
  <c r="S15" i="12"/>
  <c r="Q15" i="12"/>
  <c r="R15" i="12"/>
  <c r="M22" i="11"/>
  <c r="AB22" i="11"/>
  <c r="AA22" i="11"/>
  <c r="AC22" i="11"/>
  <c r="B23" i="11"/>
  <c r="I23" i="11"/>
  <c r="C25" i="11"/>
  <c r="A26" i="11"/>
  <c r="E25" i="11"/>
  <c r="D25" i="11"/>
  <c r="G24" i="11"/>
  <c r="T19" i="12"/>
  <c r="U19" i="12"/>
  <c r="F24" i="11" l="1"/>
  <c r="N24" i="11" s="1"/>
  <c r="L24" i="11"/>
  <c r="K24" i="11"/>
  <c r="H20" i="12"/>
  <c r="I20" i="12"/>
  <c r="I21" i="12" s="1"/>
  <c r="J20" i="12"/>
  <c r="J21" i="12" s="1"/>
  <c r="O20" i="12"/>
  <c r="O21" i="12" s="1"/>
  <c r="M20" i="12"/>
  <c r="D20" i="12"/>
  <c r="H24" i="11"/>
  <c r="V24" i="11"/>
  <c r="R24" i="11"/>
  <c r="X24" i="11"/>
  <c r="W24" i="11"/>
  <c r="O24" i="11"/>
  <c r="S24" i="11"/>
  <c r="Y24" i="11"/>
  <c r="P24" i="11"/>
  <c r="T24" i="11"/>
  <c r="Z24" i="11"/>
  <c r="Q24" i="11"/>
  <c r="U24" i="11"/>
  <c r="K20" i="12"/>
  <c r="K21" i="12" s="1"/>
  <c r="H21" i="12"/>
  <c r="D21" i="12"/>
  <c r="M21" i="12"/>
  <c r="P20" i="12"/>
  <c r="P21" i="12" s="1"/>
  <c r="F20" i="12"/>
  <c r="F21" i="12" s="1"/>
  <c r="N20" i="12"/>
  <c r="N21" i="12" s="1"/>
  <c r="G20" i="12"/>
  <c r="G21" i="12" s="1"/>
  <c r="L20" i="12"/>
  <c r="L21" i="12" s="1"/>
  <c r="C20" i="12"/>
  <c r="C21" i="12" s="1"/>
  <c r="E20" i="12"/>
  <c r="E21" i="12" s="1"/>
  <c r="B20" i="12"/>
  <c r="B21" i="12" s="1"/>
  <c r="AD22" i="11"/>
  <c r="AE22" i="11" s="1"/>
  <c r="T20" i="12"/>
  <c r="A68" i="12"/>
  <c r="A115" i="12" s="1"/>
  <c r="U20" i="12"/>
  <c r="B62" i="12"/>
  <c r="M23" i="11"/>
  <c r="A22" i="12"/>
  <c r="A69" i="12"/>
  <c r="A116" i="12" s="1"/>
  <c r="U21" i="12"/>
  <c r="T21" i="12"/>
  <c r="R16" i="12"/>
  <c r="S16" i="12"/>
  <c r="Q16" i="12"/>
  <c r="Z17" i="12"/>
  <c r="Y15" i="12"/>
  <c r="AC23" i="11"/>
  <c r="AA23" i="11"/>
  <c r="AB23" i="11"/>
  <c r="B24" i="11"/>
  <c r="G25" i="11"/>
  <c r="I24" i="11"/>
  <c r="A27" i="11"/>
  <c r="E26" i="11"/>
  <c r="D26" i="11"/>
  <c r="C26" i="11"/>
  <c r="L25" i="11" l="1"/>
  <c r="K25" i="11"/>
  <c r="F25" i="11"/>
  <c r="N25" i="11" s="1"/>
  <c r="H25" i="11"/>
  <c r="X25" i="11"/>
  <c r="W25" i="11"/>
  <c r="P25" i="11"/>
  <c r="T25" i="11"/>
  <c r="Y25" i="11"/>
  <c r="Q25" i="11"/>
  <c r="Z25" i="11"/>
  <c r="U25" i="11"/>
  <c r="R25" i="11"/>
  <c r="O25" i="11"/>
  <c r="S25" i="11"/>
  <c r="V25" i="11"/>
  <c r="A23" i="12"/>
  <c r="N22" i="12"/>
  <c r="L22" i="12"/>
  <c r="H22" i="12"/>
  <c r="O22" i="12"/>
  <c r="M22" i="12"/>
  <c r="I22" i="12"/>
  <c r="G22" i="12"/>
  <c r="E22" i="12"/>
  <c r="P22" i="12"/>
  <c r="J22" i="12"/>
  <c r="D22" i="12"/>
  <c r="K22" i="12"/>
  <c r="F22" i="12"/>
  <c r="B22" i="12"/>
  <c r="C22" i="12"/>
  <c r="AD23" i="11"/>
  <c r="AE23" i="11" s="1"/>
  <c r="Y16" i="12"/>
  <c r="B64" i="12" s="1"/>
  <c r="A24" i="12"/>
  <c r="A70" i="12"/>
  <c r="A117" i="12" s="1"/>
  <c r="T22" i="12"/>
  <c r="U22" i="12"/>
  <c r="Z18" i="12"/>
  <c r="S17" i="12"/>
  <c r="B63" i="12"/>
  <c r="Q17" i="12"/>
  <c r="R17" i="12"/>
  <c r="M24" i="11"/>
  <c r="AA24" i="11"/>
  <c r="AB24" i="11"/>
  <c r="AC24" i="11"/>
  <c r="B25" i="11"/>
  <c r="I25" i="11"/>
  <c r="C27" i="11"/>
  <c r="A28" i="11"/>
  <c r="D27" i="11"/>
  <c r="E27" i="11"/>
  <c r="G26" i="11"/>
  <c r="K26" i="11" l="1"/>
  <c r="L26" i="11"/>
  <c r="F26" i="11"/>
  <c r="N26" i="11" s="1"/>
  <c r="A71" i="12"/>
  <c r="A118" i="12" s="1"/>
  <c r="T23" i="12"/>
  <c r="H26" i="11"/>
  <c r="Y26" i="11"/>
  <c r="R26" i="11"/>
  <c r="X26" i="11"/>
  <c r="Z26" i="11"/>
  <c r="U26" i="11"/>
  <c r="O26" i="11"/>
  <c r="S26" i="11"/>
  <c r="V26" i="11"/>
  <c r="P26" i="11"/>
  <c r="T26" i="11"/>
  <c r="W26" i="11"/>
  <c r="Q26" i="11"/>
  <c r="U23" i="12"/>
  <c r="O23" i="12"/>
  <c r="O24" i="12" s="1"/>
  <c r="M23" i="12"/>
  <c r="M24" i="12" s="1"/>
  <c r="I23" i="12"/>
  <c r="I24" i="12" s="1"/>
  <c r="F23" i="12"/>
  <c r="F24" i="12" s="1"/>
  <c r="C23" i="12"/>
  <c r="C24" i="12" s="1"/>
  <c r="B23" i="12"/>
  <c r="B24" i="12" s="1"/>
  <c r="N23" i="12"/>
  <c r="N24" i="12" s="1"/>
  <c r="L23" i="12"/>
  <c r="L24" i="12" s="1"/>
  <c r="P23" i="12"/>
  <c r="P24" i="12" s="1"/>
  <c r="J23" i="12"/>
  <c r="J24" i="12" s="1"/>
  <c r="K23" i="12"/>
  <c r="K24" i="12" s="1"/>
  <c r="G23" i="12"/>
  <c r="G24" i="12" s="1"/>
  <c r="E23" i="12"/>
  <c r="E24" i="12" s="1"/>
  <c r="H23" i="12"/>
  <c r="H24" i="12" s="1"/>
  <c r="D23" i="12"/>
  <c r="D24" i="12" s="1"/>
  <c r="AD24" i="11"/>
  <c r="AE24" i="11" s="1"/>
  <c r="Y17" i="12"/>
  <c r="M25" i="11"/>
  <c r="A25" i="12"/>
  <c r="A72" i="12"/>
  <c r="A119" i="12" s="1"/>
  <c r="T24" i="12"/>
  <c r="U24" i="12"/>
  <c r="R18" i="12"/>
  <c r="Z19" i="12"/>
  <c r="Q18" i="12"/>
  <c r="S18" i="12"/>
  <c r="AA25" i="11"/>
  <c r="AB25" i="11"/>
  <c r="AC25" i="11"/>
  <c r="B26" i="11"/>
  <c r="I26" i="11"/>
  <c r="A29" i="11"/>
  <c r="D28" i="11"/>
  <c r="E28" i="11"/>
  <c r="G27" i="11"/>
  <c r="C28" i="11"/>
  <c r="K27" i="11" l="1"/>
  <c r="L27" i="11"/>
  <c r="F27" i="11"/>
  <c r="N27" i="11" s="1"/>
  <c r="H27" i="11"/>
  <c r="Z27" i="11"/>
  <c r="U27" i="11"/>
  <c r="P27" i="11"/>
  <c r="T27" i="11"/>
  <c r="V27" i="11"/>
  <c r="Q27" i="11"/>
  <c r="X27" i="11"/>
  <c r="W27" i="11"/>
  <c r="R27" i="11"/>
  <c r="Y27" i="11"/>
  <c r="S27" i="11"/>
  <c r="O27" i="11"/>
  <c r="K25" i="12"/>
  <c r="G25" i="12"/>
  <c r="E25" i="12"/>
  <c r="N25" i="12"/>
  <c r="L25" i="12"/>
  <c r="H25" i="12"/>
  <c r="D25" i="12"/>
  <c r="P25" i="12"/>
  <c r="O25" i="12"/>
  <c r="M25" i="12"/>
  <c r="I25" i="12"/>
  <c r="F25" i="12"/>
  <c r="C25" i="12"/>
  <c r="B25" i="12"/>
  <c r="J25" i="12"/>
  <c r="AD25" i="11"/>
  <c r="AE25" i="11" s="1"/>
  <c r="C29" i="11"/>
  <c r="B65" i="12"/>
  <c r="Y18" i="12"/>
  <c r="B66" i="12" s="1"/>
  <c r="M26" i="11"/>
  <c r="A26" i="12"/>
  <c r="T25" i="12"/>
  <c r="A73" i="12"/>
  <c r="A120" i="12" s="1"/>
  <c r="U25" i="12"/>
  <c r="S19" i="12"/>
  <c r="R19" i="12"/>
  <c r="Q19" i="12"/>
  <c r="Z20" i="12"/>
  <c r="AC26" i="11"/>
  <c r="AA26" i="11"/>
  <c r="AB26" i="11"/>
  <c r="B27" i="11"/>
  <c r="G28" i="11"/>
  <c r="A30" i="11"/>
  <c r="E29" i="11"/>
  <c r="D29" i="11"/>
  <c r="I27" i="11"/>
  <c r="F28" i="11" l="1"/>
  <c r="N28" i="11" s="1"/>
  <c r="L28" i="11"/>
  <c r="J28" i="11"/>
  <c r="K28" i="11"/>
  <c r="H28" i="11"/>
  <c r="V28" i="11"/>
  <c r="R28" i="11"/>
  <c r="Z28" i="11"/>
  <c r="X28" i="11"/>
  <c r="W28" i="11"/>
  <c r="O28" i="11"/>
  <c r="S28" i="11"/>
  <c r="Y28" i="11"/>
  <c r="P28" i="11"/>
  <c r="T28" i="11"/>
  <c r="Q28" i="11"/>
  <c r="U28" i="11"/>
  <c r="N26" i="12"/>
  <c r="L26" i="12"/>
  <c r="H26" i="12"/>
  <c r="O26" i="12"/>
  <c r="M26" i="12"/>
  <c r="I26" i="12"/>
  <c r="G26" i="12"/>
  <c r="E26" i="12"/>
  <c r="K26" i="12"/>
  <c r="P26" i="12"/>
  <c r="J26" i="12"/>
  <c r="D26" i="12"/>
  <c r="F26" i="12"/>
  <c r="C26" i="12"/>
  <c r="B26" i="12"/>
  <c r="AD26" i="11"/>
  <c r="AE26" i="11" s="1"/>
  <c r="M27" i="11"/>
  <c r="A27" i="12"/>
  <c r="A74" i="12"/>
  <c r="A121" i="12" s="1"/>
  <c r="T26" i="12"/>
  <c r="U26" i="12"/>
  <c r="Q20" i="12"/>
  <c r="Z21" i="12"/>
  <c r="Y19" i="12"/>
  <c r="S20" i="12"/>
  <c r="R20" i="12"/>
  <c r="AC27" i="11"/>
  <c r="AB27" i="11"/>
  <c r="AA27" i="11"/>
  <c r="B28" i="11"/>
  <c r="I28" i="11"/>
  <c r="A31" i="11"/>
  <c r="E30" i="11"/>
  <c r="D30" i="11"/>
  <c r="G29" i="11"/>
  <c r="C30" i="11"/>
  <c r="L29" i="11" l="1"/>
  <c r="K29" i="11"/>
  <c r="F29" i="11"/>
  <c r="N29" i="11" s="1"/>
  <c r="J29" i="11"/>
  <c r="H29" i="11"/>
  <c r="X29" i="11"/>
  <c r="W29" i="11"/>
  <c r="P29" i="11"/>
  <c r="T29" i="11"/>
  <c r="Y29" i="11"/>
  <c r="Q29" i="11"/>
  <c r="Z29" i="11"/>
  <c r="U29" i="11"/>
  <c r="R29" i="11"/>
  <c r="V29" i="11"/>
  <c r="O29" i="11"/>
  <c r="S29" i="11"/>
  <c r="O27" i="12"/>
  <c r="M27" i="12"/>
  <c r="I27" i="12"/>
  <c r="F27" i="12"/>
  <c r="C27" i="12"/>
  <c r="B27" i="12"/>
  <c r="L27" i="12"/>
  <c r="P27" i="12"/>
  <c r="J27" i="12"/>
  <c r="H27" i="12"/>
  <c r="K27" i="12"/>
  <c r="G27" i="12"/>
  <c r="E27" i="12"/>
  <c r="N27" i="12"/>
  <c r="D27" i="12"/>
  <c r="AD27" i="11"/>
  <c r="AE27" i="11" s="1"/>
  <c r="Y20" i="12"/>
  <c r="B68" i="12" s="1"/>
  <c r="Z22" i="12"/>
  <c r="A28" i="12"/>
  <c r="A29" i="12" s="1"/>
  <c r="A75" i="12"/>
  <c r="A122" i="12" s="1"/>
  <c r="T27" i="12"/>
  <c r="U27" i="12"/>
  <c r="Q21" i="12"/>
  <c r="R21" i="12"/>
  <c r="B67" i="12"/>
  <c r="S21" i="12"/>
  <c r="M28" i="11"/>
  <c r="AB28" i="11"/>
  <c r="AC28" i="11"/>
  <c r="AA28" i="11"/>
  <c r="B29" i="11"/>
  <c r="C31" i="11"/>
  <c r="C32" i="11" s="1"/>
  <c r="C33" i="11" s="1"/>
  <c r="C34" i="11" s="1"/>
  <c r="C35" i="11" s="1"/>
  <c r="C36" i="11" s="1"/>
  <c r="C37" i="11" s="1"/>
  <c r="C38" i="11" s="1"/>
  <c r="C39" i="11" s="1"/>
  <c r="C40" i="11" s="1"/>
  <c r="C41" i="11" s="1"/>
  <c r="C42" i="11" s="1"/>
  <c r="C43" i="11" s="1"/>
  <c r="O11" i="5" s="1"/>
  <c r="G30" i="11"/>
  <c r="I29" i="11"/>
  <c r="D31" i="11"/>
  <c r="D43" i="11" s="1"/>
  <c r="O9" i="5" s="1"/>
  <c r="E31" i="11"/>
  <c r="E43" i="11" s="1"/>
  <c r="O12" i="5" s="1"/>
  <c r="K30" i="11" l="1"/>
  <c r="J30" i="11"/>
  <c r="L30" i="11"/>
  <c r="F30" i="11"/>
  <c r="N30" i="11" s="1"/>
  <c r="A30" i="12"/>
  <c r="T29" i="12"/>
  <c r="A77" i="12"/>
  <c r="A124" i="12" s="1"/>
  <c r="U29" i="12"/>
  <c r="H30" i="11"/>
  <c r="Y30" i="11"/>
  <c r="R30" i="11"/>
  <c r="Z30" i="11"/>
  <c r="U30" i="11"/>
  <c r="O30" i="11"/>
  <c r="S30" i="11"/>
  <c r="V30" i="11"/>
  <c r="P30" i="11"/>
  <c r="T30" i="11"/>
  <c r="X30" i="11"/>
  <c r="Q30" i="11"/>
  <c r="W30" i="11"/>
  <c r="P28" i="12"/>
  <c r="P29" i="12" s="1"/>
  <c r="J28" i="12"/>
  <c r="J29" i="12" s="1"/>
  <c r="D28" i="12"/>
  <c r="D29" i="12" s="1"/>
  <c r="O28" i="12"/>
  <c r="O29" i="12" s="1"/>
  <c r="K28" i="12"/>
  <c r="K29" i="12" s="1"/>
  <c r="F28" i="12"/>
  <c r="F29" i="12" s="1"/>
  <c r="C28" i="12"/>
  <c r="C29" i="12" s="1"/>
  <c r="B28" i="12"/>
  <c r="B29" i="12" s="1"/>
  <c r="N28" i="12"/>
  <c r="N29" i="12" s="1"/>
  <c r="Z29" i="12" s="1"/>
  <c r="L28" i="12"/>
  <c r="L29" i="12" s="1"/>
  <c r="H28" i="12"/>
  <c r="H29" i="12" s="1"/>
  <c r="M28" i="12"/>
  <c r="M29" i="12" s="1"/>
  <c r="G28" i="12"/>
  <c r="G29" i="12" s="1"/>
  <c r="I28" i="12"/>
  <c r="I29" i="12" s="1"/>
  <c r="E28" i="12"/>
  <c r="E29" i="12" s="1"/>
  <c r="AD28" i="11"/>
  <c r="AE28" i="11" s="1"/>
  <c r="Y21" i="12"/>
  <c r="M29" i="11"/>
  <c r="S22" i="12"/>
  <c r="R22" i="12"/>
  <c r="T28" i="12"/>
  <c r="A76" i="12"/>
  <c r="A123" i="12" s="1"/>
  <c r="U28" i="12"/>
  <c r="Q22" i="12"/>
  <c r="Z23" i="12"/>
  <c r="AA29" i="11"/>
  <c r="AB29" i="11"/>
  <c r="AC29" i="11"/>
  <c r="AD29" i="11" s="1"/>
  <c r="AE29" i="11" s="1"/>
  <c r="B30" i="11"/>
  <c r="I30" i="11"/>
  <c r="G31" i="11"/>
  <c r="J31" i="11" l="1"/>
  <c r="F31" i="11"/>
  <c r="N31" i="11" s="1"/>
  <c r="K31" i="11"/>
  <c r="L31" i="11"/>
  <c r="R29" i="12"/>
  <c r="S29" i="12"/>
  <c r="Y29" i="12" s="1"/>
  <c r="Q29" i="12"/>
  <c r="A31" i="12"/>
  <c r="L30" i="12"/>
  <c r="I30" i="12"/>
  <c r="P30" i="12"/>
  <c r="C30" i="12"/>
  <c r="U30" i="12"/>
  <c r="N30" i="12"/>
  <c r="Z30" i="12" s="1"/>
  <c r="F30" i="12"/>
  <c r="H30" i="12"/>
  <c r="G30" i="12"/>
  <c r="J30" i="12"/>
  <c r="B30" i="12"/>
  <c r="A78" i="12"/>
  <c r="A125" i="12" s="1"/>
  <c r="M30" i="12"/>
  <c r="T30" i="12"/>
  <c r="O30" i="12"/>
  <c r="E30" i="12"/>
  <c r="D30" i="12"/>
  <c r="K30" i="12"/>
  <c r="H31" i="11"/>
  <c r="Z31" i="11"/>
  <c r="U31" i="11"/>
  <c r="P31" i="11"/>
  <c r="T31" i="11"/>
  <c r="Y31" i="11"/>
  <c r="V31" i="11"/>
  <c r="Q31" i="11"/>
  <c r="X31" i="11"/>
  <c r="W31" i="11"/>
  <c r="R31" i="11"/>
  <c r="O31" i="11"/>
  <c r="S31" i="11"/>
  <c r="B69" i="12"/>
  <c r="Y22" i="12"/>
  <c r="M30" i="11"/>
  <c r="R23" i="12"/>
  <c r="Z24" i="12"/>
  <c r="Q23" i="12"/>
  <c r="S23" i="12"/>
  <c r="AA30" i="11"/>
  <c r="AC30" i="11"/>
  <c r="AB30" i="11"/>
  <c r="B31" i="11"/>
  <c r="G32" i="11"/>
  <c r="N32" i="11" s="1"/>
  <c r="I31" i="11"/>
  <c r="F32" i="11" l="1"/>
  <c r="L32" i="11"/>
  <c r="J32" i="11"/>
  <c r="K32" i="11"/>
  <c r="S30" i="12"/>
  <c r="Y30" i="12" s="1"/>
  <c r="B78" i="12" s="1"/>
  <c r="R30" i="12"/>
  <c r="B77" i="12"/>
  <c r="Q30" i="12"/>
  <c r="A32" i="12"/>
  <c r="F31" i="12"/>
  <c r="L31" i="12"/>
  <c r="G31" i="12"/>
  <c r="N31" i="12"/>
  <c r="Z31" i="12" s="1"/>
  <c r="D31" i="12"/>
  <c r="O31" i="12"/>
  <c r="C31" i="12"/>
  <c r="P31" i="12"/>
  <c r="E31" i="12"/>
  <c r="U31" i="12"/>
  <c r="K31" i="12"/>
  <c r="A79" i="12"/>
  <c r="A126" i="12" s="1"/>
  <c r="T31" i="12"/>
  <c r="M31" i="12"/>
  <c r="B31" i="12"/>
  <c r="J31" i="12"/>
  <c r="H31" i="12"/>
  <c r="I31" i="12"/>
  <c r="H32" i="11"/>
  <c r="V32" i="11"/>
  <c r="R32" i="11"/>
  <c r="X32" i="11"/>
  <c r="W32" i="11"/>
  <c r="O32" i="11"/>
  <c r="S32" i="11"/>
  <c r="Y32" i="11"/>
  <c r="P32" i="11"/>
  <c r="T32" i="11"/>
  <c r="Z32" i="11"/>
  <c r="U32" i="11"/>
  <c r="Q32" i="11"/>
  <c r="AD30" i="11"/>
  <c r="AE30" i="11" s="1"/>
  <c r="B70" i="12"/>
  <c r="M31" i="11"/>
  <c r="Z25" i="12"/>
  <c r="S24" i="12"/>
  <c r="Q24" i="12"/>
  <c r="R24" i="12"/>
  <c r="Y23" i="12"/>
  <c r="AC31" i="11"/>
  <c r="AA31" i="11"/>
  <c r="AB31" i="11"/>
  <c r="B43" i="11"/>
  <c r="O10" i="5" s="1"/>
  <c r="O13" i="5" s="1"/>
  <c r="I32" i="11"/>
  <c r="G33" i="11"/>
  <c r="N33" i="11" s="1"/>
  <c r="L33" i="11" l="1"/>
  <c r="K33" i="11"/>
  <c r="F33" i="11"/>
  <c r="J33" i="11"/>
  <c r="S31" i="12"/>
  <c r="Y31" i="12" s="1"/>
  <c r="J32" i="12"/>
  <c r="F32" i="12"/>
  <c r="L32" i="12"/>
  <c r="I32" i="12"/>
  <c r="A80" i="12"/>
  <c r="A127" i="12" s="1"/>
  <c r="P32" i="12"/>
  <c r="D32" i="12"/>
  <c r="C32" i="12"/>
  <c r="H32" i="12"/>
  <c r="E32" i="12"/>
  <c r="T32" i="12"/>
  <c r="T38" i="12" s="1"/>
  <c r="C45" i="12" s="1"/>
  <c r="U32" i="12"/>
  <c r="U38" i="12" s="1"/>
  <c r="B45" i="12" s="1"/>
  <c r="K32" i="12"/>
  <c r="G32" i="12"/>
  <c r="O32" i="12"/>
  <c r="B32" i="12"/>
  <c r="M32" i="12"/>
  <c r="N32" i="12"/>
  <c r="Z32" i="12" s="1"/>
  <c r="Q31" i="12"/>
  <c r="R31" i="12"/>
  <c r="H33" i="11"/>
  <c r="X33" i="11"/>
  <c r="W33" i="11"/>
  <c r="P33" i="11"/>
  <c r="T33" i="11"/>
  <c r="Y33" i="11"/>
  <c r="Q33" i="11"/>
  <c r="Z33" i="11"/>
  <c r="U33" i="11"/>
  <c r="R33" i="11"/>
  <c r="O33" i="11"/>
  <c r="S33" i="11"/>
  <c r="V33" i="11"/>
  <c r="AD31" i="11"/>
  <c r="AE31" i="11" s="1"/>
  <c r="Y24" i="12"/>
  <c r="B72" i="12" s="1"/>
  <c r="R25" i="12"/>
  <c r="S25" i="12"/>
  <c r="B71" i="12"/>
  <c r="Q25" i="12"/>
  <c r="Z26" i="12"/>
  <c r="M32" i="11"/>
  <c r="AA32" i="11"/>
  <c r="AC32" i="11"/>
  <c r="AB32" i="11"/>
  <c r="G34" i="11"/>
  <c r="N34" i="11" s="1"/>
  <c r="I33" i="11"/>
  <c r="K34" i="11" l="1"/>
  <c r="L34" i="11"/>
  <c r="F34" i="11"/>
  <c r="J34" i="11"/>
  <c r="I45" i="12"/>
  <c r="L45" i="12" s="1"/>
  <c r="S16" i="4" s="1"/>
  <c r="Q32" i="12"/>
  <c r="R32" i="12"/>
  <c r="S32" i="12"/>
  <c r="Y32" i="12" s="1"/>
  <c r="B79" i="12"/>
  <c r="H34" i="11"/>
  <c r="Y34" i="11"/>
  <c r="R34" i="11"/>
  <c r="X34" i="11"/>
  <c r="Z34" i="11"/>
  <c r="U34" i="11"/>
  <c r="O34" i="11"/>
  <c r="S34" i="11"/>
  <c r="V34" i="11"/>
  <c r="P34" i="11"/>
  <c r="T34" i="11"/>
  <c r="W34" i="11"/>
  <c r="Q34" i="11"/>
  <c r="AD32" i="11"/>
  <c r="AE32" i="11" s="1"/>
  <c r="M33" i="11"/>
  <c r="S26" i="12"/>
  <c r="Q26" i="12"/>
  <c r="R26" i="12"/>
  <c r="Z27" i="12"/>
  <c r="Z28" i="12"/>
  <c r="Y25" i="12"/>
  <c r="AC33" i="11"/>
  <c r="AB33" i="11"/>
  <c r="AA33" i="11"/>
  <c r="I34" i="11"/>
  <c r="G35" i="11"/>
  <c r="N35" i="11" s="1"/>
  <c r="J35" i="11" l="1"/>
  <c r="K35" i="11"/>
  <c r="L35" i="11"/>
  <c r="F35" i="11"/>
  <c r="F43" i="11" s="1"/>
  <c r="Z38" i="12"/>
  <c r="E45" i="12" s="1"/>
  <c r="S15" i="4" s="1"/>
  <c r="U15" i="4" s="1"/>
  <c r="B80" i="12"/>
  <c r="H35" i="11"/>
  <c r="Z35" i="11"/>
  <c r="U35" i="11"/>
  <c r="P35" i="11"/>
  <c r="T35" i="11"/>
  <c r="V35" i="11"/>
  <c r="Q35" i="11"/>
  <c r="X35" i="11"/>
  <c r="W35" i="11"/>
  <c r="R35" i="11"/>
  <c r="Y35" i="11"/>
  <c r="S35" i="11"/>
  <c r="O35" i="11"/>
  <c r="AD33" i="11"/>
  <c r="AE33" i="11" s="1"/>
  <c r="Y26" i="12"/>
  <c r="B74" i="12" s="1"/>
  <c r="R27" i="12"/>
  <c r="R28" i="12"/>
  <c r="B73" i="12"/>
  <c r="S27" i="12"/>
  <c r="S28" i="12"/>
  <c r="Q27" i="12"/>
  <c r="Q28" i="12"/>
  <c r="M34" i="11"/>
  <c r="AA34" i="11"/>
  <c r="AC34" i="11"/>
  <c r="AB34" i="11"/>
  <c r="N43" i="11"/>
  <c r="I35" i="11"/>
  <c r="I43" i="11" s="1"/>
  <c r="P11" i="5" s="1"/>
  <c r="P12" i="5" l="1"/>
  <c r="Q12" i="5" s="1"/>
  <c r="S38" i="12"/>
  <c r="R38" i="12"/>
  <c r="AD34" i="11"/>
  <c r="AE34" i="11" s="1"/>
  <c r="Y28" i="12"/>
  <c r="Y27" i="12"/>
  <c r="M35" i="11"/>
  <c r="M43" i="11" s="1"/>
  <c r="P9" i="5" s="1"/>
  <c r="Q9" i="5" s="1"/>
  <c r="AB35" i="11"/>
  <c r="AC35" i="11"/>
  <c r="AA35" i="11"/>
  <c r="Q11" i="5"/>
  <c r="B76" i="12" l="1"/>
  <c r="Y38" i="12"/>
  <c r="D45" i="12" s="1"/>
  <c r="S14" i="4" s="1"/>
  <c r="AD35" i="11"/>
  <c r="AE35" i="11" s="1"/>
  <c r="AE43" i="11" s="1"/>
  <c r="P10" i="5" s="1"/>
  <c r="Q10" i="5" s="1"/>
  <c r="B75" i="12"/>
  <c r="P13" i="5" l="1"/>
  <c r="Q13" i="5" s="1"/>
  <c r="U14" i="4"/>
  <c r="L21" i="17"/>
  <c r="H19" i="14" l="1"/>
  <c r="I10" i="13" s="1"/>
  <c r="I10" i="18" s="1"/>
  <c r="B43" i="12"/>
  <c r="M21" i="17"/>
  <c r="G28" i="14" s="1"/>
  <c r="H28" i="14"/>
  <c r="H14" i="14"/>
  <c r="H20" i="14"/>
  <c r="I10" i="19" l="1"/>
  <c r="G20" i="14"/>
  <c r="R20" i="14" s="1"/>
  <c r="H19" i="13"/>
  <c r="H19" i="18" s="1"/>
  <c r="C43" i="12"/>
  <c r="I43" i="12" s="1"/>
  <c r="G19" i="14"/>
  <c r="R19" i="14" s="1"/>
  <c r="G14" i="14"/>
  <c r="I19" i="13"/>
  <c r="I19" i="18" s="1"/>
  <c r="I11" i="13"/>
  <c r="I11" i="18" s="1"/>
  <c r="M20" i="14"/>
  <c r="I5" i="13"/>
  <c r="M14" i="14"/>
  <c r="R28" i="14"/>
  <c r="S19" i="26" l="1"/>
  <c r="S19" i="25"/>
  <c r="N11" i="26"/>
  <c r="N11" i="25"/>
  <c r="S10" i="25"/>
  <c r="S10" i="26"/>
  <c r="H11" i="13"/>
  <c r="H11" i="18" s="1"/>
  <c r="I11" i="19"/>
  <c r="S11" i="26"/>
  <c r="S11" i="25"/>
  <c r="N5" i="26"/>
  <c r="N5" i="25"/>
  <c r="I19" i="19"/>
  <c r="H19" i="19"/>
  <c r="H19" i="25" s="1"/>
  <c r="H19" i="26" s="1"/>
  <c r="L20" i="14"/>
  <c r="M11" i="13" s="1"/>
  <c r="L43" i="12"/>
  <c r="I5" i="18"/>
  <c r="D111" i="1"/>
  <c r="H10" i="13"/>
  <c r="H10" i="18" s="1"/>
  <c r="R14" i="14"/>
  <c r="L14" i="14"/>
  <c r="H5" i="13"/>
  <c r="S10" i="13"/>
  <c r="D83" i="1"/>
  <c r="S10" i="19"/>
  <c r="S10" i="18"/>
  <c r="D84" i="1"/>
  <c r="S11" i="19"/>
  <c r="S11" i="13"/>
  <c r="S11" i="18"/>
  <c r="S19" i="13"/>
  <c r="D92" i="1"/>
  <c r="S19" i="18"/>
  <c r="S19" i="19"/>
  <c r="N11" i="18"/>
  <c r="N11" i="19"/>
  <c r="N11" i="13"/>
  <c r="N5" i="13"/>
  <c r="N5" i="18"/>
  <c r="N5" i="19"/>
  <c r="D110" i="1" l="1"/>
  <c r="M11" i="18"/>
  <c r="M5" i="13"/>
  <c r="M5" i="26"/>
  <c r="M5" i="25"/>
  <c r="I5" i="19"/>
  <c r="H11" i="19"/>
  <c r="H11" i="25" s="1"/>
  <c r="H11" i="26" s="1"/>
  <c r="S5" i="18"/>
  <c r="S5" i="26"/>
  <c r="S5" i="25"/>
  <c r="H10" i="19"/>
  <c r="H10" i="25" s="1"/>
  <c r="H10" i="26" s="1"/>
  <c r="M11" i="19"/>
  <c r="M11" i="26"/>
  <c r="M11" i="25"/>
  <c r="Q16" i="4"/>
  <c r="H5" i="18"/>
  <c r="D78" i="1"/>
  <c r="D113" i="1" s="1"/>
  <c r="S5" i="19"/>
  <c r="S5" i="13"/>
  <c r="M5" i="18"/>
  <c r="M5" i="19"/>
  <c r="H5" i="19" l="1"/>
  <c r="H5" i="25" s="1"/>
  <c r="H5" i="26" s="1"/>
  <c r="U16" i="4"/>
  <c r="I22" i="24"/>
  <c r="B33" i="24" s="1"/>
  <c r="G22" i="24"/>
  <c r="B31" i="24" s="1"/>
  <c r="H22" i="24"/>
  <c r="B41" i="24" s="1"/>
  <c r="F22" i="24"/>
  <c r="D33" i="24" l="1"/>
  <c r="D31" i="24"/>
  <c r="J21" i="24"/>
  <c r="B32" i="24"/>
  <c r="B30" i="24"/>
  <c r="B43" i="24"/>
  <c r="D41" i="24"/>
  <c r="Q68" i="26" l="1"/>
  <c r="Q68" i="25"/>
  <c r="Q59" i="25"/>
  <c r="Q59" i="26"/>
  <c r="Q55" i="26"/>
  <c r="Q55" i="25"/>
  <c r="Q64" i="25"/>
  <c r="Q64" i="26"/>
  <c r="Q68" i="19"/>
  <c r="AG113" i="1" s="1"/>
  <c r="Q68" i="18"/>
  <c r="Q68" i="13"/>
  <c r="Q59" i="19"/>
  <c r="V4" i="12"/>
  <c r="AA4" i="12" s="1"/>
  <c r="AB4" i="12" s="1"/>
  <c r="Q55" i="19"/>
  <c r="Q55" i="18"/>
  <c r="Q55" i="13"/>
  <c r="V13" i="12"/>
  <c r="Q64" i="18"/>
  <c r="Q64" i="13"/>
  <c r="Q64" i="19"/>
  <c r="V5" i="12"/>
  <c r="AA5" i="12" s="1"/>
  <c r="AB5" i="12" s="1"/>
  <c r="D30" i="24"/>
  <c r="D32" i="24"/>
  <c r="V12" i="12" s="1"/>
  <c r="AA12" i="12" s="1"/>
  <c r="AB12" i="12" s="1"/>
  <c r="J23" i="11"/>
  <c r="J24" i="11"/>
  <c r="J25" i="11"/>
  <c r="J26" i="11"/>
  <c r="J27" i="11"/>
  <c r="J8" i="11"/>
  <c r="J9" i="11"/>
  <c r="J10" i="11"/>
  <c r="J11" i="11"/>
  <c r="J12" i="11"/>
  <c r="J13" i="11"/>
  <c r="J14" i="11"/>
  <c r="J15" i="11"/>
  <c r="J16" i="11"/>
  <c r="J17" i="11"/>
  <c r="J18" i="11"/>
  <c r="J19" i="11"/>
  <c r="J20" i="11"/>
  <c r="J21" i="11"/>
  <c r="J22" i="11"/>
  <c r="V11" i="12"/>
  <c r="AA11" i="12" s="1"/>
  <c r="AB11" i="12" s="1"/>
  <c r="B34" i="24"/>
  <c r="V30" i="12"/>
  <c r="AA30" i="12" s="1"/>
  <c r="AB30" i="12" s="1"/>
  <c r="V25" i="12"/>
  <c r="AA25" i="12" s="1"/>
  <c r="AB25" i="12" s="1"/>
  <c r="V27" i="12"/>
  <c r="AA27" i="12" s="1"/>
  <c r="AB27" i="12" s="1"/>
  <c r="V22" i="12"/>
  <c r="AA22" i="12" s="1"/>
  <c r="AB22" i="12" s="1"/>
  <c r="V31" i="12"/>
  <c r="AA31" i="12" s="1"/>
  <c r="AB31" i="12" s="1"/>
  <c r="V14" i="12"/>
  <c r="AA14" i="12" s="1"/>
  <c r="AB14" i="12" s="1"/>
  <c r="V37" i="12"/>
  <c r="AA37" i="12" s="1"/>
  <c r="V23" i="12"/>
  <c r="AA23" i="12" s="1"/>
  <c r="AB23" i="12" s="1"/>
  <c r="V18" i="12"/>
  <c r="AA18" i="12" s="1"/>
  <c r="AB18" i="12" s="1"/>
  <c r="V20" i="12"/>
  <c r="AA20" i="12" s="1"/>
  <c r="AB20" i="12" s="1"/>
  <c r="V19" i="12"/>
  <c r="AA19" i="12" s="1"/>
  <c r="AB19" i="12" s="1"/>
  <c r="V24" i="12"/>
  <c r="AA24" i="12" s="1"/>
  <c r="AB24" i="12" s="1"/>
  <c r="V26" i="12"/>
  <c r="AA26" i="12" s="1"/>
  <c r="AB26" i="12" s="1"/>
  <c r="V16" i="12"/>
  <c r="AA16" i="12" s="1"/>
  <c r="AB16" i="12" s="1"/>
  <c r="V35" i="12"/>
  <c r="AA35" i="12" s="1"/>
  <c r="AB35" i="12" s="1"/>
  <c r="V36" i="12"/>
  <c r="AA36" i="12" s="1"/>
  <c r="AB36" i="12" s="1"/>
  <c r="V21" i="12"/>
  <c r="AA21" i="12" s="1"/>
  <c r="AB21" i="12" s="1"/>
  <c r="V17" i="12"/>
  <c r="AA17" i="12" s="1"/>
  <c r="AB17" i="12" s="1"/>
  <c r="V28" i="12"/>
  <c r="AA28" i="12" s="1"/>
  <c r="AB28" i="12" s="1"/>
  <c r="V32" i="12"/>
  <c r="AA32" i="12" s="1"/>
  <c r="AB32" i="12" s="1"/>
  <c r="V34" i="12"/>
  <c r="AA34" i="12" s="1"/>
  <c r="AB34" i="12" s="1"/>
  <c r="V29" i="12"/>
  <c r="AA29" i="12" s="1"/>
  <c r="AB29" i="12" s="1"/>
  <c r="V15" i="12"/>
  <c r="AA15" i="12" s="1"/>
  <c r="AB15" i="12" s="1"/>
  <c r="V33" i="12"/>
  <c r="AA33" i="12" s="1"/>
  <c r="AB33" i="12" s="1"/>
  <c r="V3" i="12" l="1"/>
  <c r="AA3" i="12" s="1"/>
  <c r="AB3" i="12" s="1"/>
  <c r="Q51" i="26"/>
  <c r="Q51" i="25"/>
  <c r="Q73" i="18"/>
  <c r="Q73" i="25"/>
  <c r="Q73" i="26"/>
  <c r="Q73" i="19"/>
  <c r="Q73" i="13"/>
  <c r="V10" i="12"/>
  <c r="AA10" i="12" s="1"/>
  <c r="AB10" i="12" s="1"/>
  <c r="V9" i="12"/>
  <c r="AA9" i="12" s="1"/>
  <c r="AB9" i="12" s="1"/>
  <c r="V7" i="12"/>
  <c r="AA7" i="12" s="1"/>
  <c r="AB7" i="12" s="1"/>
  <c r="V6" i="12"/>
  <c r="Q59" i="18"/>
  <c r="Q59" i="13"/>
  <c r="V8" i="12"/>
  <c r="AA8" i="12" s="1"/>
  <c r="AB8" i="12" s="1"/>
  <c r="V2" i="12"/>
  <c r="Q51" i="19"/>
  <c r="Q51" i="18"/>
  <c r="Q51" i="13"/>
  <c r="W22" i="13" s="1"/>
  <c r="AA13" i="12"/>
  <c r="AB13" i="12" s="1"/>
  <c r="F46" i="12"/>
  <c r="H46" i="12" s="1"/>
  <c r="T13" i="4" s="1"/>
  <c r="T19" i="4" s="1"/>
  <c r="F44" i="12"/>
  <c r="H44" i="12" s="1"/>
  <c r="R13" i="4" s="1"/>
  <c r="R19" i="4" s="1"/>
  <c r="AB37" i="12"/>
  <c r="AA6" i="12"/>
  <c r="AB6" i="12" s="1"/>
  <c r="Y22" i="13" l="1"/>
  <c r="AE22" i="13" s="1"/>
  <c r="F43" i="12"/>
  <c r="H43" i="12" s="1"/>
  <c r="Q13" i="4" s="1"/>
  <c r="Q19" i="4" s="1"/>
  <c r="E44" i="25"/>
  <c r="E44" i="26"/>
  <c r="F45" i="12"/>
  <c r="H45" i="12" s="1"/>
  <c r="S13" i="4" s="1"/>
  <c r="S19" i="4" s="1"/>
  <c r="V38" i="12"/>
  <c r="E44" i="13"/>
  <c r="E44" i="19"/>
  <c r="E44" i="18"/>
  <c r="AA2" i="12"/>
  <c r="AB2" i="12" s="1"/>
  <c r="AB38" i="12" s="1"/>
  <c r="Y37" i="13" l="1"/>
  <c r="D64" i="13" s="1"/>
  <c r="U42" i="25"/>
  <c r="J44" i="25"/>
  <c r="O44" i="25" s="1"/>
  <c r="P44" i="25" s="1"/>
  <c r="I95" i="1"/>
  <c r="I113" i="1" s="1"/>
  <c r="AE37" i="13"/>
  <c r="U42" i="26"/>
  <c r="J44" i="26"/>
  <c r="O44" i="26" s="1"/>
  <c r="P44" i="26" s="1"/>
  <c r="AA38" i="12"/>
  <c r="U42" i="13"/>
  <c r="J44" i="13"/>
  <c r="O44" i="13" s="1"/>
  <c r="U42" i="18"/>
  <c r="J44" i="18"/>
  <c r="U42" i="19"/>
  <c r="J44" i="19"/>
  <c r="U13" i="4"/>
  <c r="U19" i="4" s="1"/>
  <c r="I65" i="1" l="1"/>
  <c r="I73" i="1" s="1"/>
  <c r="J45" i="18"/>
  <c r="C64" i="18" s="1"/>
  <c r="E64" i="18" s="1"/>
  <c r="O44" i="18"/>
  <c r="P44" i="18" s="1"/>
  <c r="O44" i="19"/>
  <c r="P44" i="19" s="1"/>
  <c r="J45" i="19"/>
  <c r="C64" i="19" s="1"/>
  <c r="E64" i="19" s="1"/>
  <c r="U73" i="1" s="1"/>
  <c r="P44" i="13"/>
  <c r="J45" i="13"/>
  <c r="C64" i="13" s="1"/>
  <c r="D72" i="13" s="1"/>
  <c r="D73" i="13" s="1"/>
  <c r="E64" i="13" l="1"/>
</calcChain>
</file>

<file path=xl/sharedStrings.xml><?xml version="1.0" encoding="utf-8"?>
<sst xmlns="http://schemas.openxmlformats.org/spreadsheetml/2006/main" count="2453" uniqueCount="652">
  <si>
    <t>Persona-Based Estimates</t>
  </si>
  <si>
    <t>Back to Intro</t>
  </si>
  <si>
    <t>Project Name</t>
  </si>
  <si>
    <t>Short Description</t>
  </si>
  <si>
    <t>Name and Email</t>
  </si>
  <si>
    <t>months</t>
  </si>
  <si>
    <t>Cost Estimate</t>
  </si>
  <si>
    <t xml:space="preserve"> Onboarding</t>
  </si>
  <si>
    <t>Active</t>
  </si>
  <si>
    <t>Enablement Cost</t>
  </si>
  <si>
    <t>Data Costs</t>
  </si>
  <si>
    <t>Analyst Cost</t>
  </si>
  <si>
    <t>Overhead</t>
  </si>
  <si>
    <t>TOTAL BY PHASE</t>
  </si>
  <si>
    <t>TOTAL -BY  CATEGORY</t>
  </si>
  <si>
    <t>TOTAL COST</t>
  </si>
  <si>
    <t>Hidden Sheet</t>
  </si>
  <si>
    <t>Duration</t>
  </si>
  <si>
    <t>Months</t>
  </si>
  <si>
    <t>Assumptions</t>
  </si>
  <si>
    <t>Overhead Allocation</t>
  </si>
  <si>
    <t>Output Sheet</t>
  </si>
  <si>
    <t>Current</t>
  </si>
  <si>
    <t>Anticipated</t>
  </si>
  <si>
    <t>Remaining Duration</t>
  </si>
  <si>
    <t>Analysts Cost</t>
  </si>
  <si>
    <t>Enablement Level</t>
  </si>
  <si>
    <t>Add New Data Provider (s)</t>
  </si>
  <si>
    <t>Previous Monthly Costs from Dashboard</t>
  </si>
  <si>
    <t>Enablement Activities</t>
  </si>
  <si>
    <t>Onboarding</t>
  </si>
  <si>
    <t>High</t>
  </si>
  <si>
    <t>Medium</t>
  </si>
  <si>
    <t>Low</t>
  </si>
  <si>
    <t>Per-Month</t>
  </si>
  <si>
    <t>Quarterly Updates</t>
  </si>
  <si>
    <t>Microsite</t>
  </si>
  <si>
    <t>Confluence/Jira/Agile</t>
  </si>
  <si>
    <t>Newsletter</t>
  </si>
  <si>
    <t>VPN</t>
  </si>
  <si>
    <t>TOTAL</t>
  </si>
  <si>
    <t>per month</t>
  </si>
  <si>
    <t>Platform-Related Systems</t>
  </si>
  <si>
    <t xml:space="preserve"> - All projects at this stage will assume a data warehousing + data lake combo</t>
  </si>
  <si>
    <t xml:space="preserve"> - </t>
  </si>
  <si>
    <t xml:space="preserve">DevOps Specialist </t>
  </si>
  <si>
    <t>FTE Hours Per Month</t>
  </si>
  <si>
    <t>Total Annual Cost</t>
  </si>
  <si>
    <t>Total Monthly Cost</t>
  </si>
  <si>
    <t>Data Analyst Cost</t>
  </si>
  <si>
    <t>Project-Related Cloud Consumption</t>
  </si>
  <si>
    <t>Hours/FTE</t>
  </si>
  <si>
    <t>60 hours for each update</t>
  </si>
  <si>
    <t>about 120 hours across the year</t>
  </si>
  <si>
    <t>maintainance of pages</t>
  </si>
  <si>
    <t>Outreach Support</t>
  </si>
  <si>
    <t>30 hours for each update</t>
  </si>
  <si>
    <t>Unit</t>
  </si>
  <si>
    <t>Business and Relationship Management</t>
  </si>
  <si>
    <t>10 hours a month to manage CRM. 30 hours for other meetings</t>
  </si>
  <si>
    <t>Notes</t>
  </si>
  <si>
    <t>Projects- Active</t>
  </si>
  <si>
    <t>Projects- Onboarding</t>
  </si>
  <si>
    <t>Current Number</t>
  </si>
  <si>
    <t>Projects</t>
  </si>
  <si>
    <t>View Costs by Category</t>
  </si>
  <si>
    <t>Project Phase</t>
  </si>
  <si>
    <t>Prospective</t>
  </si>
  <si>
    <t>Monthly Cost</t>
  </si>
  <si>
    <t>Monthly Allocation</t>
  </si>
  <si>
    <t>Per Project</t>
  </si>
  <si>
    <t>Yes</t>
  </si>
  <si>
    <t>No</t>
  </si>
  <si>
    <t>Inputs from Dashboard (Updated Monthly)</t>
  </si>
  <si>
    <t>Options</t>
  </si>
  <si>
    <t>Data Related Cloud Costs</t>
  </si>
  <si>
    <t>Enablement Services</t>
  </si>
  <si>
    <t>Business Analyst</t>
  </si>
  <si>
    <t>IT O&amp;M Specialist</t>
  </si>
  <si>
    <t>GOLD</t>
  </si>
  <si>
    <t>SILVER</t>
  </si>
  <si>
    <t>BRONZE</t>
  </si>
  <si>
    <t>Per-Month Cost</t>
  </si>
  <si>
    <t>Planning/Discovery</t>
  </si>
  <si>
    <t>Export/Retirement</t>
  </si>
  <si>
    <t>Project Phases</t>
  </si>
  <si>
    <t>VPC: NAT Gateway</t>
  </si>
  <si>
    <t>CloudWatch</t>
  </si>
  <si>
    <t>Route53</t>
  </si>
  <si>
    <t>Elasticsearch</t>
  </si>
  <si>
    <t>SNS</t>
  </si>
  <si>
    <t>KMS</t>
  </si>
  <si>
    <t>CloudTrail</t>
  </si>
  <si>
    <t>DynamoDB</t>
  </si>
  <si>
    <t>S3</t>
  </si>
  <si>
    <t>Lambda</t>
  </si>
  <si>
    <t>EC2</t>
  </si>
  <si>
    <t>Other Categories</t>
  </si>
  <si>
    <t>Source:  Dashboard</t>
  </si>
  <si>
    <t>Estimated Monthly Growth Rate</t>
  </si>
  <si>
    <t>Estimated Monthly Cost (Medium Estimate)</t>
  </si>
  <si>
    <t># of projects in phase</t>
  </si>
  <si>
    <t>TOTAL cost</t>
  </si>
  <si>
    <t>ODCs (travel, materials)</t>
  </si>
  <si>
    <t>Research Accelerator Team Support</t>
  </si>
  <si>
    <t>ESPO Link</t>
  </si>
  <si>
    <t>&lt;Link&gt;</t>
  </si>
  <si>
    <t>Dedicated Research Insights Team</t>
  </si>
  <si>
    <t>Multi-day Strategic Visioning and Engagement Session</t>
  </si>
  <si>
    <t>Platform DevOps (including testing, features)</t>
  </si>
  <si>
    <t>Day-long strategic vision and engagement</t>
  </si>
  <si>
    <t>On-Site Onboarding Support</t>
  </si>
  <si>
    <t xml:space="preserve">Co-location and onboarding of project users and data.  SDC team will send a rep who will work with the key project personnel to set up data architectures and provision users in a working session. Includes in-person workshop on training </t>
  </si>
  <si>
    <t>Hybrid On-boarding Approach</t>
  </si>
  <si>
    <t>Short-Term Research Accelerator Support</t>
  </si>
  <si>
    <t>Remote Research Insights Team</t>
  </si>
  <si>
    <t>Bi-Annual User Engagement Workshop</t>
  </si>
  <si>
    <t>Quarterly User Engagement Workshop</t>
  </si>
  <si>
    <t>In-Person workshop but restricted to one day.</t>
  </si>
  <si>
    <t>In-Person Facilitated Tech Session in lieu of phone calls. Shortens the process from planning to onboarding. Multi-day engagement</t>
  </si>
  <si>
    <t>Includes remote provisioning of users and infrastructure. 1 in-person workshop on training</t>
  </si>
  <si>
    <t>Data science team available for support on how to maximize potential of data in the SDC. May include services such as collaborating on visualizations, enabling code collaboration etc. 1 in-person visit per quarter. Upto 80 hours of remote engagement</t>
  </si>
  <si>
    <t>2 visits per year. Up to 40 hours of support per month</t>
  </si>
  <si>
    <t xml:space="preserve">1 quarterly meeting with users </t>
  </si>
  <si>
    <t>1 meeting every six months</t>
  </si>
  <si>
    <t>Back-end Research Accelerator Support</t>
  </si>
  <si>
    <t>Hybrid Research Insights Team</t>
  </si>
  <si>
    <t>Remote User Enagement Workshop</t>
  </si>
  <si>
    <t>No in person visits. Upto 20 hours of support per month</t>
  </si>
  <si>
    <t>1 remote meeting every six months</t>
  </si>
  <si>
    <t>Others - &lt;Add Here. Insert rows if needed&gt;</t>
  </si>
  <si>
    <t>Mapping of Activities</t>
  </si>
  <si>
    <t>No in person engagement but creation of Jupyter Notebooks, scripts etc. Three months</t>
  </si>
  <si>
    <t>1 month support inlcuding 1 on-site visit</t>
  </si>
  <si>
    <t>2 month engagement upon onboarding to set up and optimze research capabilities in the SDC. Incudes 1 onsite visit</t>
  </si>
  <si>
    <t>varies based on analysis period</t>
  </si>
  <si>
    <t>x</t>
  </si>
  <si>
    <t>Prospective Projects</t>
  </si>
  <si>
    <t>Kinesis</t>
  </si>
  <si>
    <t>Redshift</t>
  </si>
  <si>
    <t>Firehose</t>
  </si>
  <si>
    <t>Providers cumulative cost for all services utilized</t>
  </si>
  <si>
    <t>10 % Markup</t>
  </si>
  <si>
    <t>20% Markup</t>
  </si>
  <si>
    <t>WAZE-WAZE</t>
  </si>
  <si>
    <t>CVP-WYDOT</t>
  </si>
  <si>
    <t>CVP-THEA</t>
  </si>
  <si>
    <t>CVP-NYC</t>
  </si>
  <si>
    <t>FMI-ATRI</t>
  </si>
  <si>
    <t>Projected monthly increase</t>
  </si>
  <si>
    <t>OR</t>
  </si>
  <si>
    <t>Provider cost breakdown per services utilized</t>
  </si>
  <si>
    <t>Cloud Consumption Cost</t>
  </si>
  <si>
    <t>New Data Provider</t>
  </si>
  <si>
    <t xml:space="preserve">Major Cost Items </t>
  </si>
  <si>
    <t>Average Monthly Cost</t>
  </si>
  <si>
    <t>Analyst cumulative cost for all services utilized</t>
  </si>
  <si>
    <t>WAZE-SDI</t>
  </si>
  <si>
    <t>CVP-VOLPE-IE</t>
  </si>
  <si>
    <t>CVP-TTI-IE</t>
  </si>
  <si>
    <t>FTP-BTS</t>
  </si>
  <si>
    <t>Analyst cost breakdown per services utilized</t>
  </si>
  <si>
    <t>Number of Analysts</t>
  </si>
  <si>
    <t>Data</t>
  </si>
  <si>
    <t>Data Related Cost</t>
  </si>
  <si>
    <t>Data Complexity and Size</t>
  </si>
  <si>
    <t>Support Needs</t>
  </si>
  <si>
    <t>Overhead Costs</t>
  </si>
  <si>
    <t>Platform Services</t>
  </si>
  <si>
    <t>Current Projects</t>
  </si>
  <si>
    <t>Projects- Export and Retirement</t>
  </si>
  <si>
    <t>Projects - Planned and Discover</t>
  </si>
  <si>
    <t>Projects- Planned/Discovery</t>
  </si>
  <si>
    <t>Projects-Export/Retirement</t>
  </si>
  <si>
    <t>Project Duration</t>
  </si>
  <si>
    <t>Platform Cost</t>
  </si>
  <si>
    <t>Data Analyst Cost (High)</t>
  </si>
  <si>
    <t>Data Analyst Cost (Medium)</t>
  </si>
  <si>
    <t>Data Analyst Cost (Low)</t>
  </si>
  <si>
    <t>Overhead Cost</t>
  </si>
  <si>
    <t xml:space="preserve">Platform Cost </t>
  </si>
  <si>
    <t>Planning and Discovery Cost</t>
  </si>
  <si>
    <t>Onboarding Cost</t>
  </si>
  <si>
    <t>Export Cost</t>
  </si>
  <si>
    <t>Enablement</t>
  </si>
  <si>
    <t>Platform</t>
  </si>
  <si>
    <t>Analyst</t>
  </si>
  <si>
    <t>Project List</t>
  </si>
  <si>
    <t>Previous Month</t>
  </si>
  <si>
    <t>Current Phase</t>
  </si>
  <si>
    <t>Platform Cloud Cost</t>
  </si>
  <si>
    <t xml:space="preserve">Low </t>
  </si>
  <si>
    <t>None</t>
  </si>
  <si>
    <t>Date Warehouse Solution</t>
  </si>
  <si>
    <t>Data Warehouse Growth</t>
  </si>
  <si>
    <t>Storage Growth</t>
  </si>
  <si>
    <t>Redshift (More expensive)</t>
  </si>
  <si>
    <t>Hadoop (Less Expensive)</t>
  </si>
  <si>
    <t>Gold</t>
  </si>
  <si>
    <t>Silver</t>
  </si>
  <si>
    <t>Bronze</t>
  </si>
  <si>
    <t>STAR</t>
  </si>
  <si>
    <t>T-PLAT</t>
  </si>
  <si>
    <t>CVP-Volpe-IE</t>
  </si>
  <si>
    <t>CARMA3-FMCSA</t>
  </si>
  <si>
    <t>CARMA-FHWA</t>
  </si>
  <si>
    <t>FMI-BTS</t>
  </si>
  <si>
    <t>FTA-DA</t>
  </si>
  <si>
    <t>MOD 2.0</t>
  </si>
  <si>
    <t xml:space="preserve">MPI </t>
  </si>
  <si>
    <t>Smart Columbus Evaluation</t>
  </si>
  <si>
    <t>Current Level of Enablement</t>
  </si>
  <si>
    <t>Database Options</t>
  </si>
  <si>
    <t>Enablement Levels</t>
  </si>
  <si>
    <t>Data Complexity</t>
  </si>
  <si>
    <t>List Tables (Do Not Change)</t>
  </si>
  <si>
    <t>Project Tables (Update Monthly from Dashboard)</t>
  </si>
  <si>
    <t>MoM Growth Rate in Costs</t>
  </si>
  <si>
    <t>Platform Cloud Costs (Overhead) for the SDC Platform</t>
  </si>
  <si>
    <t>Other Data Curation/Ingest Services Growth</t>
  </si>
  <si>
    <t>Input Sheet (Enter data in white shaded cells)</t>
  </si>
  <si>
    <t>months. Max 36 months</t>
  </si>
  <si>
    <t>Analyst Related Cloud Costs</t>
  </si>
  <si>
    <t>Typical time for planning. Edit if necssary</t>
  </si>
  <si>
    <t>Typical time for onboarding. Edit if necessary</t>
  </si>
  <si>
    <t>Calculated</t>
  </si>
  <si>
    <t>Typical time for export. Edit if necessary</t>
  </si>
  <si>
    <t>Allocation Table</t>
  </si>
  <si>
    <t>Planned/Discovery</t>
  </si>
  <si>
    <t>Typical mix of projects</t>
  </si>
  <si>
    <t>Allocation</t>
  </si>
  <si>
    <t>Source:  Estimated based on current spend in SDC Dashboard</t>
  </si>
  <si>
    <t>Data Curation</t>
  </si>
  <si>
    <t>Data Storage</t>
  </si>
  <si>
    <t>Estimated Growth of Costs</t>
  </si>
  <si>
    <t>Data Curation (High)</t>
  </si>
  <si>
    <t>Data Curation (Medium)</t>
  </si>
  <si>
    <t>Data Curation (Low)</t>
  </si>
  <si>
    <t>Data Storage (High)</t>
  </si>
  <si>
    <t>Data Storage (Medium)</t>
  </si>
  <si>
    <t>Data Storage (Low)</t>
  </si>
  <si>
    <t>Data Warehouse (Hadoop)-High</t>
  </si>
  <si>
    <t>Data Warehouse (Hadoop)-Medium</t>
  </si>
  <si>
    <t>Data Warehouse (Hadoop)-Low</t>
  </si>
  <si>
    <t>Data Warehouse (Redshift)-High</t>
  </si>
  <si>
    <t>Data Warehouse (Redshift)-Medium</t>
  </si>
  <si>
    <t>Data Warehouse (Redshift)-Low</t>
  </si>
  <si>
    <t>Data Related Cloud Cost (Medium)</t>
  </si>
  <si>
    <t>Data-Related Cost</t>
  </si>
  <si>
    <t>Data-Related Cloud Cost (Low)</t>
  </si>
  <si>
    <t>Data Related Cloud Cost (High)</t>
  </si>
  <si>
    <t>Active Cost</t>
  </si>
  <si>
    <t>Data-Related Cloud</t>
  </si>
  <si>
    <t>Data Analyst Costs</t>
  </si>
  <si>
    <t>Enablement Costs</t>
  </si>
  <si>
    <t>CHART</t>
  </si>
  <si>
    <t>Cloud Consumption Growth</t>
  </si>
  <si>
    <t>Enablement Services Cost (Silver)</t>
  </si>
  <si>
    <t>Enablement Services Cost (Gold)</t>
  </si>
  <si>
    <t>Edit if necessary</t>
  </si>
  <si>
    <t>Number of current analysts</t>
  </si>
  <si>
    <t>Project Cost to Date</t>
  </si>
  <si>
    <t>UPDATE</t>
  </si>
  <si>
    <t>UPDATE TABLE</t>
  </si>
  <si>
    <t>UPDATE based on CRM</t>
  </si>
  <si>
    <t>Plaftorm Services</t>
  </si>
  <si>
    <t>Selected Project</t>
  </si>
  <si>
    <t>New Duration</t>
  </si>
  <si>
    <t>New Analyst</t>
  </si>
  <si>
    <t>Old Duration</t>
  </si>
  <si>
    <t>Old Analyst</t>
  </si>
  <si>
    <t>New</t>
  </si>
  <si>
    <t>MoM Growth Rate</t>
  </si>
  <si>
    <t>TOTALS</t>
  </si>
  <si>
    <t>Cost per new analyst</t>
  </si>
  <si>
    <t>Enablement Duration</t>
  </si>
  <si>
    <t>Enablement (Gold)</t>
  </si>
  <si>
    <t>Enablement (Silver)</t>
  </si>
  <si>
    <t>New Data Provider Costs</t>
  </si>
  <si>
    <t>Existing Data</t>
  </si>
  <si>
    <t>New Data Costs</t>
  </si>
  <si>
    <t>Data Low</t>
  </si>
  <si>
    <t>Data (High)</t>
  </si>
  <si>
    <t>Total Data</t>
  </si>
  <si>
    <t>Desired Changes</t>
  </si>
  <si>
    <t>Desired Enablement Level</t>
  </si>
  <si>
    <t>TOTAL Cost</t>
  </si>
  <si>
    <t>Remaining</t>
  </si>
  <si>
    <t>Current Forecast</t>
  </si>
  <si>
    <t>Typical MONTHLY Cloud Consumption Cost for A PROJECT</t>
  </si>
  <si>
    <t>Current Year</t>
  </si>
  <si>
    <t>TOTAL COST PER YEAR</t>
  </si>
  <si>
    <t>Annual Costs</t>
  </si>
  <si>
    <t>Dev Ops Support</t>
  </si>
  <si>
    <t xml:space="preserve">O&amp;M Support </t>
  </si>
  <si>
    <t>FTEs</t>
  </si>
  <si>
    <t>FTE per month</t>
  </si>
  <si>
    <t>Project Costs to Date</t>
  </si>
  <si>
    <t>Annual Cost</t>
  </si>
  <si>
    <t>Anticipated Cost</t>
  </si>
  <si>
    <t>Existing Project Status</t>
  </si>
  <si>
    <t>New Projects</t>
  </si>
  <si>
    <t>Input Sheet (Enter White Shaded Cells only)</t>
  </si>
  <si>
    <t xml:space="preserve">Annual Cost </t>
  </si>
  <si>
    <t>Change Enablement</t>
  </si>
  <si>
    <t>Change Status</t>
  </si>
  <si>
    <t>Change Resources</t>
  </si>
  <si>
    <t>Cost</t>
  </si>
  <si>
    <t xml:space="preserve">Cost to Move to </t>
  </si>
  <si>
    <t>month</t>
  </si>
  <si>
    <t>Begin at</t>
  </si>
  <si>
    <t>3-Month Rolling Average</t>
  </si>
  <si>
    <t>Yearly Cost</t>
  </si>
  <si>
    <t>Active-High</t>
  </si>
  <si>
    <t>Active-Medium</t>
  </si>
  <si>
    <t>Active-Low</t>
  </si>
  <si>
    <t>Overhead Calculation</t>
  </si>
  <si>
    <t>New Enablement Level</t>
  </si>
  <si>
    <t>New Data Cost</t>
  </si>
  <si>
    <t>New Overhead</t>
  </si>
  <si>
    <t>New Analyst Cost</t>
  </si>
  <si>
    <t>New Platform</t>
  </si>
  <si>
    <t>New Costs</t>
  </si>
  <si>
    <t>Other Overhead</t>
  </si>
  <si>
    <t>Platform Costs</t>
  </si>
  <si>
    <t>ANNUAL</t>
  </si>
  <si>
    <t>Monthly</t>
  </si>
  <si>
    <t>New lifecycle status</t>
  </si>
  <si>
    <t>Type of Project</t>
  </si>
  <si>
    <t>New Enablement Cost Level</t>
  </si>
  <si>
    <t>Status</t>
  </si>
  <si>
    <t>Level</t>
  </si>
  <si>
    <t>Helper</t>
  </si>
  <si>
    <t>New Enablemnet Cost</t>
  </si>
  <si>
    <t>New Year</t>
  </si>
  <si>
    <t>Analyst-Related</t>
  </si>
  <si>
    <t>Platform Cloud</t>
  </si>
  <si>
    <t>Old Projects</t>
  </si>
  <si>
    <t>Total</t>
  </si>
  <si>
    <t>Enablement Costs (New)</t>
  </si>
  <si>
    <t>Total EC</t>
  </si>
  <si>
    <t>Total DC</t>
  </si>
  <si>
    <t>Total DA Cost</t>
  </si>
  <si>
    <t>Monitoring/Log-in etc</t>
  </si>
  <si>
    <t>Storage</t>
  </si>
  <si>
    <t xml:space="preserve">Compute Costs </t>
  </si>
  <si>
    <t>Data Warehouse (Normal)</t>
  </si>
  <si>
    <t>Data Warehouse (High-Cost)</t>
  </si>
  <si>
    <t>Plaform Management Office</t>
  </si>
  <si>
    <t>Platform Team Cost (including testing, features)</t>
  </si>
  <si>
    <t>FTE-Equivalents (Change as needed)</t>
  </si>
  <si>
    <t>NOTE:  FTE-Equivalents for Projects is only truly platform related activities. Does not include enablement. Also includes a lower level than current since we expect feature development to stabilize</t>
  </si>
  <si>
    <t>Year 1</t>
  </si>
  <si>
    <t>Year 2</t>
  </si>
  <si>
    <t>Year 3</t>
  </si>
  <si>
    <t xml:space="preserve">Year 2 </t>
  </si>
  <si>
    <t>Project-by-Project View</t>
  </si>
  <si>
    <t>Duration (Months)</t>
  </si>
  <si>
    <t>Typical Months</t>
  </si>
  <si>
    <t>Other (VPNs, domain etc, Non-AWS cost</t>
  </si>
  <si>
    <t>WCF WRAP RATE</t>
  </si>
  <si>
    <t>Rate Sheet</t>
  </si>
  <si>
    <t>Labor Rates</t>
  </si>
  <si>
    <t>WCF Wrap Rate</t>
  </si>
  <si>
    <t>Change</t>
  </si>
  <si>
    <t>Data Warehouse Solution</t>
  </si>
  <si>
    <t>Complexity of Data</t>
  </si>
  <si>
    <t>Default Assumptions (Adjust if necessary)</t>
  </si>
  <si>
    <t>Enablement Support Needs</t>
  </si>
  <si>
    <t>Platform Overhead Costs</t>
  </si>
  <si>
    <t>What is this?</t>
  </si>
  <si>
    <t>Cost for storing project data in the cloud</t>
  </si>
  <si>
    <t>Cost for analyzing the data in the cloud</t>
  </si>
  <si>
    <t>Cost estimate for the project</t>
  </si>
  <si>
    <t>Cost Estimate for Prospective Projects</t>
  </si>
  <si>
    <t xml:space="preserve"> choice between two options (normal and high-cost)</t>
  </si>
  <si>
    <t>Category</t>
  </si>
  <si>
    <t>Targeted Persona(s)</t>
  </si>
  <si>
    <t>Lifecycle</t>
  </si>
  <si>
    <t>Pitch (1-2 sentences) for marketing materials</t>
  </si>
  <si>
    <t>A la Carte</t>
  </si>
  <si>
    <t>Consulting</t>
  </si>
  <si>
    <t>Project Owner,</t>
  </si>
  <si>
    <t>Data Provider,</t>
  </si>
  <si>
    <t>Data Analyst</t>
  </si>
  <si>
    <t>All phases</t>
  </si>
  <si>
    <t>Strategic Visioning and Engagement Session</t>
  </si>
  <si>
    <r>
      <t>What</t>
    </r>
    <r>
      <rPr>
        <sz val="11"/>
        <color rgb="FF091E42"/>
        <rFont val="Segoe UI"/>
        <family val="2"/>
      </rPr>
      <t>: To empower SDC stakeholders and their business objectives by identifying how the SDC can accelerate their business goals.</t>
    </r>
  </si>
  <si>
    <t>Through a strategic visioning and engagement session, the enablement team will assess and provide a recommended strategy on how to enhance the SDC experience.</t>
  </si>
  <si>
    <t>Highlighted areas will vary depending upon where your project is in the SDC lifecycle.</t>
  </si>
  <si>
    <r>
      <t>PO, DP, DA Needs Hit</t>
    </r>
    <r>
      <rPr>
        <sz val="11"/>
        <color rgb="FF000000"/>
        <rFont val="Segoe UI"/>
        <family val="2"/>
      </rPr>
      <t>:</t>
    </r>
    <r>
      <rPr>
        <sz val="11"/>
        <color rgb="FF091E42"/>
        <rFont val="Segoe UI"/>
        <family val="2"/>
      </rPr>
      <t> Understand what's possible within SDC</t>
    </r>
  </si>
  <si>
    <t>♦</t>
  </si>
  <si>
    <t>Data Provider</t>
  </si>
  <si>
    <t>Discovery, Onboarding</t>
  </si>
  <si>
    <t>Provider Onboarding Enhancer</t>
  </si>
  <si>
    <r>
      <t>What:</t>
    </r>
    <r>
      <rPr>
        <sz val="11"/>
        <color rgb="FF091E42"/>
        <rFont val="Segoe UI"/>
        <family val="2"/>
      </rPr>
      <t> Enhance your project onboarding experience with the SDC by building a customized experience with our SDC Engineering professionals.</t>
    </r>
  </si>
  <si>
    <t>SDC Engineering professionals go above and beyond baseline support by documenting and defining metadata and providing a customized onboarding of your datasets.</t>
  </si>
  <si>
    <r>
      <t>DP Needs Hit</t>
    </r>
    <r>
      <rPr>
        <sz val="11"/>
        <color rgb="FF000000"/>
        <rFont val="Segoe UI"/>
        <family val="2"/>
      </rPr>
      <t>: Improve quality and documentation of data</t>
    </r>
  </si>
  <si>
    <t>Discovery,</t>
  </si>
  <si>
    <t>Onboarding,</t>
  </si>
  <si>
    <t>Analyst Accelerator</t>
  </si>
  <si>
    <r>
      <t>What:</t>
    </r>
    <r>
      <rPr>
        <sz val="11"/>
        <color rgb="FF091E42"/>
        <rFont val="Segoe UI"/>
        <family val="2"/>
      </rPr>
      <t> This onboarding jump start is designed to make analyst more productive and speed up the time to delivering business value.</t>
    </r>
  </si>
  <si>
    <t>Analyst accelerator will enhance productivity by allowing analysts quicker access to data and tools with customized training and onboarding.  Project specific materials will be set up to help analysts onboard quickly and efficiently into the SDC.  Reducing the learning curve and orientation time within the SDC by focusing on providing assistance surrounding support, training, and collaboration.</t>
  </si>
  <si>
    <r>
      <t>PO, DA Needs Hit</t>
    </r>
    <r>
      <rPr>
        <sz val="11"/>
        <color rgb="FF000000"/>
        <rFont val="Segoe UI"/>
        <family val="2"/>
      </rPr>
      <t>: Get data to analysts quickly</t>
    </r>
  </si>
  <si>
    <t>Engineering</t>
  </si>
  <si>
    <t>Project Owner, Data Analyst</t>
  </si>
  <si>
    <t>Professional Services</t>
  </si>
  <si>
    <r>
      <t>What</t>
    </r>
    <r>
      <rPr>
        <sz val="11"/>
        <color rgb="FF091E42"/>
        <rFont val="Segoe UI"/>
        <family val="2"/>
      </rPr>
      <t>: Allow our SDC Engineering professionals to assist you with any data analytics or engineering needs. </t>
    </r>
  </si>
  <si>
    <t>With professional services, your project can request assistance with analyzing, rewriting and developing new queries or models using specific languages and tools supported on the SDC workstations.</t>
  </si>
  <si>
    <r>
      <t>PO Needs Hit</t>
    </r>
    <r>
      <rPr>
        <sz val="11"/>
        <color rgb="FF000000"/>
        <rFont val="Segoe UI"/>
        <family val="2"/>
      </rPr>
      <t>: Meet project needs to expedite onboarding process for projects and its analysts</t>
    </r>
  </si>
  <si>
    <t>Discovery, Onboarding, Active</t>
  </si>
  <si>
    <t>Data Ingest Tailoring</t>
  </si>
  <si>
    <r>
      <t>What</t>
    </r>
    <r>
      <rPr>
        <sz val="11"/>
        <color rgb="FF091E42"/>
        <rFont val="Segoe UI"/>
        <family val="2"/>
      </rPr>
      <t>:  Bringing in new data types into SDC that are outside of the typical SDC processes. Adding custom Canary reporting and validation. </t>
    </r>
  </si>
  <si>
    <t>By implementing Canary controls and reports Data Providers will have a higher level of confidence that accurate and complete data is available in both the data warehouse and data lake (S3).</t>
  </si>
  <si>
    <t>Allowing for additional data type ingestion will allow less work on the Data Providers to get data easily into the SDC.</t>
  </si>
  <si>
    <r>
      <t>DP Needs Hit</t>
    </r>
    <r>
      <rPr>
        <sz val="11"/>
        <color rgb="FF000000"/>
        <rFont val="Segoe UI"/>
        <family val="2"/>
      </rPr>
      <t>: Improve the quality and documentation of data that is being ingested.</t>
    </r>
  </si>
  <si>
    <t>Optimization of Model &amp; Analytic Performance</t>
  </si>
  <si>
    <r>
      <t>What:</t>
    </r>
    <r>
      <rPr>
        <sz val="11"/>
        <color rgb="FF091E42"/>
        <rFont val="Segoe UI"/>
        <family val="2"/>
      </rPr>
      <t> Optimization of Model &amp; Analytic performance engages SDC Engineers in providing assessment and strategies on how to optimize the performance of models and analytical outputs supporting research critical events/outcomes.</t>
    </r>
  </si>
  <si>
    <r>
      <t>DA Needs Hit</t>
    </r>
    <r>
      <rPr>
        <sz val="11"/>
        <color rgb="FF000000"/>
        <rFont val="Segoe UI"/>
        <family val="2"/>
      </rPr>
      <t>: Assist in ease of analysis</t>
    </r>
  </si>
  <si>
    <t>Enhancing Data Loads and Data Delivery</t>
  </si>
  <si>
    <r>
      <t>What</t>
    </r>
    <r>
      <rPr>
        <sz val="11"/>
        <color rgb="FF091E42"/>
        <rFont val="Segoe UI"/>
        <family val="2"/>
      </rPr>
      <t>: Optimize your SDC data usage, reliability, and costs by working with our SDC Engineers.</t>
    </r>
  </si>
  <si>
    <t>SDC Engineers will work to streamline data loads and assist with data reliability issues to enhance performance.</t>
  </si>
  <si>
    <t>Onboarding, Active</t>
  </si>
  <si>
    <t>Data Curation Boost</t>
  </si>
  <si>
    <r>
      <t>What</t>
    </r>
    <r>
      <rPr>
        <sz val="11"/>
        <color rgb="FF091E42"/>
        <rFont val="Segoe UI"/>
        <family val="2"/>
      </rPr>
      <t>: Support for additional curation on specific datasets. SDC Engineering professionals will setup data curation for robust research and analytics. </t>
    </r>
  </si>
  <si>
    <t>By understanding Data Analyst needs and ingested raw data the SDC team will help saves time for the research Data Analysts and other project users by creating items such as curated data dictionary, implementing mappings, business rules etc.</t>
  </si>
  <si>
    <t>Project Owner</t>
  </si>
  <si>
    <t>Archiving Data</t>
  </si>
  <si>
    <r>
      <t>What</t>
    </r>
    <r>
      <rPr>
        <sz val="11"/>
        <color rgb="FF000000"/>
        <rFont val="Segoe UI"/>
        <family val="2"/>
      </rPr>
      <t>: SDC Engineers will help Project Owners to analyze which data sources are not being utilized by answering questions such as how many times are users using all datasets? which are being used? which are not? </t>
    </r>
  </si>
  <si>
    <t>SDC Engineers will provide Project Owners a report to assist with cost savings of archiving data.</t>
  </si>
  <si>
    <r>
      <t>PO Needs Hit</t>
    </r>
    <r>
      <rPr>
        <sz val="11"/>
        <color rgb="FF000000"/>
        <rFont val="Segoe UI"/>
        <family val="2"/>
      </rPr>
      <t>: Understand the process and schedule for SDC</t>
    </r>
  </si>
  <si>
    <t>Management</t>
  </si>
  <si>
    <t>Customized Cost Analysis</t>
  </si>
  <si>
    <r>
      <t>What</t>
    </r>
    <r>
      <rPr>
        <sz val="11"/>
        <color rgb="FF091E42"/>
        <rFont val="Segoe UI"/>
        <family val="2"/>
      </rPr>
      <t>: Create a customized experience within the SDC around costs for active projects within the SDC.</t>
    </r>
  </si>
  <si>
    <t>SDC team will build a customized cost report/dashboard that will show and highlight cost savings and provide recommendations surrounding cost savings.</t>
  </si>
  <si>
    <t>Meeting with SDC platform engineer to review options to optimize cloud consumption to manage the cost associated with cloud usage and storage</t>
  </si>
  <si>
    <r>
      <t>PO Needs Hit:</t>
    </r>
    <r>
      <rPr>
        <sz val="11"/>
        <color rgb="FF091E42"/>
        <rFont val="Segoe UI"/>
        <family val="2"/>
      </rPr>
      <t> Understanding of cost-benefit</t>
    </r>
  </si>
  <si>
    <t>Offering</t>
  </si>
  <si>
    <t>Cost Estimates for Changes to Active Projects</t>
  </si>
  <si>
    <t>Reported Project Cost to Date</t>
  </si>
  <si>
    <t>Current Number of Analysts</t>
  </si>
  <si>
    <t>Current Enablement Level</t>
  </si>
  <si>
    <t>Current Project Duration</t>
  </si>
  <si>
    <t>Desired Number of Analysts</t>
  </si>
  <si>
    <t>Desired Project Duration</t>
  </si>
  <si>
    <t>CHARGE BACK MODEL</t>
  </si>
  <si>
    <t>Notes:</t>
  </si>
  <si>
    <t xml:space="preserve">Notes: </t>
  </si>
  <si>
    <t>Definition</t>
  </si>
  <si>
    <t>Basis for Estimate</t>
  </si>
  <si>
    <t>Platform Overhead Cost Estimate and Charge Back Model</t>
  </si>
  <si>
    <t xml:space="preserve">These are costs associated with the management of the SDC Platform.  </t>
  </si>
  <si>
    <t>Overhead - SDC Program Management</t>
  </si>
  <si>
    <t>Overhead - SDC Platform DevOps and Support</t>
  </si>
  <si>
    <t>Overhead - Platform Cloud Costs (Shared Platform Resources)</t>
  </si>
  <si>
    <t>Data Warehouse (Normal)-Low</t>
  </si>
  <si>
    <t>Data Warehouse (Normal)-Medium</t>
  </si>
  <si>
    <t>Data Warehouse (Normal)-High</t>
  </si>
  <si>
    <t>Data Warehouse (High-Cost)-Low</t>
  </si>
  <si>
    <t>Data Warehouse (High-Cost)-Medium</t>
  </si>
  <si>
    <t>Data Warehouse (High-Cost)-High</t>
  </si>
  <si>
    <t>SDC PM and Dev Ops Overhead</t>
  </si>
  <si>
    <t>SDC Platform Cloud Costs Total Per Month</t>
  </si>
  <si>
    <t>Total Per Month</t>
  </si>
  <si>
    <t>New Enablement Cost</t>
  </si>
  <si>
    <t xml:space="preserve">Estimated Monthly Cost </t>
  </si>
  <si>
    <t>Input Sheet (Blue Cells are calculated automatically using data from the cost dashboard)</t>
  </si>
  <si>
    <t>Unallocated Platform Cloud Costs</t>
  </si>
  <si>
    <t>Notes - Unallocated overhead and platform cloud costs occur when the project mix across project lifecycle is imbalanced. For example, there are projects in the on-boarding category. The overhead allocation for the onboarding category has to be manually assigned to other projects</t>
  </si>
  <si>
    <t>Cost Estimates for Enablement Services (Placeholder)</t>
  </si>
  <si>
    <t>Basis of Estimate</t>
  </si>
  <si>
    <t>1 webinars/meetings per month. 10 hours prep, 2 hours delivery, 4 hours post-webinar review</t>
  </si>
  <si>
    <t>Notes on estimate</t>
  </si>
  <si>
    <t>Basis of estimate</t>
  </si>
  <si>
    <t>SDC team judgment</t>
  </si>
  <si>
    <t>Notes on Estimate</t>
  </si>
  <si>
    <t>Support staff necessary for O&amp;M of SDC Platform. Assume this number is less than the current O&amp;M team (which is close to 1.5-2 FTEs)</t>
  </si>
  <si>
    <t>DevOps staff necessary for continued development of SDC Platform. Assume this number is less than the current DevOps team (which is close to 1.5-2.5 FTEs)</t>
  </si>
  <si>
    <t>Developed based on analysis of existing costs for the SDC team on Task 2</t>
  </si>
  <si>
    <t>Standard O&amp;M/Support</t>
  </si>
  <si>
    <t>Developed based on analysis of existing costs for the SDC team on Task 2 and Task 3</t>
  </si>
  <si>
    <t>Based on actual costs incurred and reported in cost dashboard</t>
  </si>
  <si>
    <t>Data Curation is “the active and ongoing management of data through its life cycle of interest and usefulness.  Activities may include data submission, ingest processing, dataset management, data transformation and analysis</t>
  </si>
  <si>
    <t>Data storage costs include the cost of actually storing the data in data lake(s) for the SDC. These typically are Amazon S3 costs</t>
  </si>
  <si>
    <t xml:space="preserve">Most projects require the ability to access a scalable data warehouse and start analyzing their data right away using existing business intelligence tools. The SDC platform provides data warehousing solutions based on project needs. Most projects will involve a Hadoop-based cluster. This is the normal mode.  For projects with special requirements, higher-cost data warehousing solutions may be required. </t>
  </si>
  <si>
    <t>Based on existing examples of project usage in the cost dashboard. Curation costs include assesment of Lambda. Firehouse and other similar services costs that are used in the SDC</t>
  </si>
  <si>
    <t>Based on existing projects in the SDC. Largely based on CVP, Waze and ATRI data for S3 storage costs and growth</t>
  </si>
  <si>
    <t>Hadoop costs were used as normal whereas Redshift costs were treated as the high-cost option. Costs for Hadoop and Redshift are from existing projects in the SDC</t>
  </si>
  <si>
    <t>Data analysts costs include the cost of the workstation, typical open source tools, team buckets and storage</t>
  </si>
  <si>
    <t>Based on analyst heavy teams such as CVP Volpe, CVP-Wyoming and WAZE-SDI. While analysis intensity waxes and wanes, a linear growth curve is used in the estimates for simplicity.</t>
  </si>
  <si>
    <t>ESPO Offering Name &amp; Brief description</t>
  </si>
  <si>
    <t>External-facing high-level text for the ESPO offerings</t>
  </si>
  <si>
    <t xml:space="preserve">Baseline </t>
  </si>
  <si>
    <t>Total Hours</t>
  </si>
  <si>
    <t>Total Labor</t>
  </si>
  <si>
    <t>ODC (travel, hotel etc)</t>
  </si>
  <si>
    <t>Baseline (Free)</t>
  </si>
  <si>
    <t>Gold ($$)</t>
  </si>
  <si>
    <t>Frequency</t>
  </si>
  <si>
    <t>Overview session with you</t>
  </si>
  <si>
    <t>One time activity</t>
  </si>
  <si>
    <t>Documentation and training materials.</t>
  </si>
  <si>
    <t>Multiple sessions to estimate and refine your project cost.</t>
  </si>
  <si>
    <t>Two sessions</t>
  </si>
  <si>
    <t>In-person onboarding support</t>
  </si>
  <si>
    <t>One time activity, includes ODC</t>
  </si>
  <si>
    <t>On-demand two-day training with your team.</t>
  </si>
  <si>
    <t>On-demand,  pricing for one 2-day workshop includes ODCs. Flexibility to break into two separate one-day sessions</t>
  </si>
  <si>
    <t>Limited to one time data load set-up</t>
  </si>
  <si>
    <t>Upto two request per year</t>
  </si>
  <si>
    <t xml:space="preserve">Documentation for your project data </t>
  </si>
  <si>
    <t>As per need basis</t>
  </si>
  <si>
    <t xml:space="preserve">Making complex datasets available to query. </t>
  </si>
  <si>
    <t>On-going</t>
  </si>
  <si>
    <t>Finding errors during data upload process.</t>
  </si>
  <si>
    <t xml:space="preserve">Analyst workstation setup that come with standard tools </t>
  </si>
  <si>
    <t>Upto 15 user workstations</t>
  </si>
  <si>
    <t>Help with installation of other common, open-source software.</t>
  </si>
  <si>
    <t>Up to 15 user workstations</t>
  </si>
  <si>
    <t>Setting up collaboration tools based on individual needs</t>
  </si>
  <si>
    <t xml:space="preserve">Building software to meet an analysts’ needs </t>
  </si>
  <si>
    <t xml:space="preserve">Data Analysis Consulting </t>
  </si>
  <si>
    <t>Quarterly basis</t>
  </si>
  <si>
    <t>Biweekly consultations to review challenges and SDC updates.</t>
  </si>
  <si>
    <t>on-going support</t>
  </si>
  <si>
    <t>Database optimization for your project needs.</t>
  </si>
  <si>
    <t>upto two requests per year</t>
  </si>
  <si>
    <t>Reviewing and improving data scripts and queries.</t>
  </si>
  <si>
    <t>Support to boost the performance of data analyst models</t>
  </si>
  <si>
    <t>TBD</t>
  </si>
  <si>
    <t>Selection</t>
  </si>
  <si>
    <t>X</t>
  </si>
  <si>
    <t>Mapping offerings with lifecycle</t>
  </si>
  <si>
    <t>Overhead - fixed cost (per year)</t>
  </si>
  <si>
    <t>Total Cost</t>
  </si>
  <si>
    <t>Project On-boarding and Training</t>
  </si>
  <si>
    <t>Uploading Data</t>
  </si>
  <si>
    <t xml:space="preserve">Data Cleanup </t>
  </si>
  <si>
    <t xml:space="preserve">Project On-boarding and Training </t>
  </si>
  <si>
    <t>Data Cleanup</t>
  </si>
  <si>
    <t>Indicate if service is needed</t>
  </si>
  <si>
    <t>Cost (per year, per lifecycle phase)</t>
  </si>
  <si>
    <t>Grand Total Cost ($) - Rounded</t>
  </si>
  <si>
    <t>Silver ($) Rounded</t>
  </si>
  <si>
    <t>Gold ($$) Rounded</t>
  </si>
  <si>
    <t>TOTAL ESTIMATE PER OFFERING</t>
  </si>
  <si>
    <t xml:space="preserve">Silver ($) </t>
  </si>
  <si>
    <t>Baseline (Free) rounded</t>
  </si>
  <si>
    <t>ESPO Silver cost (per year)</t>
  </si>
  <si>
    <t>ESPO Gold cost (per year)</t>
  </si>
  <si>
    <t>Total Silver cost</t>
  </si>
  <si>
    <t>Total Gold cost</t>
  </si>
  <si>
    <t>Total Baseline cost</t>
  </si>
  <si>
    <t>Enablement Total Cost (Per year)</t>
  </si>
  <si>
    <t>Silver Leve offering</t>
  </si>
  <si>
    <t>Baseline Level offering</t>
  </si>
  <si>
    <t>Gold Level Offering</t>
  </si>
  <si>
    <t>Total Cost (Per month or phase)</t>
  </si>
  <si>
    <t>Total Cost (Per year)</t>
  </si>
  <si>
    <t>Installation of licensed analytical tools</t>
  </si>
  <si>
    <t>Development of software for data upload automation</t>
  </si>
  <si>
    <t>Project pre-planning assessment report.</t>
  </si>
  <si>
    <t>Automation of external scripts.</t>
  </si>
  <si>
    <t>Using automated tools to fix errors during the upload process</t>
  </si>
  <si>
    <t>Single session about business needs and costs.</t>
  </si>
  <si>
    <t xml:space="preserve">Uploading data process setup and documentation </t>
  </si>
  <si>
    <t>Setting up data for easy queries.</t>
  </si>
  <si>
    <t>Train analysts to create or update basic queries</t>
  </si>
  <si>
    <t>Silver Offering</t>
  </si>
  <si>
    <t>Gold Offering</t>
  </si>
  <si>
    <t>þ</t>
  </si>
  <si>
    <t>Month in lifecycle (12 month period)</t>
  </si>
  <si>
    <t>12 month</t>
  </si>
  <si>
    <t>Enablement Services Cost (Custom)</t>
  </si>
  <si>
    <t>ESPO Baseline cost</t>
  </si>
  <si>
    <t>Custom</t>
  </si>
  <si>
    <t>Custom Level offering</t>
  </si>
  <si>
    <t>Enablement Total Cost (First year)</t>
  </si>
  <si>
    <t>Enablement Total Cost (Second year)</t>
  </si>
  <si>
    <t>-</t>
  </si>
  <si>
    <t>First year</t>
  </si>
  <si>
    <t>First Year</t>
  </si>
  <si>
    <t>Enablement Costs (first year)</t>
  </si>
  <si>
    <t>Click here =&gt; to go back to the Prospective project</t>
  </si>
  <si>
    <t>Total Cost (one time fee)</t>
  </si>
  <si>
    <t>2nd or 3rd year (only active phase is applicable)</t>
  </si>
  <si>
    <r>
      <rPr>
        <b/>
        <u/>
        <sz val="12"/>
        <rFont val="Calibri"/>
        <family val="2"/>
        <scheme val="minor"/>
      </rPr>
      <t>If 'custom' is being selected from the menu =&gt;</t>
    </r>
    <r>
      <rPr>
        <u/>
        <sz val="12"/>
        <rFont val="Calibri"/>
        <family val="2"/>
        <scheme val="minor"/>
      </rPr>
      <t xml:space="preserve"> Click here</t>
    </r>
  </si>
  <si>
    <t>Enablement level for custom sheet</t>
  </si>
  <si>
    <t>Enablement Costs (2nd and 3rd year)</t>
  </si>
  <si>
    <t>ESPO Baseline cost (2nd and 3rd year)</t>
  </si>
  <si>
    <t>Total Enablement Cost</t>
  </si>
  <si>
    <t>Total Overhead Cost</t>
  </si>
  <si>
    <t>Meetings, Maintenance, Scrum related items</t>
  </si>
  <si>
    <t>Enablement (Custom)</t>
  </si>
  <si>
    <t xml:space="preserve">Enablement Selected </t>
  </si>
  <si>
    <t>Overhead (Enablement baseline)</t>
  </si>
  <si>
    <t>Total project Duration</t>
  </si>
  <si>
    <t>If 'custom' is being selected =&gt; Click here</t>
  </si>
  <si>
    <t>Analyst Setup and Collaboration</t>
  </si>
  <si>
    <t>OLD - DON’T NOT USE</t>
  </si>
  <si>
    <t>Current Enablement Status</t>
  </si>
  <si>
    <t>1st year Enablement Status</t>
  </si>
  <si>
    <t>Custome</t>
  </si>
  <si>
    <t>is the project in its 1st Year</t>
  </si>
  <si>
    <t>Enablement Baseline</t>
  </si>
  <si>
    <t>IT &amp; Management</t>
  </si>
  <si>
    <t>Enablement Overhead_Active (month)</t>
  </si>
  <si>
    <t>Enablement Overhead_baseline (1st year)</t>
  </si>
  <si>
    <t>Total Enablement Oerhead (duration of the project in year one)</t>
  </si>
  <si>
    <t>New Enablement Overhead</t>
  </si>
  <si>
    <t>Enablement Overhead</t>
  </si>
  <si>
    <t>New Project 1</t>
  </si>
  <si>
    <t>New Project 2</t>
  </si>
  <si>
    <t>New Project 3</t>
  </si>
  <si>
    <t>New Project 4</t>
  </si>
  <si>
    <t>New Project 5</t>
  </si>
  <si>
    <t>New Project 6</t>
  </si>
  <si>
    <t>New Project 7</t>
  </si>
  <si>
    <t>New Project 8</t>
  </si>
  <si>
    <t>New Project 9</t>
  </si>
  <si>
    <t>New Project 10</t>
  </si>
  <si>
    <t>New Project 11</t>
  </si>
  <si>
    <t>New Project 12</t>
  </si>
  <si>
    <t>New Project 13</t>
  </si>
  <si>
    <t>New Project 14</t>
  </si>
  <si>
    <t>New Project 15</t>
  </si>
  <si>
    <t>Project Status</t>
  </si>
  <si>
    <t>Project level (If Active)</t>
  </si>
  <si>
    <t>ActiveHigh</t>
  </si>
  <si>
    <t>ActiveMedium</t>
  </si>
  <si>
    <t>ActiveLow</t>
  </si>
  <si>
    <t>1st year lifecycle Status</t>
  </si>
  <si>
    <t>2nd year lifecycle Status</t>
  </si>
  <si>
    <t>2nd year Lifecycle Status</t>
  </si>
  <si>
    <t>3rd year Lifecycle Status</t>
  </si>
  <si>
    <t>Year 4</t>
  </si>
  <si>
    <t>Year 5</t>
  </si>
  <si>
    <t>4th year Lifecycle Status</t>
  </si>
  <si>
    <t>5th year Lifecycle Status</t>
  </si>
  <si>
    <t xml:space="preserve">5-Year Projections of System Administrator Costs </t>
  </si>
  <si>
    <t>Overhead Costs (Labor)</t>
  </si>
  <si>
    <t>Unallocated Overhead (Labor)</t>
  </si>
  <si>
    <t>%</t>
  </si>
  <si>
    <t>Data Growth Factor Per Year</t>
  </si>
  <si>
    <t>The Secure Data Commons (SDC) is a cloud-based analytic platform that provides controlled access to transportation-related data sets. This tool provides a way to estimate the costs of using the Secure Data Commons platform for projects.  Click on the buttons below to get customized estimates based on personas or particular cost categories.</t>
  </si>
  <si>
    <r>
      <t xml:space="preserve">Shared cost for using the SDC platform.  For details on platform overhead, </t>
    </r>
    <r>
      <rPr>
        <u/>
        <sz val="11"/>
        <color theme="8"/>
        <rFont val="Calibri"/>
        <family val="2"/>
        <scheme val="minor"/>
      </rPr>
      <t>click here</t>
    </r>
  </si>
  <si>
    <r>
      <t xml:space="preserve">Cost for additional support from the SDC team. For details on these services, </t>
    </r>
    <r>
      <rPr>
        <u/>
        <sz val="11"/>
        <color theme="4"/>
        <rFont val="Calibri"/>
        <family val="2"/>
        <scheme val="minor"/>
      </rPr>
      <t>click here</t>
    </r>
  </si>
  <si>
    <r>
      <t xml:space="preserve">Shared cost for using the SDC platform.  For details on platform overhead, </t>
    </r>
    <r>
      <rPr>
        <u/>
        <sz val="11"/>
        <color theme="4"/>
        <rFont val="Calibri"/>
        <family val="2"/>
        <scheme val="minor"/>
      </rPr>
      <t>click here</t>
    </r>
  </si>
  <si>
    <t>Secure Data Commons Proof of Concept  Cost Estimator Tool       Version 15</t>
  </si>
  <si>
    <t>Click here =&gt; to go back to the Active project</t>
  </si>
  <si>
    <t>Click here =&gt; to go back to the Sys Admin Tab</t>
  </si>
  <si>
    <t>Note: The rates that are used as part of the Cost Estimator Tool (indicated above) are averages off a similar Departmental vehicle.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</si>
</sst>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8" formatCode="&quot;$&quot;#,##0.00_);[Red]\(&quot;$&quot;#,##0.00\)"/>
    <numFmt numFmtId="44" formatCode="_(&quot;$&quot;* #,##0.00_);_(&quot;$&quot;* \(#,##0.00\);_(&quot;$&quot;* &quot;-&quot;??_);_(@_)"/>
    <numFmt numFmtId="164" formatCode="_(&quot;$&quot;* #,##0_);_(&quot;$&quot;* \(#,##0\);_(&quot;$&quot;* &quot;-&quot;??_);_(@_)"/>
    <numFmt numFmtId="165" formatCode="&quot;$&quot;#,##0.00"/>
    <numFmt numFmtId="166" formatCode="_(&quot;$&quot;* #,##0.0_);_(&quot;$&quot;* \(#,##0.0\);_(&quot;$&quot;* &quot;-&quot;??_);_(@_)"/>
  </numFmts>
  <fonts count="49">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28"/>
      <color theme="8" tint="-0.249977111117893"/>
      <name val="Calibri"/>
      <family val="2"/>
      <scheme val="minor"/>
    </font>
    <font>
      <u/>
      <sz val="11"/>
      <color theme="10"/>
      <name val="Calibri"/>
      <family val="2"/>
      <scheme val="minor"/>
    </font>
    <font>
      <sz val="11"/>
      <color rgb="FF000000"/>
      <name val="Calibri"/>
      <family val="2"/>
    </font>
    <font>
      <b/>
      <sz val="11"/>
      <color rgb="FF000000"/>
      <name val="Calibri"/>
      <family val="2"/>
    </font>
    <font>
      <b/>
      <sz val="20"/>
      <color theme="1"/>
      <name val="Calibri"/>
      <family val="2"/>
      <scheme val="minor"/>
    </font>
    <font>
      <b/>
      <sz val="14"/>
      <color theme="1"/>
      <name val="Calibri"/>
      <family val="2"/>
      <scheme val="minor"/>
    </font>
    <font>
      <sz val="14"/>
      <color theme="8"/>
      <name val="Calibri"/>
      <family val="2"/>
      <scheme val="minor"/>
    </font>
    <font>
      <sz val="11"/>
      <color theme="0"/>
      <name val="Calibri"/>
      <family val="2"/>
      <scheme val="minor"/>
    </font>
    <font>
      <b/>
      <sz val="12"/>
      <color theme="1"/>
      <name val="Calibri"/>
      <family val="2"/>
      <scheme val="minor"/>
    </font>
    <font>
      <sz val="14"/>
      <color rgb="FF091E42"/>
      <name val="Helvetica Neue"/>
      <family val="2"/>
    </font>
    <font>
      <sz val="11"/>
      <name val="Calibri"/>
      <family val="2"/>
      <scheme val="minor"/>
    </font>
    <font>
      <sz val="11"/>
      <color rgb="FF00B050"/>
      <name val="Calibri"/>
      <family val="2"/>
      <scheme val="minor"/>
    </font>
    <font>
      <b/>
      <sz val="16"/>
      <color rgb="FF000000"/>
      <name val="Calibri"/>
      <family val="2"/>
    </font>
    <font>
      <sz val="11"/>
      <color rgb="FFFF0000"/>
      <name val="Calibri"/>
      <family val="2"/>
      <scheme val="minor"/>
    </font>
    <font>
      <u/>
      <sz val="36"/>
      <color theme="10"/>
      <name val="Calibri"/>
      <family val="2"/>
      <scheme val="minor"/>
    </font>
    <font>
      <b/>
      <sz val="50"/>
      <color theme="1"/>
      <name val="Calibri"/>
      <family val="2"/>
      <scheme val="minor"/>
    </font>
    <font>
      <sz val="20"/>
      <color theme="0"/>
      <name val="Calibri"/>
      <family val="2"/>
      <scheme val="minor"/>
    </font>
    <font>
      <sz val="11"/>
      <color rgb="FF091E42"/>
      <name val="Segoe UI"/>
      <family val="2"/>
    </font>
    <font>
      <b/>
      <sz val="11"/>
      <color rgb="FF172B4D"/>
      <name val="Segoe UI"/>
      <family val="2"/>
    </font>
    <font>
      <b/>
      <sz val="11"/>
      <color rgb="FF091E42"/>
      <name val="Segoe UI"/>
      <family val="2"/>
    </font>
    <font>
      <sz val="11"/>
      <color rgb="FF000000"/>
      <name val="Segoe UI"/>
      <family val="2"/>
    </font>
    <font>
      <b/>
      <sz val="11"/>
      <color rgb="FF000000"/>
      <name val="Segoe UI"/>
      <family val="2"/>
    </font>
    <font>
      <b/>
      <sz val="20"/>
      <color theme="0"/>
      <name val="Calibri"/>
      <family val="2"/>
      <scheme val="minor"/>
    </font>
    <font>
      <b/>
      <sz val="12"/>
      <color theme="0"/>
      <name val="Calibri"/>
      <family val="2"/>
      <scheme val="minor"/>
    </font>
    <font>
      <sz val="12"/>
      <color theme="1"/>
      <name val="Calibri"/>
      <family val="2"/>
      <scheme val="minor"/>
    </font>
    <font>
      <sz val="12"/>
      <color theme="0"/>
      <name val="Calibri"/>
      <family val="2"/>
      <scheme val="minor"/>
    </font>
    <font>
      <b/>
      <sz val="18"/>
      <color theme="0"/>
      <name val="Calibri"/>
      <family val="2"/>
      <scheme val="minor"/>
    </font>
    <font>
      <b/>
      <sz val="10"/>
      <color theme="1"/>
      <name val="Calibri"/>
      <family val="2"/>
      <scheme val="minor"/>
    </font>
    <font>
      <b/>
      <sz val="8"/>
      <color theme="1"/>
      <name val="Calibri"/>
      <family val="2"/>
      <scheme val="minor"/>
    </font>
    <font>
      <b/>
      <sz val="9"/>
      <color theme="1"/>
      <name val="Calibri"/>
      <family val="2"/>
      <scheme val="minor"/>
    </font>
    <font>
      <sz val="9"/>
      <color theme="1"/>
      <name val="Calibri"/>
      <family val="2"/>
      <scheme val="minor"/>
    </font>
    <font>
      <sz val="8"/>
      <color theme="1"/>
      <name val="Calibri"/>
      <family val="2"/>
      <scheme val="minor"/>
    </font>
    <font>
      <i/>
      <sz val="9"/>
      <color theme="1"/>
      <name val="Calibri"/>
      <family val="2"/>
      <scheme val="minor"/>
    </font>
    <font>
      <sz val="10"/>
      <color theme="1"/>
      <name val="Calibri"/>
      <family val="2"/>
      <scheme val="minor"/>
    </font>
    <font>
      <sz val="16"/>
      <color theme="1"/>
      <name val="Wingdings"/>
      <charset val="2"/>
    </font>
    <font>
      <b/>
      <sz val="11"/>
      <name val="Calibri"/>
      <family val="2"/>
      <scheme val="minor"/>
    </font>
    <font>
      <u/>
      <sz val="12"/>
      <name val="Calibri"/>
      <family val="2"/>
      <scheme val="minor"/>
    </font>
    <font>
      <b/>
      <u/>
      <sz val="12"/>
      <name val="Calibri"/>
      <family val="2"/>
      <scheme val="minor"/>
    </font>
    <font>
      <b/>
      <sz val="14"/>
      <name val="Calibri"/>
      <family val="2"/>
      <scheme val="minor"/>
    </font>
    <font>
      <u/>
      <sz val="11"/>
      <name val="Calibri"/>
      <family val="2"/>
      <scheme val="minor"/>
    </font>
    <font>
      <b/>
      <sz val="16"/>
      <color theme="1"/>
      <name val="Calibri"/>
      <family val="2"/>
      <scheme val="minor"/>
    </font>
    <font>
      <sz val="8"/>
      <name val="Calibri"/>
      <family val="2"/>
      <scheme val="minor"/>
    </font>
    <font>
      <u/>
      <sz val="11"/>
      <color theme="8"/>
      <name val="Calibri"/>
      <family val="2"/>
      <scheme val="minor"/>
    </font>
    <font>
      <u/>
      <sz val="11"/>
      <color theme="4"/>
      <name val="Calibri"/>
      <family val="2"/>
      <scheme val="minor"/>
    </font>
    <font>
      <i/>
      <sz val="11"/>
      <color theme="1"/>
      <name val="Calibri"/>
      <family val="2"/>
      <scheme val="minor"/>
    </font>
  </fonts>
  <fills count="4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1"/>
        <bgColor indexed="64"/>
      </patternFill>
    </fill>
    <fill>
      <patternFill patternType="solid">
        <fgColor theme="5"/>
        <bgColor indexed="64"/>
      </patternFill>
    </fill>
    <fill>
      <patternFill patternType="solid">
        <fgColor theme="9"/>
        <bgColor indexed="64"/>
      </patternFill>
    </fill>
    <fill>
      <patternFill patternType="solid">
        <fgColor theme="7" tint="0.59999389629810485"/>
        <bgColor indexed="64"/>
      </patternFill>
    </fill>
    <fill>
      <patternFill patternType="solid">
        <fgColor theme="3" tint="-0.249977111117893"/>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theme="8"/>
      </patternFill>
    </fill>
    <fill>
      <patternFill patternType="solid">
        <fgColor rgb="FFFFC000"/>
        <bgColor indexed="64"/>
      </patternFill>
    </fill>
    <fill>
      <patternFill patternType="solid">
        <fgColor rgb="FF00B0F0"/>
        <bgColor indexed="64"/>
      </patternFill>
    </fill>
    <fill>
      <patternFill patternType="solid">
        <fgColor rgb="FFFF0000"/>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rgb="FF70AD47"/>
        <bgColor indexed="64"/>
      </patternFill>
    </fill>
    <fill>
      <patternFill patternType="solid">
        <fgColor rgb="FFFFFFFF"/>
        <bgColor indexed="64"/>
      </patternFill>
    </fill>
    <fill>
      <patternFill patternType="solid">
        <fgColor theme="4"/>
        <bgColor indexed="64"/>
      </patternFill>
    </fill>
    <fill>
      <patternFill patternType="solid">
        <fgColor rgb="FFF0F0F0"/>
        <bgColor indexed="64"/>
      </patternFill>
    </fill>
    <fill>
      <patternFill patternType="solid">
        <fgColor rgb="FFE0F0FF"/>
        <bgColor indexed="64"/>
      </patternFill>
    </fill>
    <fill>
      <patternFill patternType="solid">
        <fgColor theme="0" tint="-0.14999847407452621"/>
        <bgColor indexed="64"/>
      </patternFill>
    </fill>
    <fill>
      <patternFill patternType="lightUp"/>
    </fill>
    <fill>
      <patternFill patternType="solid">
        <fgColor theme="5" tint="-0.249977111117893"/>
        <bgColor indexed="64"/>
      </patternFill>
    </fill>
    <fill>
      <patternFill patternType="solid">
        <fgColor theme="9" tint="0.59999389629810485"/>
        <bgColor indexed="64"/>
      </patternFill>
    </fill>
    <fill>
      <patternFill patternType="solid">
        <fgColor theme="7" tint="0.39997558519241921"/>
        <bgColor indexed="64"/>
      </patternFill>
    </fill>
    <fill>
      <patternFill patternType="lightUp">
        <bgColor theme="7" tint="0.39997558519241921"/>
      </patternFill>
    </fill>
    <fill>
      <patternFill patternType="lightUp">
        <bgColor theme="5" tint="-0.249977111117893"/>
      </patternFill>
    </fill>
    <fill>
      <patternFill patternType="solid">
        <fgColor theme="9" tint="0.79998168889431442"/>
        <bgColor indexed="64"/>
      </patternFill>
    </fill>
    <fill>
      <patternFill patternType="solid">
        <fgColor theme="7"/>
        <bgColor indexed="64"/>
      </patternFill>
    </fill>
    <fill>
      <patternFill patternType="solid">
        <fgColor rgb="FF92D050"/>
        <bgColor indexed="64"/>
      </patternFill>
    </fill>
    <fill>
      <patternFill patternType="solid">
        <fgColor theme="5" tint="0.59999389629810485"/>
        <bgColor indexed="64"/>
      </patternFill>
    </fill>
    <fill>
      <patternFill patternType="solid">
        <fgColor theme="9" tint="0.39997558519241921"/>
        <bgColor indexed="64"/>
      </patternFill>
    </fill>
    <fill>
      <patternFill patternType="gray0625"/>
    </fill>
    <fill>
      <patternFill patternType="solid">
        <fgColor theme="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8" tint="0.59999389629810485"/>
        <bgColor indexed="64"/>
      </patternFill>
    </fill>
    <fill>
      <patternFill patternType="darkUp">
        <bgColor theme="0"/>
      </patternFill>
    </fill>
  </fills>
  <borders count="7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bottom/>
      <diagonal/>
    </border>
    <border>
      <left/>
      <right/>
      <top/>
      <bottom style="thin">
        <color indexed="64"/>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rgb="FFDDDDDD"/>
      </left>
      <right style="medium">
        <color rgb="FFDDDDDD"/>
      </right>
      <top style="medium">
        <color rgb="FFDDDDDD"/>
      </top>
      <bottom style="medium">
        <color rgb="FFDDDDDD"/>
      </bottom>
      <diagonal/>
    </border>
    <border>
      <left style="medium">
        <color rgb="FFDDDDDD"/>
      </left>
      <right/>
      <top style="medium">
        <color rgb="FFDDDDDD"/>
      </top>
      <bottom style="medium">
        <color rgb="FFDDDDDD"/>
      </bottom>
      <diagonal/>
    </border>
    <border>
      <left/>
      <right/>
      <top style="medium">
        <color rgb="FFDDDDDD"/>
      </top>
      <bottom style="medium">
        <color rgb="FFDDDDDD"/>
      </bottom>
      <diagonal/>
    </border>
    <border>
      <left/>
      <right style="medium">
        <color rgb="FFDDDDDD"/>
      </right>
      <top style="medium">
        <color rgb="FFDDDDDD"/>
      </top>
      <bottom style="medium">
        <color rgb="FFDDDDDD"/>
      </bottom>
      <diagonal/>
    </border>
    <border>
      <left style="medium">
        <color rgb="FFDDDDDD"/>
      </left>
      <right style="medium">
        <color rgb="FFDDDDDD"/>
      </right>
      <top style="medium">
        <color rgb="FFDDDDDD"/>
      </top>
      <bottom/>
      <diagonal/>
    </border>
    <border>
      <left style="medium">
        <color rgb="FFDDDDDD"/>
      </left>
      <right style="medium">
        <color rgb="FFDDDDDD"/>
      </right>
      <top/>
      <bottom/>
      <diagonal/>
    </border>
    <border>
      <left style="medium">
        <color rgb="FFDDDDDD"/>
      </left>
      <right style="medium">
        <color rgb="FFDDDDDD"/>
      </right>
      <top/>
      <bottom style="medium">
        <color rgb="FFDDDDDD"/>
      </bottom>
      <diagonal/>
    </border>
    <border>
      <left/>
      <right/>
      <top/>
      <bottom style="medium">
        <color rgb="FFDDDDDD"/>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style="medium">
        <color indexed="64"/>
      </left>
      <right style="medium">
        <color indexed="64"/>
      </right>
      <top style="thin">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s>
  <cellStyleXfs count="6">
    <xf numFmtId="0" fontId="0" fillId="0" borderId="0"/>
    <xf numFmtId="44" fontId="1" fillId="0" borderId="0" applyFont="0" applyFill="0" applyBorder="0" applyAlignment="0" applyProtection="0"/>
    <xf numFmtId="0" fontId="5" fillId="0" borderId="0" applyNumberFormat="0" applyFill="0" applyBorder="0" applyAlignment="0" applyProtection="0"/>
    <xf numFmtId="0" fontId="6" fillId="0" borderId="0"/>
    <xf numFmtId="9" fontId="1" fillId="0" borderId="0" applyFont="0" applyFill="0" applyBorder="0" applyAlignment="0" applyProtection="0"/>
    <xf numFmtId="0" fontId="11" fillId="11" borderId="0" applyNumberFormat="0" applyBorder="0" applyAlignment="0" applyProtection="0"/>
  </cellStyleXfs>
  <cellXfs count="844">
    <xf numFmtId="0" fontId="0" fillId="0" borderId="0" xfId="0"/>
    <xf numFmtId="0" fontId="0" fillId="2" borderId="0" xfId="0" applyFill="1"/>
    <xf numFmtId="0" fontId="0" fillId="5" borderId="0" xfId="0" applyFill="1"/>
    <xf numFmtId="0" fontId="0" fillId="7" borderId="0" xfId="0" applyFill="1"/>
    <xf numFmtId="0" fontId="0" fillId="7" borderId="1" xfId="0" applyFill="1" applyBorder="1"/>
    <xf numFmtId="0" fontId="0" fillId="10" borderId="0" xfId="0" applyFill="1"/>
    <xf numFmtId="0" fontId="3" fillId="10" borderId="0" xfId="0" applyFont="1" applyFill="1"/>
    <xf numFmtId="0" fontId="0" fillId="10" borderId="0" xfId="0" applyFill="1" applyBorder="1"/>
    <xf numFmtId="0" fontId="3" fillId="10" borderId="0" xfId="0" applyFont="1" applyFill="1" applyBorder="1"/>
    <xf numFmtId="0" fontId="0" fillId="0" borderId="1" xfId="0" applyBorder="1"/>
    <xf numFmtId="44" fontId="0" fillId="0" borderId="1" xfId="1" applyFont="1" applyBorder="1"/>
    <xf numFmtId="44" fontId="0" fillId="0" borderId="1" xfId="0" applyNumberFormat="1" applyBorder="1"/>
    <xf numFmtId="44" fontId="0" fillId="0" borderId="0" xfId="1" applyFont="1"/>
    <xf numFmtId="0" fontId="5" fillId="0" borderId="0" xfId="2"/>
    <xf numFmtId="0" fontId="3" fillId="0" borderId="0" xfId="0" applyFont="1"/>
    <xf numFmtId="0" fontId="0" fillId="0" borderId="2" xfId="0" applyBorder="1"/>
    <xf numFmtId="0" fontId="0" fillId="0" borderId="4" xfId="0" applyBorder="1"/>
    <xf numFmtId="44" fontId="0" fillId="0" borderId="4" xfId="0" applyNumberFormat="1" applyBorder="1"/>
    <xf numFmtId="0" fontId="0" fillId="0" borderId="5" xfId="0" applyBorder="1"/>
    <xf numFmtId="0" fontId="0" fillId="0" borderId="6" xfId="0" applyBorder="1"/>
    <xf numFmtId="44" fontId="0" fillId="0" borderId="6" xfId="0" applyNumberFormat="1" applyBorder="1"/>
    <xf numFmtId="44" fontId="0" fillId="0" borderId="7" xfId="0" applyNumberFormat="1" applyBorder="1"/>
    <xf numFmtId="44" fontId="0" fillId="0" borderId="4" xfId="1" applyFont="1" applyBorder="1"/>
    <xf numFmtId="0" fontId="0" fillId="0" borderId="6" xfId="0" applyNumberFormat="1" applyBorder="1"/>
    <xf numFmtId="44" fontId="0" fillId="0" borderId="7" xfId="1" applyFont="1" applyBorder="1"/>
    <xf numFmtId="0" fontId="8" fillId="0" borderId="0" xfId="0" applyFont="1"/>
    <xf numFmtId="0" fontId="0" fillId="5" borderId="2" xfId="0" applyFill="1" applyBorder="1"/>
    <xf numFmtId="0" fontId="0" fillId="5" borderId="1" xfId="0" applyFill="1" applyBorder="1"/>
    <xf numFmtId="0" fontId="0" fillId="5" borderId="4" xfId="0" applyFill="1" applyBorder="1"/>
    <xf numFmtId="0" fontId="0" fillId="0" borderId="11" xfId="0" applyBorder="1"/>
    <xf numFmtId="0" fontId="0" fillId="0" borderId="3" xfId="0" applyBorder="1"/>
    <xf numFmtId="44" fontId="0" fillId="0" borderId="3" xfId="0" applyNumberFormat="1" applyBorder="1"/>
    <xf numFmtId="6" fontId="0" fillId="0" borderId="12" xfId="0" applyNumberFormat="1" applyBorder="1"/>
    <xf numFmtId="44" fontId="0" fillId="0" borderId="6" xfId="1" applyFont="1" applyBorder="1"/>
    <xf numFmtId="0" fontId="9" fillId="0" borderId="0" xfId="0" applyFont="1"/>
    <xf numFmtId="0" fontId="5" fillId="6" borderId="0" xfId="2" applyFill="1"/>
    <xf numFmtId="0" fontId="0" fillId="6" borderId="2" xfId="0" applyFill="1" applyBorder="1"/>
    <xf numFmtId="0" fontId="0" fillId="6" borderId="9" xfId="0" applyFill="1" applyBorder="1"/>
    <xf numFmtId="0" fontId="0" fillId="6" borderId="1" xfId="0" applyFill="1" applyBorder="1"/>
    <xf numFmtId="0" fontId="0" fillId="6" borderId="4" xfId="0" applyFill="1" applyBorder="1"/>
    <xf numFmtId="0" fontId="0" fillId="6" borderId="8" xfId="0" applyFill="1" applyBorder="1"/>
    <xf numFmtId="0" fontId="0" fillId="6" borderId="10" xfId="0" applyFill="1" applyBorder="1"/>
    <xf numFmtId="0" fontId="0" fillId="2" borderId="0" xfId="0" applyFill="1" applyBorder="1"/>
    <xf numFmtId="9" fontId="0" fillId="0" borderId="1" xfId="0" applyNumberFormat="1" applyBorder="1"/>
    <xf numFmtId="0" fontId="0" fillId="0" borderId="8" xfId="0" applyBorder="1"/>
    <xf numFmtId="0" fontId="0" fillId="0" borderId="9" xfId="0" applyBorder="1"/>
    <xf numFmtId="0" fontId="0" fillId="0" borderId="10" xfId="0" applyBorder="1"/>
    <xf numFmtId="0" fontId="0" fillId="0" borderId="0" xfId="0" applyAlignment="1">
      <alignment wrapText="1"/>
    </xf>
    <xf numFmtId="0" fontId="0" fillId="7" borderId="1" xfId="0" applyFill="1" applyBorder="1" applyAlignment="1">
      <alignment wrapText="1"/>
    </xf>
    <xf numFmtId="0" fontId="0" fillId="12" borderId="0" xfId="0" applyFill="1"/>
    <xf numFmtId="0" fontId="0" fillId="0" borderId="0" xfId="0" applyBorder="1"/>
    <xf numFmtId="0" fontId="0" fillId="2" borderId="1" xfId="0" applyFill="1" applyBorder="1"/>
    <xf numFmtId="17" fontId="12" fillId="0" borderId="0" xfId="0" applyNumberFormat="1" applyFont="1"/>
    <xf numFmtId="17" fontId="12" fillId="3" borderId="0" xfId="0" applyNumberFormat="1" applyFont="1" applyFill="1"/>
    <xf numFmtId="0" fontId="12" fillId="13" borderId="0" xfId="0" applyFont="1" applyFill="1"/>
    <xf numFmtId="0" fontId="12" fillId="14" borderId="0" xfId="0" applyFont="1" applyFill="1"/>
    <xf numFmtId="165" fontId="0" fillId="0" borderId="0" xfId="0" applyNumberFormat="1"/>
    <xf numFmtId="165" fontId="0" fillId="3" borderId="0" xfId="0" applyNumberFormat="1" applyFill="1"/>
    <xf numFmtId="165" fontId="0" fillId="13" borderId="0" xfId="0" applyNumberFormat="1" applyFill="1"/>
    <xf numFmtId="165" fontId="0" fillId="14" borderId="0" xfId="0" applyNumberFormat="1" applyFill="1"/>
    <xf numFmtId="0" fontId="0" fillId="0" borderId="0" xfId="0" applyAlignment="1">
      <alignment horizontal="center"/>
    </xf>
    <xf numFmtId="165" fontId="6" fillId="2" borderId="1" xfId="1" applyNumberFormat="1" applyFont="1" applyFill="1" applyBorder="1" applyAlignment="1">
      <alignment vertical="top"/>
    </xf>
    <xf numFmtId="165" fontId="0" fillId="6" borderId="1" xfId="0" applyNumberFormat="1" applyFill="1" applyBorder="1"/>
    <xf numFmtId="0" fontId="0" fillId="0" borderId="4" xfId="0" applyBorder="1" applyAlignment="1">
      <alignment wrapText="1"/>
    </xf>
    <xf numFmtId="0" fontId="0" fillId="0" borderId="1" xfId="0" applyBorder="1" applyAlignment="1">
      <alignment horizontal="left" wrapText="1"/>
    </xf>
    <xf numFmtId="0" fontId="0" fillId="0" borderId="0" xfId="0" applyFill="1" applyBorder="1"/>
    <xf numFmtId="0" fontId="13" fillId="0" borderId="0" xfId="0" applyFont="1"/>
    <xf numFmtId="10" fontId="0" fillId="0" borderId="0" xfId="0" applyNumberFormat="1" applyAlignment="1"/>
    <xf numFmtId="0" fontId="0" fillId="12" borderId="0" xfId="0" applyFill="1" applyAlignment="1">
      <alignment horizontal="right"/>
    </xf>
    <xf numFmtId="0" fontId="0" fillId="0" borderId="0" xfId="0" applyAlignment="1"/>
    <xf numFmtId="166" fontId="0" fillId="0" borderId="1" xfId="1" applyNumberFormat="1" applyFont="1" applyBorder="1"/>
    <xf numFmtId="164" fontId="0" fillId="7" borderId="1" xfId="1" applyNumberFormat="1" applyFont="1" applyFill="1" applyBorder="1"/>
    <xf numFmtId="44" fontId="0" fillId="0" borderId="0" xfId="0" applyNumberFormat="1"/>
    <xf numFmtId="166" fontId="0" fillId="0" borderId="0" xfId="1" applyNumberFormat="1" applyFont="1"/>
    <xf numFmtId="0" fontId="0" fillId="5" borderId="17" xfId="0" applyFill="1" applyBorder="1"/>
    <xf numFmtId="164" fontId="11" fillId="8" borderId="1" xfId="1" applyNumberFormat="1" applyFont="1" applyFill="1" applyBorder="1"/>
    <xf numFmtId="0" fontId="15" fillId="7" borderId="1" xfId="0" applyFont="1" applyFill="1" applyBorder="1"/>
    <xf numFmtId="164" fontId="15" fillId="7" borderId="1" xfId="1" applyNumberFormat="1" applyFont="1" applyFill="1" applyBorder="1"/>
    <xf numFmtId="0" fontId="0" fillId="0" borderId="12" xfId="0" applyBorder="1"/>
    <xf numFmtId="0" fontId="0" fillId="0" borderId="2" xfId="0" applyFill="1" applyBorder="1"/>
    <xf numFmtId="0" fontId="0" fillId="5" borderId="15" xfId="0" applyFill="1" applyBorder="1"/>
    <xf numFmtId="164" fontId="0" fillId="5" borderId="0" xfId="1" applyNumberFormat="1" applyFont="1" applyFill="1"/>
    <xf numFmtId="44" fontId="0" fillId="0" borderId="2" xfId="1" applyFont="1" applyBorder="1"/>
    <xf numFmtId="44" fontId="0" fillId="0" borderId="15" xfId="1" applyFont="1" applyBorder="1"/>
    <xf numFmtId="44" fontId="0" fillId="0" borderId="17" xfId="1" applyFont="1" applyBorder="1"/>
    <xf numFmtId="44" fontId="0" fillId="0" borderId="3" xfId="1" applyFont="1" applyBorder="1"/>
    <xf numFmtId="44" fontId="0" fillId="0" borderId="20" xfId="1" applyFont="1" applyBorder="1"/>
    <xf numFmtId="44" fontId="0" fillId="0" borderId="16" xfId="1" applyFont="1" applyBorder="1"/>
    <xf numFmtId="44" fontId="0" fillId="0" borderId="19" xfId="1" applyFont="1" applyBorder="1"/>
    <xf numFmtId="0" fontId="0" fillId="17" borderId="1" xfId="0" applyFill="1" applyBorder="1"/>
    <xf numFmtId="0" fontId="0" fillId="17" borderId="8" xfId="0" applyFill="1" applyBorder="1"/>
    <xf numFmtId="0" fontId="0" fillId="17" borderId="2" xfId="0" applyFill="1" applyBorder="1"/>
    <xf numFmtId="44" fontId="0" fillId="17" borderId="2" xfId="1" applyFont="1" applyFill="1" applyBorder="1"/>
    <xf numFmtId="0" fontId="0" fillId="17" borderId="14" xfId="0" applyFill="1" applyBorder="1"/>
    <xf numFmtId="0" fontId="0" fillId="17" borderId="15" xfId="0" applyFill="1" applyBorder="1"/>
    <xf numFmtId="0" fontId="0" fillId="17" borderId="16" xfId="0" applyFill="1" applyBorder="1"/>
    <xf numFmtId="0" fontId="11" fillId="4" borderId="0" xfId="0" applyFont="1" applyFill="1"/>
    <xf numFmtId="164" fontId="11" fillId="11" borderId="0" xfId="5" applyNumberFormat="1"/>
    <xf numFmtId="44" fontId="11" fillId="11" borderId="0" xfId="5" applyNumberFormat="1"/>
    <xf numFmtId="0" fontId="11" fillId="11" borderId="0" xfId="5"/>
    <xf numFmtId="0" fontId="0" fillId="10" borderId="24" xfId="0" applyFill="1" applyBorder="1"/>
    <xf numFmtId="0" fontId="0" fillId="17" borderId="1" xfId="0" applyFill="1" applyBorder="1" applyAlignment="1">
      <alignment horizontal="center" wrapText="1"/>
    </xf>
    <xf numFmtId="0" fontId="3" fillId="5" borderId="0" xfId="0" applyFont="1" applyFill="1"/>
    <xf numFmtId="0" fontId="0" fillId="5" borderId="0" xfId="0" applyFont="1" applyFill="1"/>
    <xf numFmtId="0" fontId="0" fillId="0" borderId="1" xfId="0" applyBorder="1" applyAlignment="1">
      <alignment wrapText="1"/>
    </xf>
    <xf numFmtId="164" fontId="0" fillId="7" borderId="1" xfId="1" quotePrefix="1" applyNumberFormat="1" applyFont="1" applyFill="1" applyBorder="1"/>
    <xf numFmtId="165" fontId="0" fillId="0" borderId="1" xfId="1" applyNumberFormat="1" applyFont="1" applyBorder="1"/>
    <xf numFmtId="0" fontId="0" fillId="14" borderId="0" xfId="0" applyFill="1"/>
    <xf numFmtId="9" fontId="0" fillId="0" borderId="0" xfId="4" applyFont="1"/>
    <xf numFmtId="0" fontId="0" fillId="0" borderId="13" xfId="0" applyFill="1" applyBorder="1" applyAlignment="1">
      <alignment wrapText="1"/>
    </xf>
    <xf numFmtId="0" fontId="0" fillId="0" borderId="0" xfId="0" applyBorder="1" applyAlignment="1">
      <alignment horizontal="center"/>
    </xf>
    <xf numFmtId="0" fontId="0" fillId="0" borderId="1" xfId="0" applyFill="1" applyBorder="1" applyAlignment="1">
      <alignment wrapText="1"/>
    </xf>
    <xf numFmtId="166" fontId="0" fillId="0" borderId="0" xfId="0" applyNumberFormat="1"/>
    <xf numFmtId="164" fontId="0" fillId="10" borderId="1" xfId="1" applyNumberFormat="1" applyFont="1" applyFill="1" applyBorder="1"/>
    <xf numFmtId="0" fontId="11" fillId="9" borderId="0" xfId="5" applyFill="1"/>
    <xf numFmtId="9" fontId="11" fillId="9" borderId="0" xfId="5" applyNumberFormat="1" applyFill="1"/>
    <xf numFmtId="0" fontId="11" fillId="9" borderId="0" xfId="5" applyFill="1" applyAlignment="1">
      <alignment horizontal="right"/>
    </xf>
    <xf numFmtId="9" fontId="11" fillId="9" borderId="0" xfId="4" applyFont="1" applyFill="1"/>
    <xf numFmtId="0" fontId="0" fillId="10" borderId="9" xfId="0" applyFill="1" applyBorder="1"/>
    <xf numFmtId="0" fontId="0" fillId="10" borderId="10" xfId="0" applyFill="1" applyBorder="1"/>
    <xf numFmtId="0" fontId="0" fillId="10" borderId="2" xfId="0" applyFill="1" applyBorder="1"/>
    <xf numFmtId="164" fontId="0" fillId="10" borderId="4" xfId="1" applyNumberFormat="1" applyFont="1" applyFill="1" applyBorder="1"/>
    <xf numFmtId="0" fontId="3" fillId="10" borderId="26" xfId="0" applyFont="1" applyFill="1" applyBorder="1" applyAlignment="1">
      <alignment wrapText="1"/>
    </xf>
    <xf numFmtId="164" fontId="3" fillId="10" borderId="6" xfId="1" applyNumberFormat="1" applyFont="1" applyFill="1" applyBorder="1"/>
    <xf numFmtId="164" fontId="0" fillId="10" borderId="7" xfId="1" applyNumberFormat="1" applyFont="1" applyFill="1" applyBorder="1"/>
    <xf numFmtId="0" fontId="3" fillId="10" borderId="8" xfId="0" applyFont="1" applyFill="1" applyBorder="1"/>
    <xf numFmtId="44" fontId="0" fillId="2" borderId="0" xfId="0" applyNumberFormat="1" applyFill="1" applyBorder="1"/>
    <xf numFmtId="44" fontId="0" fillId="2" borderId="0" xfId="1" applyFont="1" applyFill="1" applyBorder="1"/>
    <xf numFmtId="0" fontId="0" fillId="0" borderId="0" xfId="0" applyAlignment="1">
      <alignment horizontal="center"/>
    </xf>
    <xf numFmtId="0" fontId="0" fillId="6" borderId="27" xfId="0" applyFill="1" applyBorder="1"/>
    <xf numFmtId="44" fontId="0" fillId="5" borderId="0" xfId="0" applyNumberFormat="1" applyFill="1"/>
    <xf numFmtId="44" fontId="3" fillId="10" borderId="0" xfId="0" applyNumberFormat="1" applyFont="1" applyFill="1" applyBorder="1" applyAlignment="1">
      <alignment horizontal="center"/>
    </xf>
    <xf numFmtId="9" fontId="0" fillId="5" borderId="0" xfId="0" applyNumberFormat="1" applyFill="1"/>
    <xf numFmtId="9" fontId="0" fillId="10" borderId="0" xfId="4" applyFont="1" applyFill="1"/>
    <xf numFmtId="0" fontId="0" fillId="18" borderId="0" xfId="0" applyFill="1"/>
    <xf numFmtId="0" fontId="0" fillId="18" borderId="0" xfId="0" applyNumberFormat="1" applyFill="1"/>
    <xf numFmtId="166" fontId="0" fillId="0" borderId="2" xfId="1" applyNumberFormat="1" applyFont="1" applyBorder="1"/>
    <xf numFmtId="0" fontId="0" fillId="0" borderId="0" xfId="0" applyAlignment="1">
      <alignment horizontal="right"/>
    </xf>
    <xf numFmtId="44" fontId="0" fillId="2" borderId="0" xfId="1" applyFont="1" applyFill="1"/>
    <xf numFmtId="44" fontId="0" fillId="10" borderId="0" xfId="1" applyFont="1" applyFill="1"/>
    <xf numFmtId="44" fontId="3" fillId="2" borderId="0" xfId="1" applyFont="1" applyFill="1"/>
    <xf numFmtId="164" fontId="0" fillId="2" borderId="0" xfId="0" applyNumberFormat="1" applyFill="1"/>
    <xf numFmtId="164" fontId="0" fillId="10" borderId="0" xfId="0" applyNumberFormat="1" applyFill="1"/>
    <xf numFmtId="164" fontId="3" fillId="2" borderId="0" xfId="0" applyNumberFormat="1" applyFont="1" applyFill="1"/>
    <xf numFmtId="164" fontId="0" fillId="0" borderId="0" xfId="1" applyNumberFormat="1" applyFont="1"/>
    <xf numFmtId="164" fontId="0" fillId="0" borderId="0" xfId="0" applyNumberFormat="1"/>
    <xf numFmtId="3" fontId="0" fillId="0" borderId="0" xfId="0" applyNumberFormat="1"/>
    <xf numFmtId="44" fontId="0" fillId="10" borderId="0" xfId="1" applyFont="1" applyFill="1" applyBorder="1"/>
    <xf numFmtId="44" fontId="3" fillId="10" borderId="0" xfId="1" applyFont="1" applyFill="1" applyBorder="1"/>
    <xf numFmtId="0" fontId="0" fillId="0" borderId="0" xfId="0" applyAlignment="1">
      <alignment horizontal="center"/>
    </xf>
    <xf numFmtId="0" fontId="7" fillId="19" borderId="28" xfId="0" applyFont="1" applyFill="1" applyBorder="1" applyAlignment="1">
      <alignment vertical="center"/>
    </xf>
    <xf numFmtId="0" fontId="7" fillId="19" borderId="29" xfId="0" applyFont="1" applyFill="1" applyBorder="1" applyAlignment="1">
      <alignment vertical="center" wrapText="1"/>
    </xf>
    <xf numFmtId="0" fontId="7" fillId="19" borderId="29" xfId="0" applyFont="1" applyFill="1" applyBorder="1" applyAlignment="1">
      <alignment horizontal="center" vertical="center" wrapText="1"/>
    </xf>
    <xf numFmtId="0" fontId="6" fillId="20" borderId="30" xfId="0" applyFont="1" applyFill="1" applyBorder="1" applyAlignment="1">
      <alignment vertical="center"/>
    </xf>
    <xf numFmtId="8" fontId="6" fillId="20" borderId="31" xfId="0" applyNumberFormat="1" applyFont="1" applyFill="1" applyBorder="1" applyAlignment="1">
      <alignment horizontal="right" vertical="center"/>
    </xf>
    <xf numFmtId="9" fontId="6" fillId="0" borderId="31" xfId="0" applyNumberFormat="1" applyFont="1" applyBorder="1" applyAlignment="1">
      <alignment horizontal="right" vertical="center"/>
    </xf>
    <xf numFmtId="9" fontId="6" fillId="0" borderId="31" xfId="0" applyNumberFormat="1" applyFont="1" applyBorder="1" applyAlignment="1">
      <alignment vertical="center"/>
    </xf>
    <xf numFmtId="0" fontId="0" fillId="0" borderId="32" xfId="0" applyFill="1" applyBorder="1"/>
    <xf numFmtId="0" fontId="0" fillId="5" borderId="33" xfId="0" applyFill="1" applyBorder="1"/>
    <xf numFmtId="0" fontId="0" fillId="5" borderId="34" xfId="0" applyFill="1" applyBorder="1"/>
    <xf numFmtId="0" fontId="0" fillId="5" borderId="35" xfId="0" applyFill="1" applyBorder="1"/>
    <xf numFmtId="0" fontId="0" fillId="5" borderId="36" xfId="0" applyFill="1" applyBorder="1"/>
    <xf numFmtId="0" fontId="0" fillId="5" borderId="0" xfId="0" applyFill="1" applyBorder="1"/>
    <xf numFmtId="0" fontId="0" fillId="5" borderId="37" xfId="0" applyFill="1" applyBorder="1"/>
    <xf numFmtId="0" fontId="0" fillId="18" borderId="0" xfId="0" applyFill="1" applyBorder="1"/>
    <xf numFmtId="0" fontId="14" fillId="2" borderId="36" xfId="0" applyFont="1" applyFill="1" applyBorder="1"/>
    <xf numFmtId="0" fontId="14" fillId="2" borderId="37" xfId="0" applyFont="1" applyFill="1" applyBorder="1"/>
    <xf numFmtId="0" fontId="0" fillId="5" borderId="26" xfId="0" applyFill="1" applyBorder="1"/>
    <xf numFmtId="0" fontId="0" fillId="5" borderId="38" xfId="0" applyFill="1" applyBorder="1"/>
    <xf numFmtId="0" fontId="0" fillId="5" borderId="31" xfId="0" applyFill="1" applyBorder="1"/>
    <xf numFmtId="44" fontId="0" fillId="0" borderId="0" xfId="0" applyNumberFormat="1" applyBorder="1"/>
    <xf numFmtId="165" fontId="0" fillId="0" borderId="2" xfId="1" applyNumberFormat="1" applyFont="1" applyBorder="1"/>
    <xf numFmtId="0" fontId="0" fillId="2" borderId="0" xfId="0" applyFill="1" applyAlignment="1">
      <alignment horizontal="left"/>
    </xf>
    <xf numFmtId="0" fontId="0" fillId="6" borderId="1" xfId="0" applyFill="1" applyBorder="1" applyAlignment="1">
      <alignment horizontal="center"/>
    </xf>
    <xf numFmtId="0" fontId="0" fillId="5" borderId="0" xfId="0" applyFill="1" applyAlignment="1">
      <alignment horizontal="left" indent="1"/>
    </xf>
    <xf numFmtId="0" fontId="2" fillId="5" borderId="0" xfId="0" applyFont="1" applyFill="1"/>
    <xf numFmtId="0" fontId="0" fillId="2" borderId="0" xfId="0" applyFill="1" applyAlignment="1">
      <alignment horizontal="left" indent="2"/>
    </xf>
    <xf numFmtId="0" fontId="3" fillId="2" borderId="0" xfId="0" applyFont="1" applyFill="1" applyAlignment="1">
      <alignment horizontal="left" indent="2"/>
    </xf>
    <xf numFmtId="0" fontId="0" fillId="2" borderId="0" xfId="0" applyFill="1" applyAlignment="1">
      <alignment horizontal="left" wrapText="1" indent="2"/>
    </xf>
    <xf numFmtId="0" fontId="11" fillId="5" borderId="0" xfId="0" applyFont="1" applyFill="1" applyAlignment="1">
      <alignment horizontal="left" indent="1"/>
    </xf>
    <xf numFmtId="0" fontId="0" fillId="21" borderId="0" xfId="0" applyFill="1"/>
    <xf numFmtId="0" fontId="3" fillId="2" borderId="0" xfId="0" applyFont="1" applyFill="1"/>
    <xf numFmtId="164" fontId="14" fillId="7" borderId="1" xfId="1" applyNumberFormat="1" applyFont="1" applyFill="1" applyBorder="1"/>
    <xf numFmtId="164" fontId="14" fillId="7" borderId="1" xfId="1" quotePrefix="1" applyNumberFormat="1" applyFont="1" applyFill="1" applyBorder="1"/>
    <xf numFmtId="0" fontId="18" fillId="5" borderId="0" xfId="2" applyFont="1" applyFill="1" applyAlignment="1">
      <alignment horizontal="center"/>
    </xf>
    <xf numFmtId="0" fontId="21" fillId="20" borderId="39" xfId="0" applyFont="1" applyFill="1" applyBorder="1" applyAlignment="1">
      <alignment horizontal="left" vertical="top" wrapText="1"/>
    </xf>
    <xf numFmtId="0" fontId="0" fillId="20" borderId="0" xfId="0" applyFill="1" applyAlignment="1">
      <alignment wrapText="1"/>
    </xf>
    <xf numFmtId="0" fontId="22" fillId="22" borderId="39" xfId="0" applyFont="1" applyFill="1" applyBorder="1" applyAlignment="1">
      <alignment horizontal="left" vertical="top" wrapText="1"/>
    </xf>
    <xf numFmtId="0" fontId="21" fillId="20" borderId="43" xfId="0" applyFont="1" applyFill="1" applyBorder="1" applyAlignment="1">
      <alignment horizontal="left" vertical="center" wrapText="1"/>
    </xf>
    <xf numFmtId="0" fontId="23" fillId="20" borderId="43" xfId="0" applyFont="1" applyFill="1" applyBorder="1" applyAlignment="1">
      <alignment horizontal="left" vertical="center" wrapText="1"/>
    </xf>
    <xf numFmtId="0" fontId="21" fillId="20" borderId="44" xfId="0" applyFont="1" applyFill="1" applyBorder="1" applyAlignment="1">
      <alignment horizontal="left" vertical="center" wrapText="1"/>
    </xf>
    <xf numFmtId="0" fontId="0" fillId="20" borderId="45" xfId="0" applyFill="1" applyBorder="1" applyAlignment="1">
      <alignment horizontal="left" vertical="top" wrapText="1"/>
    </xf>
    <xf numFmtId="0" fontId="25" fillId="20" borderId="45" xfId="0" applyFont="1" applyFill="1" applyBorder="1" applyAlignment="1">
      <alignment horizontal="left" vertical="center" wrapText="1"/>
    </xf>
    <xf numFmtId="0" fontId="21" fillId="20" borderId="45" xfId="0" applyFont="1" applyFill="1" applyBorder="1" applyAlignment="1">
      <alignment horizontal="left" vertical="center" wrapText="1"/>
    </xf>
    <xf numFmtId="0" fontId="25" fillId="20" borderId="43" xfId="0" applyFont="1" applyFill="1" applyBorder="1" applyAlignment="1">
      <alignment horizontal="left" vertical="center" wrapText="1"/>
    </xf>
    <xf numFmtId="0" fontId="24" fillId="20" borderId="44" xfId="0" applyFont="1" applyFill="1" applyBorder="1" applyAlignment="1">
      <alignment horizontal="left" vertical="center" wrapText="1"/>
    </xf>
    <xf numFmtId="0" fontId="23" fillId="20" borderId="45" xfId="0" applyFont="1" applyFill="1" applyBorder="1" applyAlignment="1">
      <alignment horizontal="left" vertical="center" wrapText="1"/>
    </xf>
    <xf numFmtId="0" fontId="22" fillId="22" borderId="44" xfId="0" applyFont="1" applyFill="1" applyBorder="1" applyAlignment="1">
      <alignment horizontal="left" vertical="top" wrapText="1"/>
    </xf>
    <xf numFmtId="9" fontId="11" fillId="11" borderId="0" xfId="5" applyNumberFormat="1" applyBorder="1"/>
    <xf numFmtId="0" fontId="11" fillId="11" borderId="0" xfId="5" applyBorder="1" applyAlignment="1">
      <alignment horizontal="right"/>
    </xf>
    <xf numFmtId="9" fontId="11" fillId="11" borderId="0" xfId="4" applyFont="1" applyFill="1" applyBorder="1"/>
    <xf numFmtId="0" fontId="0" fillId="5" borderId="36" xfId="0" applyFill="1" applyBorder="1" applyAlignment="1">
      <alignment horizontal="left" indent="1"/>
    </xf>
    <xf numFmtId="0" fontId="18" fillId="5" borderId="0" xfId="2" applyFont="1" applyFill="1" applyAlignment="1">
      <alignment horizontal="center" wrapText="1"/>
    </xf>
    <xf numFmtId="0" fontId="27" fillId="4" borderId="0" xfId="0" applyFont="1" applyFill="1"/>
    <xf numFmtId="165" fontId="27" fillId="4" borderId="0" xfId="0" applyNumberFormat="1" applyFont="1" applyFill="1"/>
    <xf numFmtId="0" fontId="27" fillId="10" borderId="0" xfId="0" applyFont="1" applyFill="1"/>
    <xf numFmtId="9" fontId="28" fillId="10" borderId="0" xfId="0" applyNumberFormat="1" applyFont="1" applyFill="1"/>
    <xf numFmtId="0" fontId="28" fillId="10" borderId="0" xfId="0" applyFont="1" applyFill="1"/>
    <xf numFmtId="0" fontId="0" fillId="10" borderId="8" xfId="0" applyFill="1" applyBorder="1"/>
    <xf numFmtId="9" fontId="0" fillId="10" borderId="1" xfId="0" applyNumberFormat="1" applyFill="1" applyBorder="1"/>
    <xf numFmtId="44" fontId="0" fillId="10" borderId="1" xfId="0" applyNumberFormat="1" applyFill="1" applyBorder="1"/>
    <xf numFmtId="0" fontId="0" fillId="10" borderId="1" xfId="0" applyFill="1" applyBorder="1"/>
    <xf numFmtId="44" fontId="0" fillId="10" borderId="4" xfId="0" applyNumberFormat="1" applyFill="1" applyBorder="1"/>
    <xf numFmtId="0" fontId="0" fillId="10" borderId="5" xfId="0" applyFill="1" applyBorder="1"/>
    <xf numFmtId="9" fontId="0" fillId="10" borderId="6" xfId="0" applyNumberFormat="1" applyFill="1" applyBorder="1"/>
    <xf numFmtId="44" fontId="0" fillId="10" borderId="6" xfId="0" applyNumberFormat="1" applyFill="1" applyBorder="1"/>
    <xf numFmtId="0" fontId="0" fillId="10" borderId="6" xfId="0" applyFill="1" applyBorder="1"/>
    <xf numFmtId="44" fontId="0" fillId="10" borderId="7" xfId="0" applyNumberFormat="1" applyFill="1" applyBorder="1"/>
    <xf numFmtId="44" fontId="0" fillId="10" borderId="0" xfId="0" applyNumberFormat="1" applyFill="1"/>
    <xf numFmtId="0" fontId="0" fillId="10" borderId="9" xfId="0" applyFill="1" applyBorder="1" applyAlignment="1">
      <alignment wrapText="1"/>
    </xf>
    <xf numFmtId="0" fontId="28" fillId="4" borderId="0" xfId="0" applyFont="1" applyFill="1"/>
    <xf numFmtId="44" fontId="27" fillId="4" borderId="0" xfId="0" applyNumberFormat="1" applyFont="1" applyFill="1" applyAlignment="1">
      <alignment horizontal="left"/>
    </xf>
    <xf numFmtId="9" fontId="29" fillId="4" borderId="0" xfId="0" applyNumberFormat="1" applyFont="1" applyFill="1"/>
    <xf numFmtId="0" fontId="0" fillId="6" borderId="15" xfId="0" applyFill="1" applyBorder="1" applyAlignment="1">
      <alignment horizontal="center"/>
    </xf>
    <xf numFmtId="0" fontId="18" fillId="6" borderId="0" xfId="2" applyFont="1" applyFill="1"/>
    <xf numFmtId="0" fontId="0" fillId="0" borderId="0" xfId="0" applyFont="1" applyAlignment="1">
      <alignment horizontal="left" indent="1"/>
    </xf>
    <xf numFmtId="0" fontId="27" fillId="4" borderId="0" xfId="0" applyFont="1" applyFill="1" applyAlignment="1">
      <alignment wrapText="1"/>
    </xf>
    <xf numFmtId="0" fontId="11" fillId="4" borderId="0" xfId="0" applyFont="1" applyFill="1" applyAlignment="1">
      <alignment wrapText="1"/>
    </xf>
    <xf numFmtId="0" fontId="0" fillId="0" borderId="0" xfId="1" applyNumberFormat="1" applyFont="1" applyAlignment="1">
      <alignment horizontal="left"/>
    </xf>
    <xf numFmtId="0" fontId="3" fillId="10" borderId="18" xfId="0" applyFont="1" applyFill="1" applyBorder="1"/>
    <xf numFmtId="0" fontId="15" fillId="7" borderId="1" xfId="0" applyFont="1" applyFill="1" applyBorder="1" applyAlignment="1">
      <alignment wrapText="1"/>
    </xf>
    <xf numFmtId="0" fontId="0" fillId="6" borderId="34" xfId="0" applyFill="1" applyBorder="1"/>
    <xf numFmtId="0" fontId="0" fillId="0" borderId="18" xfId="0" applyBorder="1" applyAlignment="1">
      <alignment wrapText="1"/>
    </xf>
    <xf numFmtId="0" fontId="0" fillId="0" borderId="17" xfId="0" applyBorder="1" applyAlignment="1">
      <alignment horizontal="left" wrapText="1"/>
    </xf>
    <xf numFmtId="0" fontId="3" fillId="2" borderId="1" xfId="0" applyFont="1" applyFill="1" applyBorder="1"/>
    <xf numFmtId="0" fontId="0" fillId="0" borderId="8" xfId="0" applyBorder="1" applyAlignment="1">
      <alignment wrapText="1"/>
    </xf>
    <xf numFmtId="164" fontId="0" fillId="0" borderId="9" xfId="0" applyNumberFormat="1" applyBorder="1" applyAlignment="1">
      <alignment wrapText="1"/>
    </xf>
    <xf numFmtId="9" fontId="0" fillId="0" borderId="9" xfId="0" applyNumberFormat="1" applyBorder="1" applyAlignment="1">
      <alignment wrapText="1"/>
    </xf>
    <xf numFmtId="9" fontId="0" fillId="0" borderId="14" xfId="0" applyNumberFormat="1" applyBorder="1" applyAlignment="1">
      <alignment wrapText="1"/>
    </xf>
    <xf numFmtId="0" fontId="0" fillId="0" borderId="2" xfId="0" applyBorder="1" applyAlignment="1">
      <alignment wrapText="1"/>
    </xf>
    <xf numFmtId="164" fontId="0" fillId="0" borderId="1" xfId="0" applyNumberFormat="1" applyBorder="1" applyAlignment="1">
      <alignment wrapText="1"/>
    </xf>
    <xf numFmtId="9" fontId="0" fillId="0" borderId="1" xfId="0" applyNumberFormat="1" applyBorder="1" applyAlignment="1">
      <alignment wrapText="1"/>
    </xf>
    <xf numFmtId="9" fontId="0" fillId="0" borderId="15" xfId="0" applyNumberFormat="1" applyBorder="1" applyAlignment="1">
      <alignment wrapText="1"/>
    </xf>
    <xf numFmtId="0" fontId="0" fillId="0" borderId="5" xfId="0" applyBorder="1" applyAlignment="1">
      <alignment wrapText="1"/>
    </xf>
    <xf numFmtId="0" fontId="0" fillId="0" borderId="19" xfId="0" applyBorder="1" applyAlignment="1">
      <alignment wrapText="1"/>
    </xf>
    <xf numFmtId="164" fontId="0" fillId="0" borderId="6" xfId="0" applyNumberFormat="1" applyBorder="1" applyAlignment="1">
      <alignment wrapText="1"/>
    </xf>
    <xf numFmtId="9" fontId="0" fillId="0" borderId="6" xfId="0" applyNumberFormat="1" applyBorder="1" applyAlignment="1">
      <alignment wrapText="1"/>
    </xf>
    <xf numFmtId="9" fontId="0" fillId="0" borderId="16" xfId="0" applyNumberFormat="1" applyBorder="1" applyAlignment="1">
      <alignment wrapText="1"/>
    </xf>
    <xf numFmtId="0" fontId="0" fillId="0" borderId="7" xfId="0" applyBorder="1" applyAlignment="1">
      <alignment wrapText="1"/>
    </xf>
    <xf numFmtId="0" fontId="37" fillId="0" borderId="0" xfId="0" applyFont="1" applyFill="1" applyAlignment="1">
      <alignment horizontal="center" vertical="center"/>
    </xf>
    <xf numFmtId="0" fontId="37" fillId="0" borderId="0" xfId="0" applyFont="1" applyFill="1" applyBorder="1" applyAlignment="1">
      <alignment horizontal="center" vertical="center"/>
    </xf>
    <xf numFmtId="0" fontId="37" fillId="0" borderId="38" xfId="0" applyFont="1" applyFill="1" applyBorder="1" applyAlignment="1">
      <alignment horizontal="center" vertical="center"/>
    </xf>
    <xf numFmtId="0" fontId="0" fillId="0" borderId="0" xfId="0" applyFont="1" applyAlignment="1">
      <alignment horizontal="center" vertical="center"/>
    </xf>
    <xf numFmtId="0" fontId="0" fillId="0" borderId="0" xfId="0" applyAlignment="1">
      <alignment horizontal="center" vertical="center"/>
    </xf>
    <xf numFmtId="165" fontId="0" fillId="0" borderId="36" xfId="0" applyNumberFormat="1" applyFont="1" applyBorder="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37" xfId="0" applyBorder="1" applyAlignment="1">
      <alignment horizontal="center" vertical="center"/>
    </xf>
    <xf numFmtId="165" fontId="0" fillId="0" borderId="0" xfId="0" applyNumberFormat="1" applyFont="1" applyBorder="1" applyAlignment="1">
      <alignment horizontal="center" vertical="center"/>
    </xf>
    <xf numFmtId="0" fontId="0" fillId="0" borderId="36" xfId="0" applyFont="1" applyBorder="1" applyAlignment="1">
      <alignment horizontal="center" vertical="center"/>
    </xf>
    <xf numFmtId="165" fontId="0" fillId="0" borderId="0" xfId="0" applyNumberFormat="1" applyBorder="1" applyAlignment="1">
      <alignment horizontal="center" vertical="center"/>
    </xf>
    <xf numFmtId="0" fontId="35" fillId="10" borderId="33" xfId="0" applyFont="1" applyFill="1" applyBorder="1" applyAlignment="1">
      <alignment horizontal="center" vertical="center" wrapText="1"/>
    </xf>
    <xf numFmtId="0" fontId="35" fillId="10" borderId="34" xfId="0" applyFont="1" applyFill="1" applyBorder="1" applyAlignment="1">
      <alignment horizontal="center" vertical="center" wrapText="1"/>
    </xf>
    <xf numFmtId="0" fontId="35" fillId="10" borderId="35" xfId="0" applyFont="1" applyFill="1" applyBorder="1" applyAlignment="1">
      <alignment horizontal="center" vertical="center" wrapText="1"/>
    </xf>
    <xf numFmtId="165" fontId="0" fillId="0" borderId="36" xfId="0" applyNumberFormat="1" applyBorder="1" applyAlignment="1">
      <alignment horizontal="center" vertical="center"/>
    </xf>
    <xf numFmtId="165" fontId="0" fillId="0" borderId="38" xfId="0" applyNumberFormat="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9" fontId="0" fillId="10" borderId="0" xfId="0" applyNumberFormat="1" applyFill="1" applyBorder="1"/>
    <xf numFmtId="44" fontId="0" fillId="10" borderId="0" xfId="0" applyNumberFormat="1" applyFill="1" applyBorder="1"/>
    <xf numFmtId="165" fontId="0" fillId="0" borderId="37" xfId="0" applyNumberFormat="1" applyBorder="1" applyAlignment="1">
      <alignment horizontal="center" vertical="center"/>
    </xf>
    <xf numFmtId="0" fontId="31" fillId="26" borderId="0" xfId="0" applyFont="1" applyFill="1" applyBorder="1" applyAlignment="1">
      <alignment horizontal="center" vertical="center"/>
    </xf>
    <xf numFmtId="0" fontId="31" fillId="27" borderId="36" xfId="0" applyFont="1" applyFill="1" applyBorder="1" applyAlignment="1">
      <alignment horizontal="center" vertical="center"/>
    </xf>
    <xf numFmtId="0" fontId="31" fillId="27" borderId="0" xfId="0" applyFont="1" applyFill="1" applyBorder="1" applyAlignment="1">
      <alignment horizontal="center" vertical="center"/>
    </xf>
    <xf numFmtId="0" fontId="31" fillId="27" borderId="37" xfId="0" applyFont="1" applyFill="1" applyBorder="1" applyAlignment="1">
      <alignment horizontal="center" vertical="center"/>
    </xf>
    <xf numFmtId="0" fontId="31" fillId="28" borderId="0" xfId="0" applyFont="1" applyFill="1" applyBorder="1" applyAlignment="1">
      <alignment horizontal="center" vertical="center"/>
    </xf>
    <xf numFmtId="0" fontId="37" fillId="0" borderId="54" xfId="0" applyFont="1" applyFill="1" applyBorder="1" applyAlignment="1">
      <alignment horizontal="center" vertical="center"/>
    </xf>
    <xf numFmtId="0" fontId="31" fillId="24" borderId="0" xfId="0" applyFont="1" applyFill="1" applyBorder="1" applyAlignment="1">
      <alignment horizontal="center" vertical="center"/>
    </xf>
    <xf numFmtId="0" fontId="31" fillId="28" borderId="36" xfId="0" applyFont="1" applyFill="1" applyBorder="1" applyAlignment="1">
      <alignment horizontal="center" vertical="center" wrapText="1"/>
    </xf>
    <xf numFmtId="0" fontId="31" fillId="28" borderId="37" xfId="0" applyFont="1" applyFill="1" applyBorder="1" applyAlignment="1">
      <alignment horizontal="center" vertical="center" wrapText="1"/>
    </xf>
    <xf numFmtId="0" fontId="31" fillId="24" borderId="0" xfId="0" applyFont="1" applyFill="1" applyBorder="1" applyAlignment="1">
      <alignment horizontal="center" vertical="center" wrapText="1"/>
    </xf>
    <xf numFmtId="0" fontId="31" fillId="24" borderId="36" xfId="0" applyFont="1" applyFill="1" applyBorder="1" applyAlignment="1">
      <alignment horizontal="center" vertical="center" wrapText="1"/>
    </xf>
    <xf numFmtId="0" fontId="31" fillId="26" borderId="0" xfId="0" applyFont="1" applyFill="1" applyBorder="1" applyAlignment="1">
      <alignment horizontal="center" vertical="center" wrapText="1"/>
    </xf>
    <xf numFmtId="0" fontId="31" fillId="26" borderId="36" xfId="0" applyFont="1" applyFill="1" applyBorder="1" applyAlignment="1">
      <alignment horizontal="center" vertical="center" wrapText="1"/>
    </xf>
    <xf numFmtId="0" fontId="34" fillId="0" borderId="36" xfId="0" applyFont="1" applyBorder="1" applyAlignment="1">
      <alignment vertical="center" wrapText="1"/>
    </xf>
    <xf numFmtId="0" fontId="34" fillId="0" borderId="0" xfId="0" applyFont="1" applyBorder="1" applyAlignment="1">
      <alignment vertical="center" wrapText="1"/>
    </xf>
    <xf numFmtId="0" fontId="34" fillId="10" borderId="34" xfId="0" applyFont="1" applyFill="1" applyBorder="1" applyAlignment="1">
      <alignment vertical="center" wrapText="1"/>
    </xf>
    <xf numFmtId="0" fontId="34" fillId="0" borderId="26" xfId="0" applyFont="1" applyBorder="1" applyAlignment="1">
      <alignment vertical="center" wrapText="1"/>
    </xf>
    <xf numFmtId="0" fontId="34" fillId="0" borderId="38" xfId="0" applyFont="1" applyBorder="1" applyAlignment="1">
      <alignment vertical="center" wrapText="1"/>
    </xf>
    <xf numFmtId="0" fontId="34" fillId="31" borderId="47" xfId="0" applyFont="1" applyFill="1" applyBorder="1" applyAlignment="1">
      <alignment horizontal="center" vertical="center" wrapText="1"/>
    </xf>
    <xf numFmtId="0" fontId="34" fillId="31" borderId="34" xfId="0" applyFont="1" applyFill="1" applyBorder="1" applyAlignment="1">
      <alignment vertical="center" wrapText="1"/>
    </xf>
    <xf numFmtId="0" fontId="0" fillId="31" borderId="48" xfId="0" applyFill="1" applyBorder="1" applyAlignment="1">
      <alignment vertical="center"/>
    </xf>
    <xf numFmtId="0" fontId="34" fillId="31" borderId="0" xfId="0" applyFont="1" applyFill="1" applyBorder="1" applyAlignment="1">
      <alignment vertical="center" wrapText="1"/>
    </xf>
    <xf numFmtId="0" fontId="31" fillId="27" borderId="38" xfId="0" applyFont="1" applyFill="1" applyBorder="1" applyAlignment="1">
      <alignment horizontal="center" vertical="center"/>
    </xf>
    <xf numFmtId="0" fontId="34" fillId="0" borderId="0" xfId="0" applyFont="1" applyBorder="1" applyAlignment="1">
      <alignment horizontal="center" vertical="center" wrapText="1"/>
    </xf>
    <xf numFmtId="0" fontId="31" fillId="24" borderId="33" xfId="0" applyFont="1" applyFill="1" applyBorder="1" applyAlignment="1">
      <alignment vertical="center" wrapText="1"/>
    </xf>
    <xf numFmtId="0" fontId="31" fillId="24" borderId="34" xfId="0" applyFont="1" applyFill="1" applyBorder="1" applyAlignment="1">
      <alignment vertical="center" wrapText="1"/>
    </xf>
    <xf numFmtId="0" fontId="31" fillId="24" borderId="34" xfId="0" applyFont="1" applyFill="1" applyBorder="1" applyAlignment="1">
      <alignment horizontal="center" vertical="center" wrapText="1"/>
    </xf>
    <xf numFmtId="165" fontId="31" fillId="24" borderId="34" xfId="0" applyNumberFormat="1" applyFont="1" applyFill="1" applyBorder="1" applyAlignment="1">
      <alignment vertical="center" wrapText="1"/>
    </xf>
    <xf numFmtId="165" fontId="31" fillId="24" borderId="34" xfId="0" applyNumberFormat="1" applyFont="1" applyFill="1" applyBorder="1" applyAlignment="1">
      <alignment horizontal="center" vertical="center" wrapText="1"/>
    </xf>
    <xf numFmtId="0" fontId="32" fillId="24" borderId="35" xfId="0" applyFont="1" applyFill="1" applyBorder="1" applyAlignment="1">
      <alignment vertical="center" wrapText="1"/>
    </xf>
    <xf numFmtId="0" fontId="33" fillId="10" borderId="33" xfId="0" applyFont="1" applyFill="1" applyBorder="1" applyAlignment="1">
      <alignment vertical="center" wrapText="1"/>
    </xf>
    <xf numFmtId="0" fontId="34" fillId="10" borderId="34" xfId="0" applyFont="1" applyFill="1" applyBorder="1" applyAlignment="1">
      <alignment horizontal="center" vertical="center" wrapText="1"/>
    </xf>
    <xf numFmtId="165" fontId="34" fillId="10" borderId="34" xfId="0" applyNumberFormat="1" applyFont="1" applyFill="1" applyBorder="1" applyAlignment="1">
      <alignment vertical="center" wrapText="1"/>
    </xf>
    <xf numFmtId="165" fontId="34" fillId="10" borderId="34" xfId="0" applyNumberFormat="1" applyFont="1" applyFill="1" applyBorder="1" applyAlignment="1">
      <alignment horizontal="right" vertical="center" wrapText="1"/>
    </xf>
    <xf numFmtId="0" fontId="35" fillId="10" borderId="35" xfId="0" applyFont="1" applyFill="1" applyBorder="1" applyAlignment="1">
      <alignment vertical="center" wrapText="1"/>
    </xf>
    <xf numFmtId="0" fontId="35" fillId="10" borderId="34" xfId="0" applyFont="1" applyFill="1" applyBorder="1" applyAlignment="1">
      <alignment vertical="center" wrapText="1"/>
    </xf>
    <xf numFmtId="0" fontId="36" fillId="0" borderId="36" xfId="0" applyFont="1" applyBorder="1" applyAlignment="1">
      <alignment vertical="center" wrapText="1"/>
    </xf>
    <xf numFmtId="165" fontId="34" fillId="0" borderId="0" xfId="0" applyNumberFormat="1" applyFont="1" applyBorder="1" applyAlignment="1">
      <alignment horizontal="right" vertical="center" wrapText="1"/>
    </xf>
    <xf numFmtId="165" fontId="34" fillId="0" borderId="0" xfId="0" applyNumberFormat="1" applyFont="1" applyBorder="1" applyAlignment="1">
      <alignment vertical="center" wrapText="1"/>
    </xf>
    <xf numFmtId="0" fontId="35" fillId="0" borderId="37" xfId="0" applyFont="1" applyBorder="1" applyAlignment="1">
      <alignment vertical="center" wrapText="1"/>
    </xf>
    <xf numFmtId="0" fontId="34" fillId="0" borderId="38" xfId="0" applyFont="1" applyBorder="1" applyAlignment="1">
      <alignment horizontal="center" vertical="center" wrapText="1"/>
    </xf>
    <xf numFmtId="165" fontId="34" fillId="0" borderId="38" xfId="0" applyNumberFormat="1" applyFont="1" applyBorder="1" applyAlignment="1">
      <alignment vertical="center" wrapText="1"/>
    </xf>
    <xf numFmtId="165" fontId="34" fillId="0" borderId="38" xfId="0" applyNumberFormat="1" applyFont="1" applyBorder="1" applyAlignment="1">
      <alignment horizontal="right" vertical="center" wrapText="1"/>
    </xf>
    <xf numFmtId="0" fontId="35" fillId="0" borderId="31" xfId="0" applyFont="1" applyBorder="1" applyAlignment="1">
      <alignment vertical="center" wrapText="1"/>
    </xf>
    <xf numFmtId="0" fontId="3" fillId="28" borderId="55" xfId="0" applyFont="1" applyFill="1" applyBorder="1" applyAlignment="1">
      <alignment vertical="center"/>
    </xf>
    <xf numFmtId="0" fontId="3" fillId="24" borderId="55" xfId="0" applyFont="1" applyFill="1" applyBorder="1" applyAlignment="1">
      <alignment vertical="center"/>
    </xf>
    <xf numFmtId="0" fontId="3" fillId="24" borderId="28" xfId="0" applyFont="1" applyFill="1" applyBorder="1" applyAlignment="1">
      <alignment vertical="center"/>
    </xf>
    <xf numFmtId="0" fontId="31" fillId="24" borderId="56" xfId="0" applyFont="1" applyFill="1" applyBorder="1" applyAlignment="1">
      <alignment horizontal="left" vertical="center"/>
    </xf>
    <xf numFmtId="0" fontId="31" fillId="24" borderId="57" xfId="0" applyFont="1" applyFill="1" applyBorder="1" applyAlignment="1">
      <alignment horizontal="left" vertical="center"/>
    </xf>
    <xf numFmtId="0" fontId="31" fillId="24" borderId="58" xfId="0" applyFont="1" applyFill="1" applyBorder="1" applyAlignment="1">
      <alignment horizontal="left" vertical="center"/>
    </xf>
    <xf numFmtId="0" fontId="3" fillId="28" borderId="28" xfId="0" applyFont="1" applyFill="1" applyBorder="1" applyAlignment="1">
      <alignment vertical="center"/>
    </xf>
    <xf numFmtId="0" fontId="31" fillId="28" borderId="56" xfId="0" applyFont="1" applyFill="1" applyBorder="1" applyAlignment="1">
      <alignment horizontal="left" vertical="center"/>
    </xf>
    <xf numFmtId="0" fontId="31" fillId="28" borderId="57" xfId="0" applyFont="1" applyFill="1" applyBorder="1" applyAlignment="1">
      <alignment horizontal="left" vertical="center"/>
    </xf>
    <xf numFmtId="0" fontId="31" fillId="28" borderId="58" xfId="0" applyFont="1" applyFill="1" applyBorder="1" applyAlignment="1">
      <alignment horizontal="left" vertical="center"/>
    </xf>
    <xf numFmtId="0" fontId="31" fillId="26" borderId="57" xfId="0" applyFont="1" applyFill="1" applyBorder="1" applyAlignment="1">
      <alignment horizontal="left" vertical="center"/>
    </xf>
    <xf numFmtId="0" fontId="31" fillId="26" borderId="58" xfId="0" applyFont="1" applyFill="1" applyBorder="1" applyAlignment="1">
      <alignment horizontal="left" vertical="center"/>
    </xf>
    <xf numFmtId="0" fontId="31" fillId="26" borderId="56" xfId="0" applyFont="1" applyFill="1" applyBorder="1" applyAlignment="1">
      <alignment horizontal="left" vertical="center"/>
    </xf>
    <xf numFmtId="0" fontId="3" fillId="26" borderId="29" xfId="0" applyFont="1" applyFill="1" applyBorder="1" applyAlignment="1">
      <alignment horizontal="left" vertical="center"/>
    </xf>
    <xf numFmtId="0" fontId="3" fillId="24" borderId="28" xfId="0" applyFont="1" applyFill="1" applyBorder="1" applyAlignment="1">
      <alignment vertical="center" wrapText="1"/>
    </xf>
    <xf numFmtId="0" fontId="3" fillId="28" borderId="28" xfId="0" applyFont="1" applyFill="1" applyBorder="1" applyAlignment="1">
      <alignment vertical="center" wrapText="1"/>
    </xf>
    <xf numFmtId="0" fontId="34" fillId="0" borderId="48" xfId="0" applyFont="1" applyFill="1" applyBorder="1" applyAlignment="1">
      <alignment horizontal="center" vertical="center" wrapText="1"/>
    </xf>
    <xf numFmtId="0" fontId="34" fillId="0" borderId="30" xfId="0" applyFont="1" applyFill="1" applyBorder="1" applyAlignment="1">
      <alignment horizontal="center" vertical="center" wrapText="1"/>
    </xf>
    <xf numFmtId="0" fontId="38" fillId="0" borderId="48" xfId="0" applyFont="1" applyFill="1" applyBorder="1" applyAlignment="1">
      <alignment horizontal="center" vertical="center" wrapText="1"/>
    </xf>
    <xf numFmtId="0" fontId="38" fillId="0" borderId="30" xfId="0" applyFont="1" applyFill="1" applyBorder="1" applyAlignment="1">
      <alignment horizontal="center" vertical="center" wrapText="1"/>
    </xf>
    <xf numFmtId="0" fontId="31" fillId="27" borderId="26" xfId="0" applyFont="1" applyFill="1" applyBorder="1" applyAlignment="1">
      <alignment horizontal="center" vertical="center"/>
    </xf>
    <xf numFmtId="0" fontId="31" fillId="27" borderId="31" xfId="0" applyFont="1" applyFill="1" applyBorder="1" applyAlignment="1">
      <alignment horizontal="center" vertical="center"/>
    </xf>
    <xf numFmtId="0" fontId="34" fillId="31" borderId="36" xfId="0" applyFont="1" applyFill="1" applyBorder="1" applyAlignment="1">
      <alignment vertical="center" wrapText="1"/>
    </xf>
    <xf numFmtId="0" fontId="34" fillId="31" borderId="37" xfId="0" applyFont="1" applyFill="1" applyBorder="1" applyAlignment="1">
      <alignment vertical="center" wrapText="1"/>
    </xf>
    <xf numFmtId="0" fontId="34" fillId="31" borderId="33" xfId="0" applyFont="1" applyFill="1" applyBorder="1" applyAlignment="1">
      <alignment vertical="center" wrapText="1"/>
    </xf>
    <xf numFmtId="0" fontId="34" fillId="31" borderId="35" xfId="0" applyFont="1" applyFill="1" applyBorder="1" applyAlignment="1">
      <alignment vertical="center" wrapText="1"/>
    </xf>
    <xf numFmtId="165" fontId="0" fillId="0" borderId="26" xfId="0" applyNumberFormat="1" applyBorder="1" applyAlignment="1">
      <alignment horizontal="center" vertical="center"/>
    </xf>
    <xf numFmtId="165" fontId="0" fillId="0" borderId="31" xfId="0" applyNumberFormat="1" applyBorder="1" applyAlignment="1">
      <alignment horizontal="center" vertical="center"/>
    </xf>
    <xf numFmtId="0" fontId="3" fillId="24" borderId="55" xfId="0" applyFont="1" applyFill="1" applyBorder="1" applyAlignment="1">
      <alignment horizontal="left" vertical="center" wrapText="1"/>
    </xf>
    <xf numFmtId="0" fontId="3" fillId="28" borderId="55" xfId="0" applyFont="1" applyFill="1" applyBorder="1" applyAlignment="1">
      <alignment horizontal="left" vertical="center" wrapText="1"/>
    </xf>
    <xf numFmtId="165" fontId="0" fillId="0" borderId="15" xfId="0" applyNumberFormat="1" applyBorder="1"/>
    <xf numFmtId="44" fontId="0" fillId="0" borderId="57" xfId="0" applyNumberFormat="1" applyFill="1" applyBorder="1"/>
    <xf numFmtId="0" fontId="0" fillId="24" borderId="1" xfId="0" applyFill="1" applyBorder="1"/>
    <xf numFmtId="0" fontId="0" fillId="32" borderId="1" xfId="0" applyFill="1" applyBorder="1"/>
    <xf numFmtId="0" fontId="0" fillId="33" borderId="1" xfId="0" applyFill="1" applyBorder="1"/>
    <xf numFmtId="0" fontId="3" fillId="31" borderId="28" xfId="0" applyFont="1" applyFill="1" applyBorder="1" applyAlignment="1">
      <alignment vertical="center"/>
    </xf>
    <xf numFmtId="0" fontId="3" fillId="31" borderId="55" xfId="0" applyFont="1" applyFill="1" applyBorder="1" applyAlignment="1">
      <alignment vertical="center"/>
    </xf>
    <xf numFmtId="0" fontId="3" fillId="31" borderId="28" xfId="0" applyFont="1" applyFill="1" applyBorder="1" applyAlignment="1">
      <alignment vertical="center" wrapText="1"/>
    </xf>
    <xf numFmtId="0" fontId="31" fillId="31" borderId="56" xfId="0" applyFont="1" applyFill="1" applyBorder="1" applyAlignment="1">
      <alignment horizontal="left" vertical="center"/>
    </xf>
    <xf numFmtId="165" fontId="0" fillId="31" borderId="0" xfId="0" applyNumberFormat="1" applyFill="1" applyBorder="1" applyAlignment="1">
      <alignment horizontal="left" vertical="center"/>
    </xf>
    <xf numFmtId="165" fontId="0" fillId="31" borderId="48" xfId="0" applyNumberFormat="1" applyFill="1" applyBorder="1" applyAlignment="1">
      <alignment horizontal="left" vertical="center"/>
    </xf>
    <xf numFmtId="0" fontId="31" fillId="31" borderId="57" xfId="0" applyFont="1" applyFill="1" applyBorder="1" applyAlignment="1">
      <alignment horizontal="left" vertical="center"/>
    </xf>
    <xf numFmtId="0" fontId="31" fillId="31" borderId="58" xfId="0" applyFont="1" applyFill="1" applyBorder="1" applyAlignment="1">
      <alignment horizontal="left" vertical="center"/>
    </xf>
    <xf numFmtId="165" fontId="0" fillId="31" borderId="38" xfId="0" applyNumberFormat="1" applyFill="1" applyBorder="1" applyAlignment="1">
      <alignment horizontal="left" vertical="center"/>
    </xf>
    <xf numFmtId="165" fontId="0" fillId="31" borderId="30" xfId="0" applyNumberFormat="1" applyFill="1" applyBorder="1" applyAlignment="1">
      <alignment horizontal="left" vertical="center"/>
    </xf>
    <xf numFmtId="0" fontId="0" fillId="31" borderId="28" xfId="0" applyFill="1" applyBorder="1" applyAlignment="1">
      <alignment vertical="center"/>
    </xf>
    <xf numFmtId="165" fontId="0" fillId="31" borderId="55" xfId="0" applyNumberFormat="1" applyFill="1" applyBorder="1" applyAlignment="1">
      <alignment horizontal="left" vertical="center"/>
    </xf>
    <xf numFmtId="165" fontId="0" fillId="31" borderId="28" xfId="0" applyNumberFormat="1" applyFill="1" applyBorder="1" applyAlignment="1">
      <alignment horizontal="left" vertical="center"/>
    </xf>
    <xf numFmtId="0" fontId="3" fillId="27" borderId="28" xfId="0" applyFont="1" applyFill="1" applyBorder="1" applyAlignment="1">
      <alignment vertical="center"/>
    </xf>
    <xf numFmtId="0" fontId="3" fillId="27" borderId="55" xfId="0" applyFont="1" applyFill="1" applyBorder="1" applyAlignment="1">
      <alignment vertical="center"/>
    </xf>
    <xf numFmtId="0" fontId="31" fillId="27" borderId="56" xfId="0" applyFont="1" applyFill="1" applyBorder="1" applyAlignment="1">
      <alignment horizontal="left" vertical="center"/>
    </xf>
    <xf numFmtId="165" fontId="0" fillId="27" borderId="0" xfId="0" applyNumberFormat="1" applyFill="1" applyBorder="1" applyAlignment="1">
      <alignment horizontal="left" vertical="center"/>
    </xf>
    <xf numFmtId="0" fontId="31" fillId="27" borderId="57" xfId="0" applyFont="1" applyFill="1" applyBorder="1" applyAlignment="1">
      <alignment horizontal="left" vertical="center"/>
    </xf>
    <xf numFmtId="0" fontId="31" fillId="27" borderId="58" xfId="0" applyFont="1" applyFill="1" applyBorder="1" applyAlignment="1">
      <alignment horizontal="left" vertical="center"/>
    </xf>
    <xf numFmtId="165" fontId="0" fillId="27" borderId="38" xfId="0" applyNumberFormat="1" applyFill="1" applyBorder="1" applyAlignment="1">
      <alignment horizontal="left" vertical="center"/>
    </xf>
    <xf numFmtId="0" fontId="0" fillId="27" borderId="28" xfId="0" applyFill="1" applyBorder="1" applyAlignment="1">
      <alignment vertical="center"/>
    </xf>
    <xf numFmtId="165" fontId="0" fillId="27" borderId="55" xfId="0" applyNumberFormat="1" applyFill="1" applyBorder="1" applyAlignment="1">
      <alignment horizontal="left" vertical="center"/>
    </xf>
    <xf numFmtId="0" fontId="0" fillId="0" borderId="0" xfId="0" applyFont="1" applyFill="1" applyAlignment="1">
      <alignment horizontal="center" vertical="center"/>
    </xf>
    <xf numFmtId="0" fontId="0" fillId="0" borderId="36" xfId="0" applyBorder="1" applyAlignment="1">
      <alignment vertical="center"/>
    </xf>
    <xf numFmtId="0" fontId="0" fillId="0" borderId="0" xfId="0" applyBorder="1" applyAlignment="1">
      <alignment vertical="center"/>
    </xf>
    <xf numFmtId="0" fontId="0" fillId="0" borderId="37" xfId="0" applyBorder="1" applyAlignment="1">
      <alignment vertical="center"/>
    </xf>
    <xf numFmtId="165" fontId="0" fillId="33" borderId="0" xfId="0" applyNumberFormat="1" applyFill="1"/>
    <xf numFmtId="165" fontId="0" fillId="24" borderId="0" xfId="0" applyNumberFormat="1" applyFill="1"/>
    <xf numFmtId="165" fontId="0" fillId="32" borderId="0" xfId="0" applyNumberFormat="1" applyFill="1"/>
    <xf numFmtId="166" fontId="0" fillId="0" borderId="15" xfId="1" applyNumberFormat="1" applyFont="1" applyBorder="1"/>
    <xf numFmtId="44" fontId="0" fillId="0" borderId="17" xfId="0" applyNumberFormat="1" applyBorder="1"/>
    <xf numFmtId="166" fontId="0" fillId="0" borderId="62" xfId="1" applyNumberFormat="1" applyFont="1" applyBorder="1"/>
    <xf numFmtId="166" fontId="0" fillId="0" borderId="63" xfId="1" applyNumberFormat="1" applyFont="1" applyBorder="1"/>
    <xf numFmtId="0" fontId="0" fillId="0" borderId="36" xfId="0" applyBorder="1"/>
    <xf numFmtId="0" fontId="0" fillId="27" borderId="26" xfId="0" applyFill="1" applyBorder="1" applyAlignment="1">
      <alignment vertical="center"/>
    </xf>
    <xf numFmtId="165" fontId="0" fillId="27" borderId="31" xfId="0" applyNumberFormat="1" applyFill="1" applyBorder="1" applyAlignment="1">
      <alignment horizontal="left" vertical="center"/>
    </xf>
    <xf numFmtId="0" fontId="3" fillId="31" borderId="28" xfId="0" applyFont="1" applyFill="1" applyBorder="1" applyAlignment="1">
      <alignment horizontal="left" vertical="center" wrapText="1"/>
    </xf>
    <xf numFmtId="0" fontId="0" fillId="31" borderId="48" xfId="0" applyFill="1" applyBorder="1" applyAlignment="1">
      <alignment horizontal="center" vertical="center"/>
    </xf>
    <xf numFmtId="0" fontId="0" fillId="31" borderId="28" xfId="0" applyFill="1" applyBorder="1" applyAlignment="1">
      <alignment horizontal="center" vertical="center"/>
    </xf>
    <xf numFmtId="0" fontId="3" fillId="27" borderId="29" xfId="0" applyFont="1" applyFill="1" applyBorder="1" applyAlignment="1">
      <alignment vertical="center" wrapText="1"/>
    </xf>
    <xf numFmtId="165" fontId="0" fillId="27" borderId="37" xfId="0" applyNumberFormat="1" applyFill="1" applyBorder="1" applyAlignment="1">
      <alignment horizontal="left" vertical="center"/>
    </xf>
    <xf numFmtId="165" fontId="0" fillId="27" borderId="29" xfId="0" applyNumberFormat="1" applyFill="1" applyBorder="1" applyAlignment="1">
      <alignment horizontal="left" vertical="center"/>
    </xf>
    <xf numFmtId="0" fontId="3" fillId="27" borderId="28" xfId="0" applyFont="1" applyFill="1" applyBorder="1" applyAlignment="1">
      <alignment horizontal="left" vertical="center" wrapText="1"/>
    </xf>
    <xf numFmtId="0" fontId="0" fillId="27" borderId="48" xfId="0" applyFill="1" applyBorder="1" applyAlignment="1">
      <alignment horizontal="center" vertical="center"/>
    </xf>
    <xf numFmtId="0" fontId="0" fillId="27" borderId="28" xfId="0" applyFill="1" applyBorder="1" applyAlignment="1">
      <alignment horizontal="center" vertical="center"/>
    </xf>
    <xf numFmtId="0" fontId="0" fillId="27" borderId="30" xfId="0" applyFill="1" applyBorder="1" applyAlignment="1">
      <alignment horizontal="center" vertical="center"/>
    </xf>
    <xf numFmtId="0" fontId="14" fillId="2" borderId="11" xfId="0" applyFont="1" applyFill="1" applyBorder="1"/>
    <xf numFmtId="0" fontId="14" fillId="2" borderId="3" xfId="0" applyFont="1" applyFill="1" applyBorder="1"/>
    <xf numFmtId="0" fontId="14" fillId="2" borderId="3" xfId="0" applyFont="1" applyFill="1" applyBorder="1" applyAlignment="1">
      <alignment wrapText="1"/>
    </xf>
    <xf numFmtId="0" fontId="39" fillId="2" borderId="3" xfId="0" applyFont="1" applyFill="1" applyBorder="1"/>
    <xf numFmtId="0" fontId="14" fillId="2" borderId="3" xfId="0" applyFont="1" applyFill="1" applyBorder="1" applyAlignment="1">
      <alignment horizontal="left" wrapText="1"/>
    </xf>
    <xf numFmtId="44" fontId="14" fillId="2" borderId="3" xfId="0" applyNumberFormat="1" applyFont="1" applyFill="1" applyBorder="1"/>
    <xf numFmtId="44" fontId="14" fillId="2" borderId="12" xfId="1" applyFont="1" applyFill="1" applyBorder="1"/>
    <xf numFmtId="0" fontId="0" fillId="0" borderId="48" xfId="0" applyBorder="1"/>
    <xf numFmtId="0" fontId="0" fillId="0" borderId="30" xfId="0" applyBorder="1"/>
    <xf numFmtId="0" fontId="0" fillId="0" borderId="48" xfId="0" applyBorder="1" applyAlignment="1">
      <alignment horizontal="center"/>
    </xf>
    <xf numFmtId="0" fontId="0" fillId="0" borderId="30" xfId="0" applyBorder="1" applyAlignment="1">
      <alignment horizontal="center"/>
    </xf>
    <xf numFmtId="0" fontId="34" fillId="35" borderId="28" xfId="0" applyFont="1" applyFill="1" applyBorder="1" applyAlignment="1">
      <alignment vertical="center" wrapText="1"/>
    </xf>
    <xf numFmtId="0" fontId="34" fillId="35" borderId="28" xfId="0" applyFont="1" applyFill="1" applyBorder="1" applyAlignment="1">
      <alignment horizontal="left" vertical="center" wrapText="1"/>
    </xf>
    <xf numFmtId="44" fontId="0" fillId="0" borderId="19" xfId="0" applyNumberFormat="1" applyBorder="1"/>
    <xf numFmtId="165" fontId="0" fillId="0" borderId="16" xfId="0" applyNumberFormat="1" applyBorder="1"/>
    <xf numFmtId="166" fontId="0" fillId="0" borderId="64" xfId="1" applyNumberFormat="1" applyFont="1" applyBorder="1"/>
    <xf numFmtId="44" fontId="0" fillId="0" borderId="65" xfId="0" applyNumberFormat="1" applyBorder="1"/>
    <xf numFmtId="165" fontId="0" fillId="0" borderId="66" xfId="0" applyNumberFormat="1" applyBorder="1"/>
    <xf numFmtId="165" fontId="0" fillId="0" borderId="56" xfId="0" applyNumberFormat="1" applyBorder="1"/>
    <xf numFmtId="165" fontId="0" fillId="0" borderId="57" xfId="0" applyNumberFormat="1" applyBorder="1"/>
    <xf numFmtId="166" fontId="0" fillId="0" borderId="57" xfId="1" applyNumberFormat="1" applyFont="1" applyBorder="1"/>
    <xf numFmtId="165" fontId="0" fillId="0" borderId="58" xfId="0" applyNumberFormat="1" applyBorder="1"/>
    <xf numFmtId="0" fontId="3" fillId="26" borderId="54" xfId="0" applyFont="1" applyFill="1" applyBorder="1" applyAlignment="1">
      <alignment horizontal="left" vertical="center"/>
    </xf>
    <xf numFmtId="165" fontId="3" fillId="26" borderId="28" xfId="0" applyNumberFormat="1" applyFont="1" applyFill="1" applyBorder="1" applyAlignment="1">
      <alignment horizontal="left" vertical="center" wrapText="1"/>
    </xf>
    <xf numFmtId="0" fontId="3" fillId="26" borderId="28" xfId="0" applyFont="1" applyFill="1" applyBorder="1" applyAlignment="1">
      <alignment vertical="center"/>
    </xf>
    <xf numFmtId="0" fontId="0" fillId="0" borderId="47" xfId="0" applyBorder="1"/>
    <xf numFmtId="0" fontId="0" fillId="0" borderId="1" xfId="0" applyBorder="1" applyAlignment="1">
      <alignment vertical="center"/>
    </xf>
    <xf numFmtId="0" fontId="0" fillId="0" borderId="15" xfId="0" applyBorder="1" applyAlignment="1">
      <alignment vertical="center"/>
    </xf>
    <xf numFmtId="0" fontId="0" fillId="0" borderId="54" xfId="0" applyBorder="1" applyAlignment="1">
      <alignment vertical="center"/>
    </xf>
    <xf numFmtId="0" fontId="0" fillId="0" borderId="28" xfId="0" applyBorder="1" applyAlignment="1">
      <alignment vertical="center" wrapText="1"/>
    </xf>
    <xf numFmtId="0" fontId="0" fillId="0" borderId="68" xfId="0" applyFill="1" applyBorder="1" applyAlignment="1">
      <alignment vertical="center"/>
    </xf>
    <xf numFmtId="0" fontId="0" fillId="0" borderId="67" xfId="0" applyFill="1" applyBorder="1" applyAlignment="1">
      <alignment vertical="center"/>
    </xf>
    <xf numFmtId="0" fontId="0" fillId="0" borderId="28" xfId="0" applyFill="1" applyBorder="1" applyAlignment="1">
      <alignment vertical="center" wrapText="1"/>
    </xf>
    <xf numFmtId="0" fontId="3" fillId="0" borderId="47" xfId="0" applyFont="1" applyFill="1" applyBorder="1" applyAlignment="1">
      <alignment vertical="center"/>
    </xf>
    <xf numFmtId="0" fontId="3" fillId="0" borderId="29" xfId="0" applyFont="1" applyFill="1" applyBorder="1" applyAlignment="1">
      <alignment vertical="center"/>
    </xf>
    <xf numFmtId="44" fontId="0" fillId="0" borderId="47" xfId="0" applyNumberFormat="1" applyFont="1" applyBorder="1"/>
    <xf numFmtId="44" fontId="0" fillId="0" borderId="48" xfId="0" applyNumberFormat="1" applyFont="1" applyBorder="1"/>
    <xf numFmtId="44" fontId="0" fillId="0" borderId="30" xfId="0" applyNumberFormat="1" applyFont="1" applyBorder="1"/>
    <xf numFmtId="44" fontId="0" fillId="0" borderId="61" xfId="0" applyNumberFormat="1" applyFont="1" applyFill="1" applyBorder="1"/>
    <xf numFmtId="44" fontId="0" fillId="0" borderId="59" xfId="0" applyNumberFormat="1" applyFont="1" applyFill="1" applyBorder="1"/>
    <xf numFmtId="44" fontId="0" fillId="0" borderId="60" xfId="0" applyNumberFormat="1" applyFont="1" applyFill="1" applyBorder="1"/>
    <xf numFmtId="0" fontId="14" fillId="0" borderId="11" xfId="0" applyFont="1" applyFill="1" applyBorder="1"/>
    <xf numFmtId="0" fontId="14" fillId="0" borderId="3" xfId="0" applyFont="1" applyFill="1" applyBorder="1"/>
    <xf numFmtId="0" fontId="14" fillId="0" borderId="3" xfId="0" applyFont="1" applyFill="1" applyBorder="1" applyAlignment="1">
      <alignment wrapText="1"/>
    </xf>
    <xf numFmtId="0" fontId="0" fillId="0" borderId="1" xfId="0" applyFill="1" applyBorder="1"/>
    <xf numFmtId="44" fontId="0" fillId="0" borderId="1" xfId="0" applyNumberFormat="1" applyFill="1" applyBorder="1"/>
    <xf numFmtId="44" fontId="0" fillId="0" borderId="4" xfId="0" applyNumberFormat="1" applyFill="1" applyBorder="1"/>
    <xf numFmtId="0" fontId="0" fillId="0" borderId="17" xfId="0" applyBorder="1"/>
    <xf numFmtId="0" fontId="0" fillId="0" borderId="62" xfId="0" applyBorder="1"/>
    <xf numFmtId="0" fontId="17" fillId="5" borderId="36" xfId="0" applyFont="1" applyFill="1" applyBorder="1" applyAlignment="1">
      <alignment horizontal="left" indent="2"/>
    </xf>
    <xf numFmtId="0" fontId="17" fillId="5" borderId="0" xfId="0" applyFont="1" applyFill="1" applyBorder="1" applyAlignment="1">
      <alignment horizontal="left" indent="1"/>
    </xf>
    <xf numFmtId="0" fontId="17" fillId="5" borderId="0" xfId="0" applyFont="1" applyFill="1" applyBorder="1"/>
    <xf numFmtId="0" fontId="0" fillId="3" borderId="0" xfId="0" applyFill="1"/>
    <xf numFmtId="0" fontId="0" fillId="0" borderId="0" xfId="0" applyFill="1"/>
    <xf numFmtId="0" fontId="0" fillId="3" borderId="0" xfId="0" applyFill="1" applyAlignment="1">
      <alignment wrapText="1"/>
    </xf>
    <xf numFmtId="0" fontId="0" fillId="34" borderId="0" xfId="0" applyFill="1"/>
    <xf numFmtId="0" fontId="17" fillId="34" borderId="0" xfId="0" applyFont="1" applyFill="1"/>
    <xf numFmtId="44" fontId="0" fillId="34" borderId="0" xfId="1" applyFont="1" applyFill="1" applyAlignment="1"/>
    <xf numFmtId="0" fontId="2" fillId="34" borderId="8" xfId="0" applyFont="1" applyFill="1" applyBorder="1"/>
    <xf numFmtId="0" fontId="2" fillId="34" borderId="9" xfId="0" applyFont="1" applyFill="1" applyBorder="1"/>
    <xf numFmtId="0" fontId="2" fillId="34" borderId="14" xfId="0" applyFont="1" applyFill="1" applyBorder="1" applyAlignment="1">
      <alignment horizontal="center"/>
    </xf>
    <xf numFmtId="0" fontId="0" fillId="34" borderId="10" xfId="0" applyFill="1" applyBorder="1"/>
    <xf numFmtId="0" fontId="2" fillId="34" borderId="2" xfId="0" applyFont="1" applyFill="1" applyBorder="1"/>
    <xf numFmtId="0" fontId="2" fillId="34" borderId="1" xfId="0" applyFont="1" applyFill="1" applyBorder="1"/>
    <xf numFmtId="0" fontId="2" fillId="34" borderId="15" xfId="0" applyFont="1" applyFill="1" applyBorder="1"/>
    <xf numFmtId="0" fontId="2" fillId="34" borderId="4" xfId="0" applyFont="1" applyFill="1" applyBorder="1"/>
    <xf numFmtId="0" fontId="0" fillId="34" borderId="2" xfId="0" applyFont="1" applyFill="1" applyBorder="1" applyAlignment="1">
      <alignment wrapText="1"/>
    </xf>
    <xf numFmtId="0" fontId="0" fillId="34" borderId="1" xfId="0" applyFill="1" applyBorder="1"/>
    <xf numFmtId="6" fontId="0" fillId="34" borderId="1" xfId="0" applyNumberFormat="1" applyFill="1" applyBorder="1"/>
    <xf numFmtId="0" fontId="0" fillId="34" borderId="15" xfId="0" applyFill="1" applyBorder="1"/>
    <xf numFmtId="0" fontId="0" fillId="34" borderId="4" xfId="0" applyFill="1" applyBorder="1" applyAlignment="1">
      <alignment wrapText="1"/>
    </xf>
    <xf numFmtId="0" fontId="0" fillId="34" borderId="2" xfId="0" applyFill="1" applyBorder="1"/>
    <xf numFmtId="0" fontId="0" fillId="34" borderId="0" xfId="0" applyFill="1" applyBorder="1"/>
    <xf numFmtId="0" fontId="0" fillId="34" borderId="1" xfId="0" applyFont="1" applyFill="1" applyBorder="1"/>
    <xf numFmtId="0" fontId="0" fillId="34" borderId="1" xfId="0" applyFill="1" applyBorder="1" applyAlignment="1">
      <alignment horizontal="left" wrapText="1"/>
    </xf>
    <xf numFmtId="0" fontId="0" fillId="34" borderId="2" xfId="0" applyFont="1" applyFill="1" applyBorder="1"/>
    <xf numFmtId="6" fontId="0" fillId="34" borderId="1" xfId="1" applyNumberFormat="1" applyFont="1" applyFill="1" applyBorder="1"/>
    <xf numFmtId="0" fontId="0" fillId="34" borderId="4" xfId="0" applyFill="1" applyBorder="1"/>
    <xf numFmtId="0" fontId="0" fillId="34" borderId="13" xfId="0" applyFill="1" applyBorder="1"/>
    <xf numFmtId="6" fontId="0" fillId="34" borderId="0" xfId="0" applyNumberFormat="1" applyFill="1"/>
    <xf numFmtId="164" fontId="0" fillId="34" borderId="0" xfId="1" applyNumberFormat="1" applyFont="1" applyFill="1"/>
    <xf numFmtId="6" fontId="0" fillId="3" borderId="0" xfId="0" applyNumberFormat="1" applyFill="1"/>
    <xf numFmtId="0" fontId="0" fillId="0" borderId="0" xfId="0" applyFill="1" applyAlignment="1">
      <alignment horizontal="center"/>
    </xf>
    <xf numFmtId="0" fontId="0" fillId="0" borderId="0" xfId="0" applyBorder="1" applyAlignment="1">
      <alignment wrapText="1"/>
    </xf>
    <xf numFmtId="0" fontId="17" fillId="0" borderId="0" xfId="0" applyFont="1" applyBorder="1" applyAlignment="1">
      <alignment wrapText="1"/>
    </xf>
    <xf numFmtId="0" fontId="17" fillId="0" borderId="0" xfId="0" applyFont="1" applyFill="1" applyBorder="1" applyAlignment="1">
      <alignment wrapText="1"/>
    </xf>
    <xf numFmtId="0" fontId="17" fillId="0" borderId="0" xfId="0" applyFont="1" applyBorder="1" applyAlignment="1">
      <alignment vertical="center" wrapText="1"/>
    </xf>
    <xf numFmtId="0" fontId="17" fillId="0" borderId="0" xfId="0" applyFont="1" applyBorder="1"/>
    <xf numFmtId="166" fontId="17" fillId="0" borderId="0" xfId="1" applyNumberFormat="1" applyFont="1" applyBorder="1"/>
    <xf numFmtId="165" fontId="17" fillId="0" borderId="0" xfId="0" applyNumberFormat="1" applyFont="1" applyBorder="1"/>
    <xf numFmtId="0" fontId="0" fillId="0" borderId="1" xfId="0" applyBorder="1" applyAlignment="1">
      <alignment horizontal="left"/>
    </xf>
    <xf numFmtId="44" fontId="0" fillId="3" borderId="0" xfId="0" applyNumberFormat="1" applyFill="1"/>
    <xf numFmtId="44" fontId="0" fillId="3" borderId="0" xfId="1" applyFont="1" applyFill="1"/>
    <xf numFmtId="164" fontId="0" fillId="3" borderId="0" xfId="0" applyNumberFormat="1" applyFill="1"/>
    <xf numFmtId="164" fontId="0" fillId="0" borderId="0" xfId="0" applyNumberFormat="1" applyBorder="1"/>
    <xf numFmtId="164" fontId="0" fillId="0" borderId="38" xfId="0" applyNumberFormat="1" applyBorder="1"/>
    <xf numFmtId="0" fontId="0" fillId="17" borderId="0" xfId="0" applyFill="1"/>
    <xf numFmtId="6" fontId="0" fillId="17" borderId="0" xfId="0" applyNumberFormat="1" applyFill="1"/>
    <xf numFmtId="44" fontId="0" fillId="17" borderId="0" xfId="1" applyFont="1" applyFill="1"/>
    <xf numFmtId="164" fontId="0" fillId="17" borderId="0" xfId="0" applyNumberFormat="1" applyFill="1"/>
    <xf numFmtId="0" fontId="0" fillId="7" borderId="1" xfId="0" applyFont="1" applyFill="1" applyBorder="1"/>
    <xf numFmtId="44" fontId="0" fillId="0" borderId="0" xfId="1" applyFont="1" applyBorder="1"/>
    <xf numFmtId="44" fontId="0" fillId="17" borderId="0" xfId="1" applyFont="1" applyFill="1" applyBorder="1"/>
    <xf numFmtId="0" fontId="0" fillId="17" borderId="0" xfId="0" applyFill="1" applyBorder="1"/>
    <xf numFmtId="0" fontId="0" fillId="0" borderId="38" xfId="0" applyBorder="1"/>
    <xf numFmtId="0" fontId="0" fillId="0" borderId="25" xfId="0" applyBorder="1"/>
    <xf numFmtId="0" fontId="0" fillId="18" borderId="38" xfId="0" applyFill="1" applyBorder="1"/>
    <xf numFmtId="0" fontId="14" fillId="2" borderId="26" xfId="0" applyFont="1" applyFill="1" applyBorder="1"/>
    <xf numFmtId="0" fontId="0" fillId="2" borderId="38" xfId="0" applyFill="1" applyBorder="1"/>
    <xf numFmtId="0" fontId="14" fillId="2" borderId="31" xfId="0" applyFont="1" applyFill="1" applyBorder="1"/>
    <xf numFmtId="166" fontId="0" fillId="36" borderId="0" xfId="1" applyNumberFormat="1" applyFont="1" applyFill="1" applyBorder="1"/>
    <xf numFmtId="164" fontId="0" fillId="0" borderId="1" xfId="0" applyNumberFormat="1" applyBorder="1"/>
    <xf numFmtId="0" fontId="0" fillId="0" borderId="70" xfId="0" applyBorder="1"/>
    <xf numFmtId="0" fontId="0" fillId="5" borderId="33" xfId="0" applyFill="1" applyBorder="1" applyAlignment="1">
      <alignment vertical="center"/>
    </xf>
    <xf numFmtId="0" fontId="0" fillId="5" borderId="34" xfId="0" applyFill="1" applyBorder="1" applyAlignment="1">
      <alignment vertical="center"/>
    </xf>
    <xf numFmtId="0" fontId="0" fillId="5" borderId="34" xfId="0" applyFill="1" applyBorder="1" applyAlignment="1">
      <alignment vertical="center" wrapText="1"/>
    </xf>
    <xf numFmtId="0" fontId="0" fillId="5" borderId="35" xfId="0" applyFill="1" applyBorder="1" applyAlignment="1">
      <alignment vertical="center"/>
    </xf>
    <xf numFmtId="0" fontId="0" fillId="5" borderId="0" xfId="0" applyFill="1" applyBorder="1" applyAlignment="1">
      <alignment vertical="center"/>
    </xf>
    <xf numFmtId="0" fontId="0" fillId="37" borderId="0" xfId="0" applyFill="1" applyBorder="1"/>
    <xf numFmtId="0" fontId="0" fillId="38" borderId="0" xfId="0" applyFill="1" applyBorder="1"/>
    <xf numFmtId="0" fontId="0" fillId="38" borderId="33" xfId="0" applyFill="1" applyBorder="1"/>
    <xf numFmtId="0" fontId="0" fillId="38" borderId="34" xfId="0" applyFill="1" applyBorder="1"/>
    <xf numFmtId="0" fontId="0" fillId="38" borderId="35" xfId="0" applyFill="1" applyBorder="1"/>
    <xf numFmtId="0" fontId="0" fillId="38" borderId="36" xfId="0" applyFill="1" applyBorder="1"/>
    <xf numFmtId="0" fontId="0" fillId="38" borderId="37" xfId="0" applyFill="1" applyBorder="1"/>
    <xf numFmtId="0" fontId="0" fillId="38" borderId="26" xfId="0" applyFill="1" applyBorder="1"/>
    <xf numFmtId="0" fontId="0" fillId="38" borderId="38" xfId="0" applyFill="1" applyBorder="1"/>
    <xf numFmtId="0" fontId="0" fillId="38" borderId="31" xfId="0" applyFill="1" applyBorder="1"/>
    <xf numFmtId="0" fontId="19" fillId="0" borderId="0" xfId="0" applyFont="1" applyAlignment="1">
      <alignment horizontal="center" vertical="center"/>
    </xf>
    <xf numFmtId="0" fontId="30" fillId="4" borderId="0" xfId="0" applyFont="1" applyFill="1" applyAlignment="1">
      <alignment horizontal="center"/>
    </xf>
    <xf numFmtId="0" fontId="0" fillId="0" borderId="0" xfId="0" applyAlignment="1">
      <alignment horizontal="center"/>
    </xf>
    <xf numFmtId="44" fontId="0" fillId="0" borderId="0" xfId="0" applyNumberFormat="1" applyFill="1"/>
    <xf numFmtId="0" fontId="3" fillId="39" borderId="33" xfId="0" applyFont="1" applyFill="1" applyBorder="1"/>
    <xf numFmtId="0" fontId="3" fillId="39" borderId="34" xfId="0" applyFont="1" applyFill="1" applyBorder="1"/>
    <xf numFmtId="0" fontId="3" fillId="39" borderId="35" xfId="0" applyFont="1" applyFill="1" applyBorder="1"/>
    <xf numFmtId="0" fontId="0" fillId="39" borderId="36" xfId="0" applyFill="1" applyBorder="1"/>
    <xf numFmtId="0" fontId="0" fillId="39" borderId="0" xfId="0" applyFill="1" applyBorder="1"/>
    <xf numFmtId="164" fontId="0" fillId="39" borderId="0" xfId="0" applyNumberFormat="1" applyFill="1" applyBorder="1"/>
    <xf numFmtId="164" fontId="0" fillId="39" borderId="37" xfId="0" applyNumberFormat="1" applyFill="1" applyBorder="1"/>
    <xf numFmtId="0" fontId="0" fillId="39" borderId="26" xfId="0" applyFill="1" applyBorder="1"/>
    <xf numFmtId="0" fontId="0" fillId="39" borderId="38" xfId="0" applyFill="1" applyBorder="1"/>
    <xf numFmtId="164" fontId="0" fillId="39" borderId="38" xfId="0" applyNumberFormat="1" applyFill="1" applyBorder="1"/>
    <xf numFmtId="166" fontId="0" fillId="0" borderId="11" xfId="1" applyNumberFormat="1" applyFont="1" applyBorder="1"/>
    <xf numFmtId="166" fontId="0" fillId="0" borderId="5" xfId="1" applyNumberFormat="1" applyFont="1" applyBorder="1"/>
    <xf numFmtId="164" fontId="0" fillId="38" borderId="35" xfId="0" applyNumberFormat="1" applyFill="1" applyBorder="1"/>
    <xf numFmtId="164" fontId="0" fillId="38" borderId="37" xfId="0" applyNumberFormat="1" applyFill="1" applyBorder="1"/>
    <xf numFmtId="164" fontId="0" fillId="38" borderId="31" xfId="0" applyNumberFormat="1" applyFill="1" applyBorder="1"/>
    <xf numFmtId="0" fontId="0" fillId="38" borderId="0" xfId="0" applyFill="1"/>
    <xf numFmtId="6" fontId="0" fillId="2" borderId="0" xfId="1" applyNumberFormat="1" applyFont="1" applyFill="1" applyBorder="1"/>
    <xf numFmtId="44" fontId="0" fillId="0" borderId="0" xfId="0" applyNumberFormat="1" applyFill="1" applyBorder="1"/>
    <xf numFmtId="0" fontId="0" fillId="0" borderId="26" xfId="0" applyFill="1" applyBorder="1"/>
    <xf numFmtId="0" fontId="0" fillId="0" borderId="38" xfId="0" applyFill="1" applyBorder="1"/>
    <xf numFmtId="0" fontId="3" fillId="40" borderId="33" xfId="0" applyFont="1" applyFill="1" applyBorder="1"/>
    <xf numFmtId="0" fontId="3" fillId="40" borderId="34" xfId="0" applyFont="1" applyFill="1" applyBorder="1"/>
    <xf numFmtId="0" fontId="3" fillId="40" borderId="35" xfId="0" applyFont="1" applyFill="1" applyBorder="1"/>
    <xf numFmtId="0" fontId="0" fillId="40" borderId="36" xfId="0" applyFill="1" applyBorder="1"/>
    <xf numFmtId="0" fontId="0" fillId="40" borderId="0" xfId="0" applyFill="1" applyBorder="1"/>
    <xf numFmtId="164" fontId="0" fillId="40" borderId="0" xfId="0" applyNumberFormat="1" applyFill="1" applyBorder="1"/>
    <xf numFmtId="164" fontId="0" fillId="40" borderId="37" xfId="0" applyNumberFormat="1" applyFill="1" applyBorder="1"/>
    <xf numFmtId="0" fontId="0" fillId="40" borderId="26" xfId="0" applyFill="1" applyBorder="1"/>
    <xf numFmtId="0" fontId="0" fillId="40" borderId="38" xfId="0" applyFill="1" applyBorder="1"/>
    <xf numFmtId="164" fontId="0" fillId="40" borderId="38" xfId="0" applyNumberFormat="1" applyFill="1" applyBorder="1"/>
    <xf numFmtId="44" fontId="0" fillId="40" borderId="38" xfId="0" applyNumberFormat="1" applyFill="1" applyBorder="1"/>
    <xf numFmtId="44" fontId="0" fillId="40" borderId="31" xfId="0" applyNumberFormat="1" applyFill="1" applyBorder="1"/>
    <xf numFmtId="164" fontId="0" fillId="0" borderId="0" xfId="0" applyNumberFormat="1" applyFill="1"/>
    <xf numFmtId="0" fontId="0" fillId="41" borderId="0" xfId="0" applyFill="1"/>
    <xf numFmtId="0" fontId="0" fillId="41" borderId="55" xfId="0" applyFill="1" applyBorder="1"/>
    <xf numFmtId="0" fontId="0" fillId="0" borderId="0" xfId="0" applyBorder="1" applyAlignment="1">
      <alignment horizontal="right"/>
    </xf>
    <xf numFmtId="44" fontId="0" fillId="0" borderId="37" xfId="1" applyFont="1" applyBorder="1"/>
    <xf numFmtId="166" fontId="0" fillId="36" borderId="38" xfId="1" applyNumberFormat="1" applyFont="1" applyFill="1" applyBorder="1"/>
    <xf numFmtId="0" fontId="0" fillId="0" borderId="38" xfId="0" applyBorder="1" applyAlignment="1">
      <alignment horizontal="right"/>
    </xf>
    <xf numFmtId="44" fontId="0" fillId="0" borderId="31" xfId="1" applyFont="1" applyBorder="1"/>
    <xf numFmtId="0" fontId="0" fillId="0" borderId="8" xfId="0" applyFill="1" applyBorder="1"/>
    <xf numFmtId="0" fontId="0" fillId="0" borderId="34" xfId="0" applyFill="1" applyBorder="1"/>
    <xf numFmtId="166" fontId="0" fillId="0" borderId="8" xfId="1" applyNumberFormat="1" applyFont="1" applyFill="1" applyBorder="1"/>
    <xf numFmtId="0" fontId="0" fillId="0" borderId="34" xfId="0" applyFill="1" applyBorder="1" applyAlignment="1">
      <alignment horizontal="right"/>
    </xf>
    <xf numFmtId="164" fontId="0" fillId="0" borderId="34" xfId="0" applyNumberFormat="1" applyFill="1" applyBorder="1"/>
    <xf numFmtId="44" fontId="0" fillId="0" borderId="35" xfId="1" applyFont="1" applyFill="1" applyBorder="1"/>
    <xf numFmtId="166" fontId="0" fillId="0" borderId="2" xfId="1" applyNumberFormat="1" applyFont="1" applyFill="1" applyBorder="1"/>
    <xf numFmtId="0" fontId="0" fillId="0" borderId="0" xfId="0" applyFill="1" applyBorder="1" applyAlignment="1">
      <alignment horizontal="right"/>
    </xf>
    <xf numFmtId="164" fontId="0" fillId="0" borderId="0" xfId="0" applyNumberFormat="1" applyFill="1" applyBorder="1"/>
    <xf numFmtId="44" fontId="0" fillId="0" borderId="37" xfId="1" applyFont="1" applyFill="1" applyBorder="1"/>
    <xf numFmtId="0" fontId="0" fillId="0" borderId="5" xfId="0" applyFill="1" applyBorder="1"/>
    <xf numFmtId="166" fontId="0" fillId="0" borderId="5" xfId="1" applyNumberFormat="1" applyFont="1" applyFill="1" applyBorder="1"/>
    <xf numFmtId="0" fontId="0" fillId="0" borderId="38" xfId="0" applyFill="1" applyBorder="1" applyAlignment="1">
      <alignment horizontal="right"/>
    </xf>
    <xf numFmtId="164" fontId="0" fillId="0" borderId="38" xfId="0" applyNumberFormat="1" applyFill="1" applyBorder="1"/>
    <xf numFmtId="44" fontId="0" fillId="0" borderId="31" xfId="1" applyFont="1" applyFill="1" applyBorder="1"/>
    <xf numFmtId="0" fontId="0" fillId="17" borderId="51" xfId="0" applyFill="1" applyBorder="1"/>
    <xf numFmtId="0" fontId="0" fillId="0" borderId="34" xfId="0" applyBorder="1"/>
    <xf numFmtId="0" fontId="0" fillId="0" borderId="35" xfId="0" applyBorder="1"/>
    <xf numFmtId="0" fontId="0" fillId="0" borderId="33" xfId="0" applyFill="1" applyBorder="1"/>
    <xf numFmtId="0" fontId="0" fillId="0" borderId="36" xfId="0" applyFill="1" applyBorder="1"/>
    <xf numFmtId="164" fontId="0" fillId="14" borderId="0" xfId="0" applyNumberFormat="1" applyFill="1"/>
    <xf numFmtId="44" fontId="0" fillId="14" borderId="0" xfId="0" applyNumberFormat="1" applyFill="1"/>
    <xf numFmtId="164" fontId="0" fillId="14" borderId="0" xfId="1" applyNumberFormat="1" applyFont="1" applyFill="1"/>
    <xf numFmtId="0" fontId="3" fillId="0" borderId="1" xfId="0" applyFont="1" applyFill="1" applyBorder="1"/>
    <xf numFmtId="0" fontId="3" fillId="0" borderId="1" xfId="0" applyFont="1" applyFill="1" applyBorder="1" applyAlignment="1">
      <alignment vertical="center" wrapText="1"/>
    </xf>
    <xf numFmtId="0" fontId="0" fillId="0" borderId="1" xfId="0" applyBorder="1" applyAlignment="1">
      <alignment horizontal="center"/>
    </xf>
    <xf numFmtId="0" fontId="3" fillId="0" borderId="1" xfId="0" applyFont="1" applyBorder="1" applyAlignment="1">
      <alignment vertical="center" wrapText="1"/>
    </xf>
    <xf numFmtId="44" fontId="0" fillId="39" borderId="38" xfId="0" applyNumberFormat="1" applyFill="1" applyBorder="1"/>
    <xf numFmtId="44" fontId="0" fillId="39" borderId="31" xfId="0" applyNumberFormat="1" applyFill="1" applyBorder="1"/>
    <xf numFmtId="0" fontId="0" fillId="0" borderId="0" xfId="0" applyFill="1" applyAlignment="1">
      <alignment horizontal="right"/>
    </xf>
    <xf numFmtId="166" fontId="0" fillId="36" borderId="34" xfId="1" applyNumberFormat="1" applyFont="1" applyFill="1" applyBorder="1"/>
    <xf numFmtId="0" fontId="14" fillId="2" borderId="0" xfId="0" applyFont="1" applyFill="1" applyBorder="1"/>
    <xf numFmtId="0" fontId="0" fillId="37" borderId="1" xfId="0" applyFill="1" applyBorder="1"/>
    <xf numFmtId="0" fontId="0" fillId="37" borderId="1" xfId="0" applyFill="1" applyBorder="1" applyAlignment="1">
      <alignment horizontal="center"/>
    </xf>
    <xf numFmtId="164" fontId="0" fillId="37" borderId="1" xfId="0" applyNumberFormat="1" applyFill="1" applyBorder="1"/>
    <xf numFmtId="0" fontId="0" fillId="37" borderId="1" xfId="0" applyFill="1" applyBorder="1" applyAlignment="1">
      <alignment horizontal="left"/>
    </xf>
    <xf numFmtId="0" fontId="0" fillId="0" borderId="0" xfId="0" applyFill="1" applyBorder="1" applyAlignment="1">
      <alignment horizontal="center"/>
    </xf>
    <xf numFmtId="0" fontId="0" fillId="0" borderId="1" xfId="0" applyFill="1" applyBorder="1" applyAlignment="1">
      <alignment horizontal="center"/>
    </xf>
    <xf numFmtId="10" fontId="0" fillId="5" borderId="0" xfId="0" applyNumberFormat="1" applyFill="1"/>
    <xf numFmtId="164" fontId="0" fillId="0" borderId="0" xfId="0" applyNumberFormat="1" applyFont="1" applyBorder="1"/>
    <xf numFmtId="0" fontId="0" fillId="0" borderId="34" xfId="0" applyBorder="1" applyAlignment="1">
      <alignment horizontal="right"/>
    </xf>
    <xf numFmtId="166" fontId="0" fillId="0" borderId="1" xfId="1" applyNumberFormat="1" applyFont="1" applyFill="1" applyBorder="1"/>
    <xf numFmtId="166" fontId="0" fillId="0" borderId="6" xfId="1" applyNumberFormat="1" applyFont="1" applyFill="1" applyBorder="1"/>
    <xf numFmtId="0" fontId="0" fillId="0" borderId="9" xfId="0" applyFill="1" applyBorder="1"/>
    <xf numFmtId="166" fontId="0" fillId="0" borderId="9" xfId="1" applyNumberFormat="1" applyFont="1" applyFill="1" applyBorder="1"/>
    <xf numFmtId="0" fontId="0" fillId="2" borderId="33" xfId="0" applyFill="1" applyBorder="1"/>
    <xf numFmtId="0" fontId="0" fillId="2" borderId="34" xfId="0" applyFill="1" applyBorder="1"/>
    <xf numFmtId="0" fontId="0" fillId="2" borderId="35" xfId="0" applyFill="1" applyBorder="1"/>
    <xf numFmtId="0" fontId="0" fillId="2" borderId="36" xfId="0" applyFill="1" applyBorder="1"/>
    <xf numFmtId="0" fontId="0" fillId="2" borderId="37" xfId="0" applyFill="1" applyBorder="1"/>
    <xf numFmtId="0" fontId="0" fillId="2" borderId="26" xfId="0" applyFill="1" applyBorder="1"/>
    <xf numFmtId="0" fontId="0" fillId="2" borderId="31" xfId="0" applyFill="1" applyBorder="1"/>
    <xf numFmtId="0" fontId="14" fillId="7" borderId="1" xfId="2" applyFont="1" applyFill="1" applyBorder="1" applyAlignment="1">
      <alignment wrapText="1"/>
    </xf>
    <xf numFmtId="0" fontId="0" fillId="28" borderId="34" xfId="0" applyFont="1" applyFill="1" applyBorder="1" applyAlignment="1">
      <alignment horizontal="center" vertical="center"/>
    </xf>
    <xf numFmtId="0" fontId="48" fillId="0" borderId="0" xfId="0" applyFont="1" applyAlignment="1">
      <alignment vertical="center"/>
    </xf>
    <xf numFmtId="0" fontId="0" fillId="0" borderId="0" xfId="0" applyFont="1" applyAlignment="1">
      <alignment vertical="center"/>
    </xf>
    <xf numFmtId="0" fontId="0" fillId="0" borderId="37" xfId="0" applyFont="1" applyBorder="1" applyAlignment="1">
      <alignment horizontal="center" vertical="center"/>
    </xf>
    <xf numFmtId="0" fontId="0" fillId="30" borderId="36" xfId="0" applyFont="1" applyFill="1" applyBorder="1" applyAlignment="1">
      <alignment horizontal="center" vertical="center"/>
    </xf>
    <xf numFmtId="0" fontId="0" fillId="30" borderId="0" xfId="0" applyFont="1" applyFill="1" applyBorder="1" applyAlignment="1">
      <alignment horizontal="center" vertical="center"/>
    </xf>
    <xf numFmtId="0" fontId="0" fillId="30" borderId="26" xfId="0" applyFont="1" applyFill="1" applyBorder="1" applyAlignment="1">
      <alignment horizontal="center" vertical="center"/>
    </xf>
    <xf numFmtId="0" fontId="0" fillId="30" borderId="38" xfId="0" applyFont="1" applyFill="1" applyBorder="1" applyAlignment="1">
      <alignment horizontal="center" vertical="center"/>
    </xf>
    <xf numFmtId="165" fontId="0" fillId="0" borderId="37" xfId="0" applyNumberFormat="1" applyFont="1" applyBorder="1" applyAlignment="1">
      <alignment horizontal="center" vertical="center"/>
    </xf>
    <xf numFmtId="0" fontId="0" fillId="0" borderId="26" xfId="0" applyFont="1" applyBorder="1" applyAlignment="1">
      <alignment horizontal="center" vertical="center"/>
    </xf>
    <xf numFmtId="0" fontId="0" fillId="0" borderId="38" xfId="0" applyFont="1" applyBorder="1" applyAlignment="1">
      <alignment horizontal="center" vertical="center"/>
    </xf>
    <xf numFmtId="165" fontId="0" fillId="0" borderId="38" xfId="0" applyNumberFormat="1" applyFont="1" applyBorder="1" applyAlignment="1">
      <alignment horizontal="center" vertical="center"/>
    </xf>
    <xf numFmtId="0" fontId="0" fillId="0" borderId="31" xfId="0" applyFont="1" applyBorder="1" applyAlignment="1">
      <alignment horizontal="center" vertical="center"/>
    </xf>
    <xf numFmtId="165" fontId="0" fillId="26" borderId="54" xfId="0" applyNumberFormat="1" applyFont="1" applyFill="1" applyBorder="1" applyAlignment="1">
      <alignment horizontal="center" vertical="center"/>
    </xf>
    <xf numFmtId="165" fontId="0" fillId="26" borderId="55" xfId="0" applyNumberFormat="1" applyFont="1" applyFill="1" applyBorder="1" applyAlignment="1">
      <alignment horizontal="center" vertical="center"/>
    </xf>
    <xf numFmtId="165" fontId="0" fillId="26" borderId="29" xfId="0" applyNumberFormat="1" applyFont="1" applyFill="1" applyBorder="1" applyAlignment="1">
      <alignment horizontal="center" vertical="center"/>
    </xf>
    <xf numFmtId="165" fontId="0" fillId="24" borderId="55" xfId="0" applyNumberFormat="1" applyFont="1" applyFill="1" applyBorder="1" applyAlignment="1">
      <alignment horizontal="center" vertical="center"/>
    </xf>
    <xf numFmtId="165" fontId="0" fillId="28" borderId="54" xfId="0" applyNumberFormat="1" applyFont="1" applyFill="1" applyBorder="1" applyAlignment="1">
      <alignment horizontal="center" vertical="center"/>
    </xf>
    <xf numFmtId="165" fontId="0" fillId="28" borderId="55" xfId="0" applyNumberFormat="1" applyFont="1" applyFill="1" applyBorder="1" applyAlignment="1">
      <alignment horizontal="center" vertical="center"/>
    </xf>
    <xf numFmtId="165" fontId="0" fillId="28" borderId="29" xfId="0" applyNumberFormat="1" applyFont="1" applyFill="1" applyBorder="1" applyAlignment="1">
      <alignment horizontal="center" vertical="center"/>
    </xf>
    <xf numFmtId="0" fontId="0" fillId="26" borderId="28" xfId="0" applyFont="1" applyFill="1" applyBorder="1" applyAlignment="1">
      <alignment vertical="center"/>
    </xf>
    <xf numFmtId="165" fontId="0" fillId="26" borderId="61" xfId="0" applyNumberFormat="1" applyFont="1" applyFill="1" applyBorder="1" applyAlignment="1">
      <alignment horizontal="left" vertical="center"/>
    </xf>
    <xf numFmtId="165" fontId="0" fillId="26" borderId="59" xfId="0" applyNumberFormat="1" applyFont="1" applyFill="1" applyBorder="1" applyAlignment="1">
      <alignment horizontal="left" vertical="center"/>
    </xf>
    <xf numFmtId="0" fontId="0" fillId="26" borderId="60" xfId="0" applyFont="1" applyFill="1" applyBorder="1" applyAlignment="1">
      <alignment horizontal="left" vertical="center"/>
    </xf>
    <xf numFmtId="165" fontId="0" fillId="26" borderId="29" xfId="0" applyNumberFormat="1" applyFont="1" applyFill="1" applyBorder="1" applyAlignment="1">
      <alignment horizontal="left" vertical="center"/>
    </xf>
    <xf numFmtId="0" fontId="0" fillId="0" borderId="0" xfId="0" applyFont="1" applyFill="1" applyBorder="1" applyAlignment="1">
      <alignment vertical="center"/>
    </xf>
    <xf numFmtId="165" fontId="0" fillId="0" borderId="0" xfId="0" applyNumberFormat="1" applyFont="1" applyFill="1" applyBorder="1" applyAlignment="1">
      <alignment horizontal="left" vertical="center"/>
    </xf>
    <xf numFmtId="165" fontId="0" fillId="26" borderId="25" xfId="0" applyNumberFormat="1" applyFont="1" applyFill="1" applyBorder="1" applyAlignment="1">
      <alignment horizontal="left" vertical="center"/>
    </xf>
    <xf numFmtId="0" fontId="0" fillId="26" borderId="56" xfId="0" applyNumberFormat="1" applyFont="1" applyFill="1" applyBorder="1" applyAlignment="1">
      <alignment horizontal="center" vertical="center"/>
    </xf>
    <xf numFmtId="165" fontId="0" fillId="26" borderId="56" xfId="0" applyNumberFormat="1" applyFont="1" applyFill="1" applyBorder="1" applyAlignment="1">
      <alignment horizontal="left" vertical="center"/>
    </xf>
    <xf numFmtId="165" fontId="0" fillId="26" borderId="69" xfId="0" applyNumberFormat="1" applyFont="1" applyFill="1" applyBorder="1" applyAlignment="1">
      <alignment horizontal="left" vertical="center"/>
    </xf>
    <xf numFmtId="0" fontId="0" fillId="26" borderId="57" xfId="0" applyNumberFormat="1" applyFont="1" applyFill="1" applyBorder="1" applyAlignment="1">
      <alignment horizontal="center" vertical="center"/>
    </xf>
    <xf numFmtId="165" fontId="0" fillId="26" borderId="57" xfId="0" applyNumberFormat="1" applyFont="1" applyFill="1" applyBorder="1" applyAlignment="1">
      <alignment horizontal="left" vertical="center"/>
    </xf>
    <xf numFmtId="0" fontId="0" fillId="26" borderId="70" xfId="0" applyFont="1" applyFill="1" applyBorder="1" applyAlignment="1">
      <alignment horizontal="left" vertical="center"/>
    </xf>
    <xf numFmtId="0" fontId="0" fillId="26" borderId="71" xfId="0" applyNumberFormat="1" applyFont="1" applyFill="1" applyBorder="1" applyAlignment="1">
      <alignment horizontal="center" vertical="center"/>
    </xf>
    <xf numFmtId="165" fontId="0" fillId="26" borderId="71" xfId="0" applyNumberFormat="1" applyFont="1" applyFill="1" applyBorder="1" applyAlignment="1">
      <alignment horizontal="left" vertical="center"/>
    </xf>
    <xf numFmtId="165" fontId="0" fillId="26" borderId="54" xfId="0" applyNumberFormat="1" applyFont="1" applyFill="1" applyBorder="1" applyAlignment="1">
      <alignment horizontal="left" vertical="center"/>
    </xf>
    <xf numFmtId="165" fontId="0" fillId="26" borderId="28" xfId="0" applyNumberFormat="1" applyFont="1" applyFill="1" applyBorder="1" applyAlignment="1">
      <alignment horizontal="center" vertical="center"/>
    </xf>
    <xf numFmtId="165" fontId="0" fillId="26" borderId="28" xfId="0" applyNumberFormat="1" applyFont="1" applyFill="1" applyBorder="1" applyAlignment="1">
      <alignment horizontal="left" vertical="center"/>
    </xf>
    <xf numFmtId="0" fontId="0" fillId="0" borderId="0" xfId="0" applyFont="1" applyFill="1" applyAlignment="1">
      <alignment vertical="center"/>
    </xf>
    <xf numFmtId="165" fontId="0" fillId="24" borderId="0" xfId="0" applyNumberFormat="1" applyFont="1" applyFill="1" applyBorder="1" applyAlignment="1">
      <alignment horizontal="left" vertical="center"/>
    </xf>
    <xf numFmtId="0" fontId="0" fillId="24" borderId="0" xfId="0" applyFont="1" applyFill="1" applyBorder="1" applyAlignment="1">
      <alignment horizontal="center" vertical="center"/>
    </xf>
    <xf numFmtId="165" fontId="0" fillId="24" borderId="48" xfId="0" applyNumberFormat="1" applyFont="1" applyFill="1" applyBorder="1" applyAlignment="1">
      <alignment horizontal="left" vertical="center"/>
    </xf>
    <xf numFmtId="165" fontId="0" fillId="24" borderId="38" xfId="0" applyNumberFormat="1" applyFont="1" applyFill="1" applyBorder="1" applyAlignment="1">
      <alignment horizontal="left" vertical="center"/>
    </xf>
    <xf numFmtId="165" fontId="0" fillId="24" borderId="30" xfId="0" applyNumberFormat="1" applyFont="1" applyFill="1" applyBorder="1" applyAlignment="1">
      <alignment horizontal="left" vertical="center"/>
    </xf>
    <xf numFmtId="0" fontId="0" fillId="24" borderId="28" xfId="0" applyFont="1" applyFill="1" applyBorder="1" applyAlignment="1">
      <alignment vertical="center"/>
    </xf>
    <xf numFmtId="165" fontId="0" fillId="24" borderId="55" xfId="0" applyNumberFormat="1" applyFont="1" applyFill="1" applyBorder="1" applyAlignment="1">
      <alignment horizontal="left" vertical="center"/>
    </xf>
    <xf numFmtId="0" fontId="0" fillId="24" borderId="55" xfId="0" applyFont="1" applyFill="1" applyBorder="1" applyAlignment="1">
      <alignment horizontal="center" vertical="center"/>
    </xf>
    <xf numFmtId="165" fontId="0" fillId="24" borderId="28" xfId="0" applyNumberFormat="1" applyFont="1" applyFill="1" applyBorder="1" applyAlignment="1">
      <alignment horizontal="left" vertical="center"/>
    </xf>
    <xf numFmtId="0" fontId="0" fillId="0" borderId="36" xfId="0" applyFont="1" applyFill="1" applyBorder="1" applyAlignment="1">
      <alignment vertical="center"/>
    </xf>
    <xf numFmtId="0" fontId="0" fillId="0" borderId="0" xfId="0" applyFont="1" applyFill="1" applyBorder="1" applyAlignment="1">
      <alignment horizontal="center" vertical="center"/>
    </xf>
    <xf numFmtId="165" fontId="0" fillId="0" borderId="37" xfId="0" applyNumberFormat="1" applyFont="1" applyFill="1" applyBorder="1" applyAlignment="1">
      <alignment horizontal="left" vertical="center"/>
    </xf>
    <xf numFmtId="165" fontId="0" fillId="28" borderId="0" xfId="0" applyNumberFormat="1" applyFont="1" applyFill="1" applyBorder="1" applyAlignment="1">
      <alignment horizontal="left" vertical="center"/>
    </xf>
    <xf numFmtId="165" fontId="0" fillId="28" borderId="48" xfId="0" applyNumberFormat="1" applyFont="1" applyFill="1" applyBorder="1" applyAlignment="1">
      <alignment horizontal="left" vertical="center"/>
    </xf>
    <xf numFmtId="0" fontId="0" fillId="28" borderId="0" xfId="0" applyFont="1" applyFill="1" applyBorder="1" applyAlignment="1">
      <alignment horizontal="center" vertical="center"/>
    </xf>
    <xf numFmtId="165" fontId="0" fillId="28" borderId="38" xfId="0" applyNumberFormat="1" applyFont="1" applyFill="1" applyBorder="1" applyAlignment="1">
      <alignment horizontal="left" vertical="center"/>
    </xf>
    <xf numFmtId="0" fontId="0" fillId="28" borderId="38" xfId="0" applyFont="1" applyFill="1" applyBorder="1" applyAlignment="1">
      <alignment horizontal="center" vertical="center"/>
    </xf>
    <xf numFmtId="165" fontId="0" fillId="28" borderId="30" xfId="0" applyNumberFormat="1" applyFont="1" applyFill="1" applyBorder="1" applyAlignment="1">
      <alignment horizontal="left" vertical="center"/>
    </xf>
    <xf numFmtId="0" fontId="0" fillId="28" borderId="28" xfId="0" applyFont="1" applyFill="1" applyBorder="1" applyAlignment="1">
      <alignment vertical="center"/>
    </xf>
    <xf numFmtId="165" fontId="0" fillId="28" borderId="55" xfId="0" applyNumberFormat="1" applyFont="1" applyFill="1" applyBorder="1" applyAlignment="1">
      <alignment horizontal="left" vertical="center"/>
    </xf>
    <xf numFmtId="165" fontId="0" fillId="28" borderId="28" xfId="0" applyNumberFormat="1" applyFont="1" applyFill="1" applyBorder="1" applyAlignment="1">
      <alignment horizontal="left" vertical="center"/>
    </xf>
    <xf numFmtId="0" fontId="0" fillId="0" borderId="36" xfId="0" applyFont="1" applyBorder="1" applyAlignment="1">
      <alignment vertical="center"/>
    </xf>
    <xf numFmtId="0" fontId="0" fillId="0" borderId="0" xfId="0" applyFont="1" applyBorder="1" applyAlignment="1">
      <alignment vertical="center"/>
    </xf>
    <xf numFmtId="0" fontId="0" fillId="0" borderId="37" xfId="0" applyFont="1" applyBorder="1" applyAlignment="1">
      <alignment vertical="center"/>
    </xf>
    <xf numFmtId="165" fontId="0" fillId="0" borderId="0" xfId="0" applyNumberFormat="1" applyFont="1" applyAlignment="1">
      <alignment vertical="center"/>
    </xf>
    <xf numFmtId="0" fontId="0" fillId="7" borderId="1" xfId="2" applyFont="1" applyFill="1" applyBorder="1" applyAlignment="1">
      <alignment wrapText="1"/>
    </xf>
    <xf numFmtId="44" fontId="1" fillId="0" borderId="0" xfId="1" applyFont="1" applyAlignment="1">
      <alignment horizontal="left"/>
    </xf>
    <xf numFmtId="9" fontId="0" fillId="0" borderId="0" xfId="0" applyNumberFormat="1" applyAlignment="1">
      <alignment horizontal="left"/>
    </xf>
    <xf numFmtId="0" fontId="4" fillId="2" borderId="33" xfId="0" applyFont="1" applyFill="1" applyBorder="1" applyAlignment="1">
      <alignment horizontal="center" vertical="top" wrapText="1"/>
    </xf>
    <xf numFmtId="0" fontId="4" fillId="2" borderId="34" xfId="0" applyFont="1" applyFill="1" applyBorder="1" applyAlignment="1">
      <alignment horizontal="center" vertical="top" wrapText="1"/>
    </xf>
    <xf numFmtId="0" fontId="4" fillId="2" borderId="35" xfId="0" applyFont="1" applyFill="1" applyBorder="1" applyAlignment="1">
      <alignment horizontal="center" vertical="top" wrapText="1"/>
    </xf>
    <xf numFmtId="0" fontId="4" fillId="2" borderId="36" xfId="0" applyFont="1" applyFill="1" applyBorder="1" applyAlignment="1">
      <alignment horizontal="center" vertical="top" wrapText="1"/>
    </xf>
    <xf numFmtId="0" fontId="4" fillId="2" borderId="0" xfId="0" applyFont="1" applyFill="1" applyBorder="1" applyAlignment="1">
      <alignment horizontal="center" vertical="top" wrapText="1"/>
    </xf>
    <xf numFmtId="0" fontId="4" fillId="2" borderId="37" xfId="0" applyFont="1" applyFill="1" applyBorder="1" applyAlignment="1">
      <alignment horizontal="center" vertical="top" wrapText="1"/>
    </xf>
    <xf numFmtId="0" fontId="10" fillId="2" borderId="36" xfId="0" applyFont="1" applyFill="1" applyBorder="1" applyAlignment="1">
      <alignment horizontal="left" vertical="center" wrapText="1"/>
    </xf>
    <xf numFmtId="0" fontId="10" fillId="2" borderId="0" xfId="0" applyFont="1" applyFill="1" applyBorder="1" applyAlignment="1">
      <alignment horizontal="left" vertical="center" wrapText="1"/>
    </xf>
    <xf numFmtId="0" fontId="10" fillId="2" borderId="37" xfId="0" applyFont="1" applyFill="1" applyBorder="1" applyAlignment="1">
      <alignment horizontal="left" vertical="center" wrapText="1"/>
    </xf>
    <xf numFmtId="0" fontId="10" fillId="2" borderId="26" xfId="0" applyFont="1" applyFill="1" applyBorder="1" applyAlignment="1">
      <alignment horizontal="left" vertical="center" wrapText="1"/>
    </xf>
    <xf numFmtId="0" fontId="10" fillId="2" borderId="38" xfId="0" applyFont="1" applyFill="1" applyBorder="1" applyAlignment="1">
      <alignment horizontal="left" vertical="center" wrapText="1"/>
    </xf>
    <xf numFmtId="0" fontId="10" fillId="2" borderId="31" xfId="0" applyFont="1" applyFill="1" applyBorder="1" applyAlignment="1">
      <alignment horizontal="left" vertical="center" wrapText="1"/>
    </xf>
    <xf numFmtId="0" fontId="9" fillId="2" borderId="36" xfId="0" applyFont="1" applyFill="1" applyBorder="1" applyAlignment="1">
      <alignment horizontal="center" vertical="top" wrapText="1"/>
    </xf>
    <xf numFmtId="0" fontId="9" fillId="2" borderId="0" xfId="0" applyFont="1" applyFill="1" applyBorder="1" applyAlignment="1">
      <alignment horizontal="center" vertical="top" wrapText="1"/>
    </xf>
    <xf numFmtId="0" fontId="3" fillId="2" borderId="0" xfId="0" applyFont="1" applyFill="1" applyAlignment="1">
      <alignment horizontal="left" wrapText="1" indent="2"/>
    </xf>
    <xf numFmtId="0" fontId="0" fillId="2" borderId="0" xfId="0" applyFill="1" applyAlignment="1">
      <alignment horizontal="left"/>
    </xf>
    <xf numFmtId="0" fontId="0" fillId="2" borderId="0" xfId="0" applyFill="1" applyAlignment="1">
      <alignment horizontal="center"/>
    </xf>
    <xf numFmtId="0" fontId="0" fillId="2" borderId="0" xfId="0" applyFill="1" applyAlignment="1">
      <alignment horizontal="left" wrapText="1" indent="2"/>
    </xf>
    <xf numFmtId="0" fontId="0" fillId="2" borderId="0" xfId="0" applyFill="1" applyAlignment="1">
      <alignment horizontal="left" wrapText="1"/>
    </xf>
    <xf numFmtId="0" fontId="40" fillId="34" borderId="0" xfId="2" applyFont="1" applyFill="1" applyAlignment="1">
      <alignment horizontal="center" vertical="center" wrapText="1"/>
    </xf>
    <xf numFmtId="0" fontId="18" fillId="5" borderId="0" xfId="2" applyFont="1" applyFill="1" applyAlignment="1">
      <alignment horizontal="center"/>
    </xf>
    <xf numFmtId="0" fontId="19" fillId="0" borderId="0" xfId="0" applyFont="1" applyAlignment="1">
      <alignment horizontal="center" vertical="center"/>
    </xf>
    <xf numFmtId="0" fontId="20" fillId="4" borderId="0" xfId="0" applyFont="1" applyFill="1" applyAlignment="1">
      <alignment horizontal="center"/>
    </xf>
    <xf numFmtId="0" fontId="23" fillId="23" borderId="40" xfId="0" applyFont="1" applyFill="1" applyBorder="1" applyAlignment="1">
      <alignment horizontal="left" vertical="top" wrapText="1"/>
    </xf>
    <xf numFmtId="0" fontId="23" fillId="23" borderId="41" xfId="0" applyFont="1" applyFill="1" applyBorder="1" applyAlignment="1">
      <alignment horizontal="left" vertical="top" wrapText="1"/>
    </xf>
    <xf numFmtId="0" fontId="23" fillId="23" borderId="42" xfId="0" applyFont="1" applyFill="1" applyBorder="1" applyAlignment="1">
      <alignment horizontal="left" vertical="top" wrapText="1"/>
    </xf>
    <xf numFmtId="0" fontId="21" fillId="20" borderId="43" xfId="0" applyFont="1" applyFill="1" applyBorder="1" applyAlignment="1">
      <alignment horizontal="left" vertical="top" wrapText="1"/>
    </xf>
    <xf numFmtId="0" fontId="21" fillId="20" borderId="44" xfId="0" applyFont="1" applyFill="1" applyBorder="1" applyAlignment="1">
      <alignment horizontal="left" vertical="top" wrapText="1"/>
    </xf>
    <xf numFmtId="0" fontId="21" fillId="20" borderId="45" xfId="0" applyFont="1" applyFill="1" applyBorder="1" applyAlignment="1">
      <alignment horizontal="left" vertical="top" wrapText="1"/>
    </xf>
    <xf numFmtId="0" fontId="5" fillId="20" borderId="43" xfId="2" applyFill="1" applyBorder="1" applyAlignment="1">
      <alignment horizontal="left" vertical="top" wrapText="1"/>
    </xf>
    <xf numFmtId="0" fontId="5" fillId="20" borderId="44" xfId="2" applyFill="1" applyBorder="1" applyAlignment="1">
      <alignment horizontal="left" vertical="top" wrapText="1"/>
    </xf>
    <xf numFmtId="0" fontId="5" fillId="20" borderId="45" xfId="2" applyFill="1" applyBorder="1" applyAlignment="1">
      <alignment horizontal="left" vertical="top" wrapText="1"/>
    </xf>
    <xf numFmtId="0" fontId="21" fillId="20" borderId="43" xfId="0" applyFont="1" applyFill="1" applyBorder="1" applyAlignment="1">
      <alignment horizontal="center" vertical="top" wrapText="1"/>
    </xf>
    <xf numFmtId="0" fontId="21" fillId="20" borderId="44" xfId="0" applyFont="1" applyFill="1" applyBorder="1" applyAlignment="1">
      <alignment horizontal="center" vertical="top" wrapText="1"/>
    </xf>
    <xf numFmtId="0" fontId="21" fillId="20" borderId="45" xfId="0" applyFont="1" applyFill="1" applyBorder="1" applyAlignment="1">
      <alignment horizontal="center" vertical="top" wrapText="1"/>
    </xf>
    <xf numFmtId="0" fontId="3" fillId="20" borderId="46" xfId="0" applyFont="1" applyFill="1" applyBorder="1" applyAlignment="1">
      <alignment horizontal="center" wrapText="1"/>
    </xf>
    <xf numFmtId="0" fontId="43" fillId="34" borderId="0" xfId="2" applyFont="1" applyFill="1" applyAlignment="1">
      <alignment horizontal="center" wrapText="1"/>
    </xf>
    <xf numFmtId="0" fontId="2" fillId="4" borderId="0" xfId="0" applyFont="1" applyFill="1" applyAlignment="1">
      <alignment horizontal="center" wrapText="1"/>
    </xf>
    <xf numFmtId="0" fontId="26" fillId="4" borderId="0" xfId="0" applyFont="1" applyFill="1" applyAlignment="1">
      <alignment horizontal="center"/>
    </xf>
    <xf numFmtId="0" fontId="30" fillId="4" borderId="0" xfId="0" applyFont="1" applyFill="1" applyAlignment="1">
      <alignment horizontal="center"/>
    </xf>
    <xf numFmtId="0" fontId="18" fillId="5" borderId="0" xfId="2" applyFont="1" applyFill="1" applyAlignment="1">
      <alignment horizontal="center" wrapText="1"/>
    </xf>
    <xf numFmtId="0" fontId="44" fillId="17" borderId="0" xfId="2" applyFont="1" applyFill="1" applyAlignment="1">
      <alignment horizontal="center" vertical="center" wrapText="1"/>
    </xf>
    <xf numFmtId="0" fontId="18" fillId="34" borderId="0" xfId="2" applyFont="1" applyFill="1" applyAlignment="1">
      <alignment horizontal="center" wrapText="1"/>
    </xf>
    <xf numFmtId="0" fontId="19" fillId="34" borderId="0" xfId="0" applyFont="1" applyFill="1" applyAlignment="1">
      <alignment horizontal="left" vertical="center"/>
    </xf>
    <xf numFmtId="0" fontId="42" fillId="21" borderId="33" xfId="2" applyFont="1" applyFill="1" applyBorder="1" applyAlignment="1">
      <alignment horizontal="center" vertical="center" wrapText="1"/>
    </xf>
    <xf numFmtId="0" fontId="42" fillId="21" borderId="35" xfId="2" applyFont="1" applyFill="1" applyBorder="1" applyAlignment="1">
      <alignment horizontal="center" vertical="center" wrapText="1"/>
    </xf>
    <xf numFmtId="0" fontId="42" fillId="21" borderId="36" xfId="2" applyFont="1" applyFill="1" applyBorder="1" applyAlignment="1">
      <alignment horizontal="center" vertical="center" wrapText="1"/>
    </xf>
    <xf numFmtId="0" fontId="42" fillId="21" borderId="37" xfId="2" applyFont="1" applyFill="1" applyBorder="1" applyAlignment="1">
      <alignment horizontal="center" vertical="center" wrapText="1"/>
    </xf>
    <xf numFmtId="0" fontId="42" fillId="21" borderId="26" xfId="2" applyFont="1" applyFill="1" applyBorder="1" applyAlignment="1">
      <alignment horizontal="center" vertical="center" wrapText="1"/>
    </xf>
    <xf numFmtId="0" fontId="42" fillId="21" borderId="31" xfId="2" applyFont="1" applyFill="1" applyBorder="1" applyAlignment="1">
      <alignment horizontal="center" vertical="center" wrapText="1"/>
    </xf>
    <xf numFmtId="0" fontId="42" fillId="6" borderId="33" xfId="2" applyFont="1" applyFill="1" applyBorder="1" applyAlignment="1">
      <alignment horizontal="center" vertical="center" wrapText="1"/>
    </xf>
    <xf numFmtId="0" fontId="42" fillId="6" borderId="35" xfId="2" applyFont="1" applyFill="1" applyBorder="1" applyAlignment="1">
      <alignment horizontal="center" vertical="center" wrapText="1"/>
    </xf>
    <xf numFmtId="0" fontId="42" fillId="6" borderId="36" xfId="2" applyFont="1" applyFill="1" applyBorder="1" applyAlignment="1">
      <alignment horizontal="center" vertical="center" wrapText="1"/>
    </xf>
    <xf numFmtId="0" fontId="42" fillId="6" borderId="37" xfId="2" applyFont="1" applyFill="1" applyBorder="1" applyAlignment="1">
      <alignment horizontal="center" vertical="center" wrapText="1"/>
    </xf>
    <xf numFmtId="0" fontId="42" fillId="6" borderId="26" xfId="2" applyFont="1" applyFill="1" applyBorder="1" applyAlignment="1">
      <alignment horizontal="center" vertical="center" wrapText="1"/>
    </xf>
    <xf numFmtId="0" fontId="42" fillId="6" borderId="31" xfId="2" applyFont="1" applyFill="1" applyBorder="1" applyAlignment="1">
      <alignment horizontal="center" vertical="center" wrapText="1"/>
    </xf>
    <xf numFmtId="165" fontId="0" fillId="0" borderId="48" xfId="0" applyNumberFormat="1" applyBorder="1" applyAlignment="1">
      <alignment horizontal="center" vertical="center"/>
    </xf>
    <xf numFmtId="0" fontId="0" fillId="0" borderId="48" xfId="0" applyBorder="1" applyAlignment="1">
      <alignment horizontal="center" vertical="center"/>
    </xf>
    <xf numFmtId="0" fontId="0" fillId="0" borderId="30" xfId="0" applyBorder="1" applyAlignment="1">
      <alignment horizontal="center" vertical="center"/>
    </xf>
    <xf numFmtId="0" fontId="42" fillId="5" borderId="33" xfId="2" applyFont="1" applyFill="1" applyBorder="1" applyAlignment="1">
      <alignment horizontal="center" vertical="center" wrapText="1"/>
    </xf>
    <xf numFmtId="0" fontId="42" fillId="5" borderId="35" xfId="2" applyFont="1" applyFill="1" applyBorder="1" applyAlignment="1">
      <alignment horizontal="center" vertical="center" wrapText="1"/>
    </xf>
    <xf numFmtId="0" fontId="42" fillId="5" borderId="36" xfId="2" applyFont="1" applyFill="1" applyBorder="1" applyAlignment="1">
      <alignment horizontal="center" vertical="center" wrapText="1"/>
    </xf>
    <xf numFmtId="0" fontId="42" fillId="5" borderId="37" xfId="2" applyFont="1" applyFill="1" applyBorder="1" applyAlignment="1">
      <alignment horizontal="center" vertical="center" wrapText="1"/>
    </xf>
    <xf numFmtId="0" fontId="42" fillId="5" borderId="26" xfId="2" applyFont="1" applyFill="1" applyBorder="1" applyAlignment="1">
      <alignment horizontal="center" vertical="center" wrapText="1"/>
    </xf>
    <xf numFmtId="0" fontId="42" fillId="5" borderId="31" xfId="2" applyFont="1" applyFill="1" applyBorder="1" applyAlignment="1">
      <alignment horizontal="center" vertical="center" wrapText="1"/>
    </xf>
    <xf numFmtId="0" fontId="3" fillId="27" borderId="33" xfId="0" applyFont="1" applyFill="1" applyBorder="1" applyAlignment="1">
      <alignment horizontal="center" vertical="center"/>
    </xf>
    <xf numFmtId="0" fontId="3" fillId="27" borderId="34" xfId="0" applyFont="1" applyFill="1" applyBorder="1" applyAlignment="1">
      <alignment horizontal="center" vertical="center"/>
    </xf>
    <xf numFmtId="0" fontId="3" fillId="27" borderId="35" xfId="0" applyFont="1" applyFill="1" applyBorder="1" applyAlignment="1">
      <alignment horizontal="center" vertical="center"/>
    </xf>
    <xf numFmtId="0" fontId="3" fillId="27" borderId="47" xfId="0" applyFont="1" applyFill="1" applyBorder="1" applyAlignment="1">
      <alignment horizontal="center" vertical="center" wrapText="1"/>
    </xf>
    <xf numFmtId="0" fontId="3" fillId="27" borderId="30" xfId="0" applyFont="1" applyFill="1" applyBorder="1" applyAlignment="1">
      <alignment horizontal="center" vertical="center" wrapText="1"/>
    </xf>
    <xf numFmtId="0" fontId="31" fillId="27" borderId="47" xfId="0" applyFont="1" applyFill="1" applyBorder="1" applyAlignment="1">
      <alignment horizontal="center" vertical="center"/>
    </xf>
    <xf numFmtId="0" fontId="31" fillId="27" borderId="48" xfId="0" applyFont="1" applyFill="1" applyBorder="1" applyAlignment="1">
      <alignment horizontal="center" vertical="center"/>
    </xf>
    <xf numFmtId="0" fontId="3" fillId="27" borderId="47" xfId="0" applyFont="1" applyFill="1" applyBorder="1" applyAlignment="1">
      <alignment horizontal="center" vertical="center"/>
    </xf>
    <xf numFmtId="0" fontId="3" fillId="27" borderId="30" xfId="0" applyFont="1" applyFill="1" applyBorder="1" applyAlignment="1">
      <alignment horizontal="center" vertical="center"/>
    </xf>
    <xf numFmtId="0" fontId="31" fillId="27" borderId="33" xfId="0" applyFont="1" applyFill="1" applyBorder="1" applyAlignment="1">
      <alignment horizontal="left" vertical="center" wrapText="1"/>
    </xf>
    <xf numFmtId="0" fontId="31" fillId="27" borderId="35" xfId="0" applyFont="1" applyFill="1" applyBorder="1" applyAlignment="1">
      <alignment horizontal="left" vertical="center" wrapText="1"/>
    </xf>
    <xf numFmtId="0" fontId="31" fillId="27" borderId="26" xfId="0" applyFont="1" applyFill="1" applyBorder="1" applyAlignment="1">
      <alignment horizontal="left" vertical="center" wrapText="1"/>
    </xf>
    <xf numFmtId="0" fontId="31" fillId="27" borderId="31" xfId="0" applyFont="1" applyFill="1" applyBorder="1" applyAlignment="1">
      <alignment horizontal="left" vertical="center" wrapText="1"/>
    </xf>
    <xf numFmtId="0" fontId="3" fillId="27" borderId="54" xfId="0" applyFont="1" applyFill="1" applyBorder="1" applyAlignment="1">
      <alignment horizontal="center" vertical="center"/>
    </xf>
    <xf numFmtId="0" fontId="3" fillId="27" borderId="55" xfId="0" applyFont="1" applyFill="1" applyBorder="1" applyAlignment="1">
      <alignment horizontal="center" vertical="center"/>
    </xf>
    <xf numFmtId="0" fontId="3" fillId="27" borderId="29" xfId="0" applyFont="1" applyFill="1" applyBorder="1" applyAlignment="1">
      <alignment horizontal="center" vertical="center"/>
    </xf>
    <xf numFmtId="0" fontId="3" fillId="31" borderId="54" xfId="0" applyFont="1" applyFill="1" applyBorder="1" applyAlignment="1">
      <alignment horizontal="center" vertical="center"/>
    </xf>
    <xf numFmtId="0" fontId="3" fillId="31" borderId="55" xfId="0" applyFont="1" applyFill="1" applyBorder="1" applyAlignment="1">
      <alignment horizontal="center" vertical="center"/>
    </xf>
    <xf numFmtId="0" fontId="3" fillId="31" borderId="29" xfId="0" applyFont="1" applyFill="1" applyBorder="1" applyAlignment="1">
      <alignment horizontal="center" vertical="center"/>
    </xf>
    <xf numFmtId="0" fontId="33" fillId="31" borderId="33" xfId="0" applyFont="1" applyFill="1" applyBorder="1" applyAlignment="1">
      <alignment horizontal="left" vertical="center" wrapText="1"/>
    </xf>
    <xf numFmtId="0" fontId="33" fillId="31" borderId="35" xfId="0" applyFont="1" applyFill="1" applyBorder="1" applyAlignment="1">
      <alignment horizontal="left" vertical="center" wrapText="1"/>
    </xf>
    <xf numFmtId="0" fontId="0" fillId="24" borderId="33" xfId="0" applyFont="1" applyFill="1" applyBorder="1" applyAlignment="1">
      <alignment horizontal="center" vertical="center"/>
    </xf>
    <xf numFmtId="0" fontId="0" fillId="24" borderId="34" xfId="0" applyFont="1" applyFill="1" applyBorder="1" applyAlignment="1">
      <alignment horizontal="center" vertical="center"/>
    </xf>
    <xf numFmtId="0" fontId="0" fillId="25" borderId="36" xfId="0" applyFont="1" applyFill="1" applyBorder="1" applyAlignment="1">
      <alignment horizontal="center" vertical="center"/>
    </xf>
    <xf numFmtId="0" fontId="0" fillId="25" borderId="0" xfId="0" applyFont="1" applyFill="1" applyBorder="1" applyAlignment="1">
      <alignment horizontal="center" vertical="center"/>
    </xf>
    <xf numFmtId="0" fontId="37" fillId="27" borderId="33" xfId="0" applyFont="1" applyFill="1" applyBorder="1" applyAlignment="1">
      <alignment horizontal="center" vertical="center"/>
    </xf>
    <xf numFmtId="0" fontId="37" fillId="27" borderId="34" xfId="0" applyFont="1" applyFill="1" applyBorder="1" applyAlignment="1">
      <alignment horizontal="center" vertical="center"/>
    </xf>
    <xf numFmtId="0" fontId="37" fillId="27" borderId="35" xfId="0" applyFont="1" applyFill="1" applyBorder="1" applyAlignment="1">
      <alignment horizontal="center" vertical="center"/>
    </xf>
    <xf numFmtId="0" fontId="0" fillId="26" borderId="36" xfId="0" applyFont="1" applyFill="1" applyBorder="1" applyAlignment="1">
      <alignment horizontal="center" vertical="center"/>
    </xf>
    <xf numFmtId="0" fontId="0" fillId="26" borderId="0" xfId="0" applyFont="1" applyFill="1" applyAlignment="1">
      <alignment horizontal="center" vertical="center"/>
    </xf>
    <xf numFmtId="0" fontId="0" fillId="30" borderId="36" xfId="0" applyFont="1" applyFill="1" applyBorder="1" applyAlignment="1">
      <alignment horizontal="center" vertical="center"/>
    </xf>
    <xf numFmtId="0" fontId="0" fillId="30" borderId="0" xfId="0" applyFont="1" applyFill="1" applyBorder="1" applyAlignment="1">
      <alignment horizontal="center" vertical="center"/>
    </xf>
    <xf numFmtId="0" fontId="0" fillId="30" borderId="26" xfId="0" applyFont="1" applyFill="1" applyBorder="1" applyAlignment="1">
      <alignment horizontal="center" vertical="center"/>
    </xf>
    <xf numFmtId="0" fontId="0" fillId="30" borderId="38" xfId="0" applyFont="1" applyFill="1" applyBorder="1" applyAlignment="1">
      <alignment horizontal="center" vertical="center"/>
    </xf>
    <xf numFmtId="0" fontId="0" fillId="28" borderId="33" xfId="0" applyFont="1" applyFill="1" applyBorder="1" applyAlignment="1">
      <alignment horizontal="center" vertical="center"/>
    </xf>
    <xf numFmtId="0" fontId="0" fillId="28" borderId="34" xfId="0" applyFont="1" applyFill="1" applyBorder="1" applyAlignment="1">
      <alignment horizontal="center" vertical="center"/>
    </xf>
    <xf numFmtId="0" fontId="0" fillId="28" borderId="35" xfId="0" applyFont="1" applyFill="1" applyBorder="1" applyAlignment="1">
      <alignment horizontal="center" vertical="center"/>
    </xf>
    <xf numFmtId="0" fontId="0" fillId="29" borderId="36" xfId="0" applyFont="1" applyFill="1" applyBorder="1" applyAlignment="1">
      <alignment horizontal="center" vertical="center"/>
    </xf>
    <xf numFmtId="0" fontId="0" fillId="29" borderId="0" xfId="0" applyFont="1" applyFill="1" applyBorder="1" applyAlignment="1">
      <alignment horizontal="center" vertical="center"/>
    </xf>
    <xf numFmtId="0" fontId="0" fillId="29" borderId="37" xfId="0" applyFont="1" applyFill="1" applyBorder="1" applyAlignment="1">
      <alignment horizontal="center" vertical="center"/>
    </xf>
    <xf numFmtId="0" fontId="3" fillId="28" borderId="54" xfId="0" applyFont="1" applyFill="1" applyBorder="1" applyAlignment="1">
      <alignment horizontal="center" vertical="center"/>
    </xf>
    <xf numFmtId="0" fontId="3" fillId="28" borderId="55" xfId="0" applyFont="1" applyFill="1" applyBorder="1" applyAlignment="1">
      <alignment horizontal="center" vertical="center"/>
    </xf>
    <xf numFmtId="0" fontId="3" fillId="28" borderId="29" xfId="0" applyFont="1" applyFill="1" applyBorder="1" applyAlignment="1">
      <alignment horizontal="center" vertical="center"/>
    </xf>
    <xf numFmtId="0" fontId="3" fillId="24" borderId="54" xfId="0" applyFont="1" applyFill="1" applyBorder="1" applyAlignment="1">
      <alignment horizontal="center" vertical="center"/>
    </xf>
    <xf numFmtId="0" fontId="3" fillId="24" borderId="55" xfId="0" applyFont="1" applyFill="1" applyBorder="1" applyAlignment="1">
      <alignment horizontal="center" vertical="center"/>
    </xf>
    <xf numFmtId="0" fontId="3" fillId="24" borderId="29" xfId="0" applyFont="1" applyFill="1" applyBorder="1" applyAlignment="1">
      <alignment horizontal="center" vertical="center"/>
    </xf>
    <xf numFmtId="0" fontId="0" fillId="25" borderId="26" xfId="0" applyFont="1" applyFill="1" applyBorder="1" applyAlignment="1">
      <alignment horizontal="center" vertical="center"/>
    </xf>
    <xf numFmtId="0" fontId="0" fillId="25" borderId="38" xfId="0" applyFont="1" applyFill="1" applyBorder="1" applyAlignment="1">
      <alignment horizontal="center" vertical="center"/>
    </xf>
    <xf numFmtId="0" fontId="3" fillId="26" borderId="54" xfId="0" applyFont="1" applyFill="1" applyBorder="1" applyAlignment="1">
      <alignment horizontal="center" vertical="center"/>
    </xf>
    <xf numFmtId="0" fontId="3" fillId="26" borderId="55" xfId="0" applyFont="1" applyFill="1" applyBorder="1" applyAlignment="1">
      <alignment horizontal="center" vertical="center"/>
    </xf>
    <xf numFmtId="0" fontId="3" fillId="26" borderId="29" xfId="0" applyFont="1" applyFill="1" applyBorder="1" applyAlignment="1">
      <alignment horizontal="center" vertical="center"/>
    </xf>
    <xf numFmtId="0" fontId="0" fillId="10" borderId="0" xfId="0" applyFill="1" applyAlignment="1">
      <alignment horizontal="center" wrapText="1"/>
    </xf>
    <xf numFmtId="0" fontId="2" fillId="4" borderId="0" xfId="0" applyFont="1" applyFill="1" applyAlignment="1">
      <alignment horizontal="left"/>
    </xf>
    <xf numFmtId="0" fontId="48" fillId="0" borderId="0" xfId="0" applyFont="1" applyAlignment="1">
      <alignment horizontal="left" vertical="center" wrapText="1"/>
    </xf>
    <xf numFmtId="0" fontId="3" fillId="6" borderId="51" xfId="0" applyFont="1" applyFill="1" applyBorder="1" applyAlignment="1">
      <alignment horizontal="center"/>
    </xf>
    <xf numFmtId="0" fontId="3" fillId="6" borderId="52" xfId="0" applyFont="1" applyFill="1" applyBorder="1" applyAlignment="1">
      <alignment horizontal="center"/>
    </xf>
    <xf numFmtId="0" fontId="0" fillId="0" borderId="3" xfId="0" applyBorder="1" applyAlignment="1">
      <alignment horizontal="left" wrapText="1"/>
    </xf>
    <xf numFmtId="0" fontId="0" fillId="0" borderId="27" xfId="0" applyBorder="1" applyAlignment="1">
      <alignment horizontal="left" wrapText="1"/>
    </xf>
    <xf numFmtId="0" fontId="0" fillId="0" borderId="12" xfId="0" applyBorder="1" applyAlignment="1">
      <alignment horizontal="left" wrapText="1"/>
    </xf>
    <xf numFmtId="0" fontId="0" fillId="0" borderId="53" xfId="0" applyBorder="1" applyAlignment="1">
      <alignment horizontal="left" wrapText="1"/>
    </xf>
    <xf numFmtId="0" fontId="0" fillId="6" borderId="9" xfId="0" applyFill="1" applyBorder="1" applyAlignment="1">
      <alignment horizontal="center"/>
    </xf>
    <xf numFmtId="0" fontId="0" fillId="6" borderId="14" xfId="0" applyFill="1" applyBorder="1" applyAlignment="1">
      <alignment horizontal="center"/>
    </xf>
    <xf numFmtId="0" fontId="0" fillId="6" borderId="47" xfId="0" applyFill="1" applyBorder="1" applyAlignment="1">
      <alignment horizontal="center"/>
    </xf>
    <xf numFmtId="0" fontId="0" fillId="6" borderId="48" xfId="0" applyFill="1" applyBorder="1" applyAlignment="1">
      <alignment horizontal="center"/>
    </xf>
    <xf numFmtId="0" fontId="3" fillId="6" borderId="49" xfId="0" applyFont="1" applyFill="1" applyBorder="1" applyAlignment="1">
      <alignment horizontal="center"/>
    </xf>
    <xf numFmtId="0" fontId="3" fillId="6" borderId="50" xfId="0" applyFont="1" applyFill="1" applyBorder="1" applyAlignment="1">
      <alignment horizontal="center"/>
    </xf>
    <xf numFmtId="0" fontId="3" fillId="0" borderId="54" xfId="0" applyFont="1" applyBorder="1" applyAlignment="1">
      <alignment horizontal="center"/>
    </xf>
    <xf numFmtId="0" fontId="3" fillId="0" borderId="55" xfId="0" applyFont="1" applyBorder="1" applyAlignment="1">
      <alignment horizontal="center"/>
    </xf>
    <xf numFmtId="0" fontId="3" fillId="0" borderId="29" xfId="0" applyFont="1" applyBorder="1" applyAlignment="1">
      <alignment horizontal="center"/>
    </xf>
    <xf numFmtId="0" fontId="0" fillId="0" borderId="25" xfId="0" applyBorder="1" applyAlignment="1">
      <alignment horizontal="center"/>
    </xf>
    <xf numFmtId="0" fontId="0" fillId="0" borderId="0" xfId="0" applyAlignment="1">
      <alignment horizontal="center"/>
    </xf>
    <xf numFmtId="0" fontId="2" fillId="4" borderId="33" xfId="0" applyFont="1" applyFill="1" applyBorder="1" applyAlignment="1">
      <alignment horizontal="center"/>
    </xf>
    <xf numFmtId="0" fontId="2" fillId="4" borderId="34" xfId="0" applyFont="1" applyFill="1" applyBorder="1" applyAlignment="1">
      <alignment horizontal="center"/>
    </xf>
    <xf numFmtId="0" fontId="2" fillId="4" borderId="35" xfId="0" applyFont="1" applyFill="1" applyBorder="1" applyAlignment="1">
      <alignment horizontal="center"/>
    </xf>
    <xf numFmtId="0" fontId="0" fillId="0" borderId="51" xfId="0" applyBorder="1" applyAlignment="1">
      <alignment horizontal="center"/>
    </xf>
    <xf numFmtId="0" fontId="0" fillId="0" borderId="49" xfId="0" applyBorder="1" applyAlignment="1">
      <alignment horizontal="center"/>
    </xf>
    <xf numFmtId="0" fontId="0" fillId="0" borderId="72" xfId="0" applyBorder="1" applyAlignment="1">
      <alignment horizontal="center"/>
    </xf>
    <xf numFmtId="0" fontId="0" fillId="0" borderId="73" xfId="0" applyBorder="1" applyAlignment="1">
      <alignment horizontal="center"/>
    </xf>
    <xf numFmtId="0" fontId="0" fillId="0" borderId="74" xfId="0" applyBorder="1" applyAlignment="1">
      <alignment horizontal="center"/>
    </xf>
    <xf numFmtId="0" fontId="12" fillId="16" borderId="0" xfId="0" applyFont="1" applyFill="1" applyAlignment="1">
      <alignment horizontal="center"/>
    </xf>
    <xf numFmtId="0" fontId="12" fillId="15" borderId="0" xfId="0" applyFont="1" applyFill="1" applyAlignment="1">
      <alignment horizontal="center"/>
    </xf>
    <xf numFmtId="165" fontId="0" fillId="0" borderId="0" xfId="0" applyNumberFormat="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4" xfId="0" applyBorder="1" applyAlignment="1">
      <alignment horizontal="center"/>
    </xf>
    <xf numFmtId="0" fontId="0" fillId="0" borderId="10" xfId="0" applyBorder="1" applyAlignment="1">
      <alignment horizontal="center"/>
    </xf>
    <xf numFmtId="0" fontId="0" fillId="0" borderId="18" xfId="0" applyBorder="1" applyAlignment="1">
      <alignment horizontal="center"/>
    </xf>
    <xf numFmtId="0" fontId="2" fillId="4" borderId="21" xfId="0" applyFont="1" applyFill="1" applyBorder="1" applyAlignment="1">
      <alignment horizontal="center"/>
    </xf>
    <xf numFmtId="0" fontId="2" fillId="4" borderId="22" xfId="0" applyFont="1" applyFill="1" applyBorder="1" applyAlignment="1">
      <alignment horizontal="center"/>
    </xf>
    <xf numFmtId="0" fontId="2" fillId="4" borderId="23" xfId="0" applyFont="1" applyFill="1" applyBorder="1" applyAlignment="1">
      <alignment horizontal="center"/>
    </xf>
  </cellXfs>
  <cellStyles count="6">
    <cellStyle name="Accent5" xfId="5" builtinId="45"/>
    <cellStyle name="Currency" xfId="1" builtinId="4"/>
    <cellStyle name="Hyperlink" xfId="2" builtinId="8"/>
    <cellStyle name="Normal" xfId="0" builtinId="0"/>
    <cellStyle name="Normal 3" xfId="3" xr:uid="{00000000-0005-0000-0000-000004000000}"/>
    <cellStyle name="Percent" xfId="4"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Monthly Cloud Consumption Cost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4.8901921636085852E-2"/>
          <c:y val="9.2358506723309558E-2"/>
          <c:w val="0.93401254118819077"/>
          <c:h val="0.82245222851920574"/>
        </c:manualLayout>
      </c:layout>
      <c:barChart>
        <c:barDir val="col"/>
        <c:grouping val="clustered"/>
        <c:varyColors val="0"/>
        <c:ser>
          <c:idx val="0"/>
          <c:order val="0"/>
          <c:tx>
            <c:strRef>
              <c:f>'Prospective Project Calculation'!$B$49</c:f>
              <c:strCache>
                <c:ptCount val="1"/>
                <c:pt idx="0">
                  <c:v>Cloud Consumption Growth</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'Prospective Project Calculation'!$A$50:$A$84</c:f>
              <c:strCache>
                <c:ptCount val="10"/>
                <c:pt idx="0">
                  <c:v>1</c:v>
                </c:pt>
                <c:pt idx="1">
                  <c:v>2</c:v>
                </c:pt>
                <c:pt idx="2">
                  <c:v>3</c:v>
                </c:pt>
                <c:pt idx="3">
                  <c:v>4</c:v>
                </c:pt>
                <c:pt idx="4">
                  <c:v>5</c:v>
                </c:pt>
                <c:pt idx="5">
                  <c:v>6</c:v>
                </c:pt>
                <c:pt idx="6">
                  <c:v>7</c:v>
                </c:pt>
                <c:pt idx="7">
                  <c:v>8</c:v>
                </c:pt>
                <c:pt idx="8">
                  <c:v>9</c:v>
                </c:pt>
                <c:pt idx="9">
                  <c:v>10</c:v>
                </c:pt>
              </c:strCache>
            </c:strRef>
          </c:cat>
          <c:val>
            <c:numRef>
              <c:f>'Prospective Project Calculation'!$B$50:$B$84</c:f>
              <c:numCache>
                <c:formatCode>_("$"* #,##0.0_);_("$"* \(#,##0.0\);_("$"* "-"??_);_(@_)</c:formatCode>
                <c:ptCount val="35"/>
                <c:pt idx="0">
                  <c:v>2181.5933333333332</c:v>
                </c:pt>
                <c:pt idx="1">
                  <c:v>2308.8328666666671</c:v>
                </c:pt>
                <c:pt idx="2">
                  <c:v>2445.4110753333334</c:v>
                </c:pt>
                <c:pt idx="3">
                  <c:v>2592.1254640866669</c:v>
                </c:pt>
                <c:pt idx="4">
                  <c:v>2749.8476507875334</c:v>
                </c:pt>
                <c:pt idx="5">
                  <c:v>2919.5305417248092</c:v>
                </c:pt>
                <c:pt idx="6">
                  <c:v>3102.216214489983</c:v>
                </c:pt>
                <c:pt idx="7">
                  <c:v>3299.0445787351437</c:v>
                </c:pt>
                <c:pt idx="8">
                  <c:v>3511.2628921581049</c:v>
                </c:pt>
                <c:pt idx="9">
                  <c:v>3740.2362167736246</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numCache>
            </c:numRef>
          </c:val>
          <c:extLst>
            <c:ext xmlns:c16="http://schemas.microsoft.com/office/drawing/2014/chart" uri="{C3380CC4-5D6E-409C-BE32-E72D297353CC}">
              <c16:uniqueId val="{00000000-9D0E-45E8-B7D7-7D34D050274D}"/>
            </c:ext>
          </c:extLst>
        </c:ser>
        <c:dLbls>
          <c:showLegendKey val="0"/>
          <c:showVal val="0"/>
          <c:showCatName val="0"/>
          <c:showSerName val="0"/>
          <c:showPercent val="0"/>
          <c:showBubbleSize val="0"/>
        </c:dLbls>
        <c:gapWidth val="150"/>
        <c:axId val="596797296"/>
        <c:axId val="596793360"/>
      </c:barChart>
      <c:catAx>
        <c:axId val="59679729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6793360"/>
        <c:crosses val="autoZero"/>
        <c:auto val="1"/>
        <c:lblAlgn val="ctr"/>
        <c:lblOffset val="100"/>
        <c:noMultiLvlLbl val="0"/>
      </c:catAx>
      <c:valAx>
        <c:axId val="596793360"/>
        <c:scaling>
          <c:orientation val="minMax"/>
        </c:scaling>
        <c:delete val="0"/>
        <c:axPos val="l"/>
        <c:majorGridlines>
          <c:spPr>
            <a:ln w="9525" cap="flat" cmpd="sng" algn="ctr">
              <a:solidFill>
                <a:schemeClr val="lt1">
                  <a:lumMod val="95000"/>
                  <a:alpha val="10000"/>
                </a:schemeClr>
              </a:solidFill>
              <a:round/>
            </a:ln>
            <a:effectLst/>
          </c:spPr>
        </c:majorGridlines>
        <c:numFmt formatCode="_(&quot;$&quot;* #,##0.0_);_(&quot;$&quot;* \(#,##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6797296"/>
        <c:crosses val="autoZero"/>
        <c:crossBetween val="between"/>
      </c:valAx>
      <c:spPr>
        <a:noFill/>
        <a:ln>
          <a:noFill/>
        </a:ln>
        <a:effectLst/>
      </c:spPr>
    </c:plotArea>
    <c:legend>
      <c:legendPos val="b"/>
      <c:layout>
        <c:manualLayout>
          <c:xMode val="edge"/>
          <c:yMode val="edge"/>
          <c:x val="0.74076849756309859"/>
          <c:y val="0.2515182386243564"/>
          <c:w val="0.14291562116760462"/>
          <c:h val="3.394420463137862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Change in Project Costs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tx>
            <c:strRef>
              <c:f>'Active Project'!$O$8</c:f>
              <c:strCache>
                <c:ptCount val="1"/>
                <c:pt idx="0">
                  <c:v>Current Forecast</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'Active Project'!$M$9:$M$13</c:f>
              <c:strCache>
                <c:ptCount val="5"/>
                <c:pt idx="0">
                  <c:v>Enablement Cost</c:v>
                </c:pt>
                <c:pt idx="1">
                  <c:v>Data Costs</c:v>
                </c:pt>
                <c:pt idx="2">
                  <c:v>Analyst Cost</c:v>
                </c:pt>
                <c:pt idx="3">
                  <c:v>Overhead Allocation</c:v>
                </c:pt>
                <c:pt idx="4">
                  <c:v>TOTAL Cost</c:v>
                </c:pt>
              </c:strCache>
            </c:strRef>
          </c:cat>
          <c:val>
            <c:numRef>
              <c:f>'Active Project'!$O$9:$O$13</c:f>
              <c:numCache>
                <c:formatCode>_("$"* #,##0_);_("$"* \(#,##0\);_("$"* "-"??_);_(@_)</c:formatCode>
                <c:ptCount val="5"/>
                <c:pt idx="0">
                  <c:v>0</c:v>
                </c:pt>
                <c:pt idx="1">
                  <c:v>2424.2939337058815</c:v>
                </c:pt>
                <c:pt idx="2">
                  <c:v>0</c:v>
                </c:pt>
                <c:pt idx="3">
                  <c:v>201419.30453333331</c:v>
                </c:pt>
                <c:pt idx="4">
                  <c:v>203843.59846703921</c:v>
                </c:pt>
              </c:numCache>
            </c:numRef>
          </c:val>
          <c:extLst>
            <c:ext xmlns:c16="http://schemas.microsoft.com/office/drawing/2014/chart" uri="{C3380CC4-5D6E-409C-BE32-E72D297353CC}">
              <c16:uniqueId val="{00000000-3FFE-40C7-89D2-3817078A2D2A}"/>
            </c:ext>
          </c:extLst>
        </c:ser>
        <c:ser>
          <c:idx val="1"/>
          <c:order val="1"/>
          <c:tx>
            <c:strRef>
              <c:f>'Active Project'!$P$8</c:f>
              <c:strCache>
                <c:ptCount val="1"/>
                <c:pt idx="0">
                  <c:v>Anticipated</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'Active Project'!$M$9:$M$13</c:f>
              <c:strCache>
                <c:ptCount val="5"/>
                <c:pt idx="0">
                  <c:v>Enablement Cost</c:v>
                </c:pt>
                <c:pt idx="1">
                  <c:v>Data Costs</c:v>
                </c:pt>
                <c:pt idx="2">
                  <c:v>Analyst Cost</c:v>
                </c:pt>
                <c:pt idx="3">
                  <c:v>Overhead Allocation</c:v>
                </c:pt>
                <c:pt idx="4">
                  <c:v>TOTAL Cost</c:v>
                </c:pt>
              </c:strCache>
            </c:strRef>
          </c:cat>
          <c:val>
            <c:numRef>
              <c:f>'Active Project'!$P$9:$P$13</c:f>
              <c:numCache>
                <c:formatCode>_("$"* #,##0_);_("$"* \(#,##0\);_("$"* "-"??_);_(@_)</c:formatCode>
                <c:ptCount val="5"/>
                <c:pt idx="0">
                  <c:v>0</c:v>
                </c:pt>
                <c:pt idx="1">
                  <c:v>118321.1198258994</c:v>
                </c:pt>
                <c:pt idx="2">
                  <c:v>6644.0427007899407</c:v>
                </c:pt>
                <c:pt idx="3">
                  <c:v>240419.30453333328</c:v>
                </c:pt>
                <c:pt idx="4">
                  <c:v>365384.46706002264</c:v>
                </c:pt>
              </c:numCache>
            </c:numRef>
          </c:val>
          <c:extLst>
            <c:ext xmlns:c16="http://schemas.microsoft.com/office/drawing/2014/chart" uri="{C3380CC4-5D6E-409C-BE32-E72D297353CC}">
              <c16:uniqueId val="{00000001-3FFE-40C7-89D2-3817078A2D2A}"/>
            </c:ext>
          </c:extLst>
        </c:ser>
        <c:dLbls>
          <c:dLblPos val="inEnd"/>
          <c:showLegendKey val="0"/>
          <c:showVal val="1"/>
          <c:showCatName val="0"/>
          <c:showSerName val="0"/>
          <c:showPercent val="0"/>
          <c:showBubbleSize val="0"/>
        </c:dLbls>
        <c:gapWidth val="65"/>
        <c:axId val="600144920"/>
        <c:axId val="600145248"/>
      </c:barChart>
      <c:catAx>
        <c:axId val="60014492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00145248"/>
        <c:crosses val="autoZero"/>
        <c:auto val="1"/>
        <c:lblAlgn val="ctr"/>
        <c:lblOffset val="100"/>
        <c:noMultiLvlLbl val="0"/>
      </c:catAx>
      <c:valAx>
        <c:axId val="60014524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_(&quot;$&quot;* #,##0_);_(&quot;$&quot;* \(#,##0\);_(&quot;$&quot;* &quot;-&quot;??_);_(@_)" sourceLinked="1"/>
        <c:majorTickMark val="none"/>
        <c:minorTickMark val="none"/>
        <c:tickLblPos val="nextTo"/>
        <c:crossAx val="600144920"/>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Active Project'!A1"/><Relationship Id="rId2" Type="http://schemas.openxmlformats.org/officeDocument/2006/relationships/hyperlink" Target="#'Prospective Project'!A1"/><Relationship Id="rId1" Type="http://schemas.openxmlformats.org/officeDocument/2006/relationships/hyperlink" Target="#'Sys Admin'!A1"/><Relationship Id="rId6" Type="http://schemas.openxmlformats.org/officeDocument/2006/relationships/hyperlink" Target="#'Cloud Consumption'!A1"/><Relationship Id="rId5" Type="http://schemas.openxmlformats.org/officeDocument/2006/relationships/hyperlink" Target="#'Platform Overhead C '!A1"/><Relationship Id="rId4" Type="http://schemas.openxmlformats.org/officeDocument/2006/relationships/hyperlink" Target="#'Enablement Services '!A1"/></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465379</xdr:colOff>
      <xdr:row>11</xdr:row>
      <xdr:rowOff>9063</xdr:rowOff>
    </xdr:from>
    <xdr:to>
      <xdr:col>8</xdr:col>
      <xdr:colOff>154433</xdr:colOff>
      <xdr:row>14</xdr:row>
      <xdr:rowOff>13608</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000-000002000000}"/>
            </a:ext>
          </a:extLst>
        </xdr:cNvPr>
        <xdr:cNvSpPr>
          <a:spLocks/>
        </xdr:cNvSpPr>
      </xdr:nvSpPr>
      <xdr:spPr>
        <a:xfrm>
          <a:off x="3731093" y="2689670"/>
          <a:ext cx="1648483" cy="1161152"/>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a:t>I am</a:t>
          </a:r>
          <a:r>
            <a:rPr lang="en-US" sz="1100" baseline="0"/>
            <a:t> an administrator for the SDC. </a:t>
          </a:r>
          <a:endParaRPr lang="en-US" sz="1100"/>
        </a:p>
      </xdr:txBody>
    </xdr:sp>
    <xdr:clientData/>
  </xdr:twoCellAnchor>
  <xdr:twoCellAnchor>
    <xdr:from>
      <xdr:col>8</xdr:col>
      <xdr:colOff>410840</xdr:colOff>
      <xdr:row>11</xdr:row>
      <xdr:rowOff>9172</xdr:rowOff>
    </xdr:from>
    <xdr:to>
      <xdr:col>11</xdr:col>
      <xdr:colOff>150577</xdr:colOff>
      <xdr:row>14</xdr:row>
      <xdr:rowOff>24848</xdr:rowOff>
    </xdr:to>
    <xdr:sp macro="" textlink="">
      <xdr:nvSpPr>
        <xdr:cNvPr id="6" name="Rectangle 5">
          <a:hlinkClick xmlns:r="http://schemas.openxmlformats.org/officeDocument/2006/relationships" r:id="rId2"/>
          <a:extLst>
            <a:ext uri="{FF2B5EF4-FFF2-40B4-BE49-F238E27FC236}">
              <a16:creationId xmlns:a16="http://schemas.microsoft.com/office/drawing/2014/main" id="{00000000-0008-0000-0000-000006000000}"/>
            </a:ext>
          </a:extLst>
        </xdr:cNvPr>
        <xdr:cNvSpPr/>
      </xdr:nvSpPr>
      <xdr:spPr>
        <a:xfrm>
          <a:off x="5579188" y="2717585"/>
          <a:ext cx="1677867" cy="1183524"/>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a:t>I</a:t>
          </a:r>
          <a:r>
            <a:rPr lang="en-US" sz="1100" baseline="0"/>
            <a:t> have a project or analyses that might need to use the SDC</a:t>
          </a:r>
          <a:endParaRPr lang="en-US" sz="1100"/>
        </a:p>
      </xdr:txBody>
    </xdr:sp>
    <xdr:clientData/>
  </xdr:twoCellAnchor>
  <xdr:twoCellAnchor>
    <xdr:from>
      <xdr:col>11</xdr:col>
      <xdr:colOff>457170</xdr:colOff>
      <xdr:row>11</xdr:row>
      <xdr:rowOff>9174</xdr:rowOff>
    </xdr:from>
    <xdr:to>
      <xdr:col>14</xdr:col>
      <xdr:colOff>150575</xdr:colOff>
      <xdr:row>14</xdr:row>
      <xdr:rowOff>33130</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00000000-0008-0000-0000-000007000000}"/>
            </a:ext>
          </a:extLst>
        </xdr:cNvPr>
        <xdr:cNvSpPr/>
      </xdr:nvSpPr>
      <xdr:spPr>
        <a:xfrm>
          <a:off x="7563648" y="2717587"/>
          <a:ext cx="1631536" cy="1191804"/>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a:t>I have</a:t>
          </a:r>
          <a:r>
            <a:rPr lang="en-US" sz="1100" baseline="0"/>
            <a:t> an active project in the SDC</a:t>
          </a:r>
          <a:endParaRPr lang="en-US" sz="1100"/>
        </a:p>
      </xdr:txBody>
    </xdr:sp>
    <xdr:clientData/>
  </xdr:twoCellAnchor>
  <xdr:twoCellAnchor>
    <xdr:from>
      <xdr:col>5</xdr:col>
      <xdr:colOff>475439</xdr:colOff>
      <xdr:row>17</xdr:row>
      <xdr:rowOff>0</xdr:rowOff>
    </xdr:from>
    <xdr:to>
      <xdr:col>8</xdr:col>
      <xdr:colOff>170341</xdr:colOff>
      <xdr:row>21</xdr:row>
      <xdr:rowOff>5014</xdr:rowOff>
    </xdr:to>
    <xdr:sp macro="" textlink="">
      <xdr:nvSpPr>
        <xdr:cNvPr id="8" name="Rectangle 7">
          <a:hlinkClick xmlns:r="http://schemas.openxmlformats.org/officeDocument/2006/relationships" r:id="rId4"/>
          <a:extLst>
            <a:ext uri="{FF2B5EF4-FFF2-40B4-BE49-F238E27FC236}">
              <a16:creationId xmlns:a16="http://schemas.microsoft.com/office/drawing/2014/main" id="{00000000-0008-0000-0000-000008000000}"/>
            </a:ext>
          </a:extLst>
        </xdr:cNvPr>
        <xdr:cNvSpPr/>
      </xdr:nvSpPr>
      <xdr:spPr>
        <a:xfrm>
          <a:off x="3708926" y="4406566"/>
          <a:ext cx="1634994" cy="1042737"/>
        </a:xfrm>
        <a:prstGeom prst="rect">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Enablement</a:t>
          </a:r>
          <a:r>
            <a:rPr lang="en-US" sz="1100" baseline="0"/>
            <a:t> Services</a:t>
          </a:r>
          <a:endParaRPr lang="en-US" sz="1100"/>
        </a:p>
      </xdr:txBody>
    </xdr:sp>
    <xdr:clientData/>
  </xdr:twoCellAnchor>
  <xdr:twoCellAnchor>
    <xdr:from>
      <xdr:col>11</xdr:col>
      <xdr:colOff>444686</xdr:colOff>
      <xdr:row>17</xdr:row>
      <xdr:rowOff>11043</xdr:rowOff>
    </xdr:from>
    <xdr:to>
      <xdr:col>14</xdr:col>
      <xdr:colOff>150575</xdr:colOff>
      <xdr:row>21</xdr:row>
      <xdr:rowOff>0</xdr:rowOff>
    </xdr:to>
    <xdr:sp macro="" textlink="">
      <xdr:nvSpPr>
        <xdr:cNvPr id="11" name="Rectangle 10">
          <a:hlinkClick xmlns:r="http://schemas.openxmlformats.org/officeDocument/2006/relationships" r:id="rId5"/>
          <a:extLst>
            <a:ext uri="{FF2B5EF4-FFF2-40B4-BE49-F238E27FC236}">
              <a16:creationId xmlns:a16="http://schemas.microsoft.com/office/drawing/2014/main" id="{00000000-0008-0000-0000-00000B000000}"/>
            </a:ext>
          </a:extLst>
        </xdr:cNvPr>
        <xdr:cNvSpPr/>
      </xdr:nvSpPr>
      <xdr:spPr>
        <a:xfrm>
          <a:off x="7629257" y="4719114"/>
          <a:ext cx="1665318" cy="1009493"/>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Platform Overhead Costs</a:t>
          </a:r>
        </a:p>
      </xdr:txBody>
    </xdr:sp>
    <xdr:clientData/>
  </xdr:twoCellAnchor>
  <xdr:twoCellAnchor>
    <xdr:from>
      <xdr:col>8</xdr:col>
      <xdr:colOff>416874</xdr:colOff>
      <xdr:row>17</xdr:row>
      <xdr:rowOff>0</xdr:rowOff>
    </xdr:from>
    <xdr:to>
      <xdr:col>11</xdr:col>
      <xdr:colOff>150577</xdr:colOff>
      <xdr:row>21</xdr:row>
      <xdr:rowOff>0</xdr:rowOff>
    </xdr:to>
    <xdr:sp macro="" textlink="">
      <xdr:nvSpPr>
        <xdr:cNvPr id="12" name="Rectangle 11">
          <a:hlinkClick xmlns:r="http://schemas.openxmlformats.org/officeDocument/2006/relationships" r:id="rId6"/>
          <a:extLst>
            <a:ext uri="{FF2B5EF4-FFF2-40B4-BE49-F238E27FC236}">
              <a16:creationId xmlns:a16="http://schemas.microsoft.com/office/drawing/2014/main" id="{00000000-0008-0000-0000-00000C000000}"/>
            </a:ext>
          </a:extLst>
        </xdr:cNvPr>
        <xdr:cNvSpPr/>
      </xdr:nvSpPr>
      <xdr:spPr>
        <a:xfrm>
          <a:off x="5642017" y="4708071"/>
          <a:ext cx="1693131" cy="1020536"/>
        </a:xfrm>
        <a:prstGeom prst="rect">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Project </a:t>
          </a:r>
        </a:p>
        <a:p>
          <a:pPr algn="ctr"/>
          <a:r>
            <a:rPr lang="en-US" sz="1100"/>
            <a:t>Cloud</a:t>
          </a:r>
          <a:r>
            <a:rPr lang="en-US" sz="1100" baseline="0"/>
            <a:t> Consumption Cost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xdr:colOff>
      <xdr:row>20</xdr:row>
      <xdr:rowOff>12700</xdr:rowOff>
    </xdr:from>
    <xdr:to>
      <xdr:col>23</xdr:col>
      <xdr:colOff>0</xdr:colOff>
      <xdr:row>37</xdr:row>
      <xdr:rowOff>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942975</xdr:colOff>
          <xdr:row>3</xdr:row>
          <xdr:rowOff>114300</xdr:rowOff>
        </xdr:from>
        <xdr:to>
          <xdr:col>1</xdr:col>
          <xdr:colOff>723900</xdr:colOff>
          <xdr:row>4</xdr:row>
          <xdr:rowOff>371475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600" b="1" i="0" u="none" strike="noStrike" baseline="0">
                  <a:solidFill>
                    <a:srgbClr val="000000"/>
                  </a:solidFill>
                  <a:latin typeface="Calibri"/>
                  <a:cs typeface="Calibri"/>
                </a:rPr>
                <a:t>Print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396875</xdr:colOff>
      <xdr:row>16</xdr:row>
      <xdr:rowOff>111125</xdr:rowOff>
    </xdr:from>
    <xdr:to>
      <xdr:col>18</xdr:col>
      <xdr:colOff>1183822</xdr:colOff>
      <xdr:row>42</xdr:row>
      <xdr:rowOff>142875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800100</xdr:colOff>
          <xdr:row>2</xdr:row>
          <xdr:rowOff>66675</xdr:rowOff>
        </xdr:from>
        <xdr:to>
          <xdr:col>1</xdr:col>
          <xdr:colOff>466725</xdr:colOff>
          <xdr:row>3</xdr:row>
          <xdr:rowOff>409575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600" b="1" i="0" u="none" strike="noStrike" baseline="0">
                  <a:solidFill>
                    <a:srgbClr val="000000"/>
                  </a:solidFill>
                  <a:latin typeface="Calibri"/>
                  <a:cs typeface="Calibri"/>
                </a:rPr>
                <a:t>Print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504825</xdr:colOff>
          <xdr:row>3</xdr:row>
          <xdr:rowOff>76200</xdr:rowOff>
        </xdr:from>
        <xdr:to>
          <xdr:col>1</xdr:col>
          <xdr:colOff>952500</xdr:colOff>
          <xdr:row>4</xdr:row>
          <xdr:rowOff>352425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733425</xdr:colOff>
          <xdr:row>3</xdr:row>
          <xdr:rowOff>0</xdr:rowOff>
        </xdr:from>
        <xdr:to>
          <xdr:col>0</xdr:col>
          <xdr:colOff>1905000</xdr:colOff>
          <xdr:row>6</xdr:row>
          <xdr:rowOff>171450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600" b="1" i="0" u="none" strike="noStrike" baseline="0">
                  <a:solidFill>
                    <a:srgbClr val="000000"/>
                  </a:solidFill>
                  <a:latin typeface="Calibri"/>
                  <a:cs typeface="Calibri"/>
                </a:rPr>
                <a:t>Print Results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https://securedatacommons.atlassian.net/wiki/spaces/SD/pages/96632933/Working+Copy+Enablement+Services+Program+Offering+DRAFT" TargetMode="External"/><Relationship Id="rId3" Type="http://schemas.openxmlformats.org/officeDocument/2006/relationships/hyperlink" Target="https://securedatacommons.atlassian.net/wiki/spaces/SD/pages/96632933/Working+Copy+Enablement+Services+Program+Offering+DRAFT" TargetMode="External"/><Relationship Id="rId7" Type="http://schemas.openxmlformats.org/officeDocument/2006/relationships/hyperlink" Target="https://securedatacommons.atlassian.net/wiki/spaces/SD/pages/96632933/Working+Copy+Enablement+Services+Program+Offering+DRAFT" TargetMode="External"/><Relationship Id="rId2" Type="http://schemas.openxmlformats.org/officeDocument/2006/relationships/hyperlink" Target="https://securedatacommons.atlassian.net/wiki/spaces/SD/pages/96632933/Working+Copy+Enablement+Services+Program+Offering+DRAFT" TargetMode="External"/><Relationship Id="rId1" Type="http://schemas.openxmlformats.org/officeDocument/2006/relationships/hyperlink" Target="https://securedatacommons.atlassian.net/wiki/spaces/SD/pages/96632933/Working+Copy+Enablement+Services+Program+Offering+DRAFT" TargetMode="External"/><Relationship Id="rId6" Type="http://schemas.openxmlformats.org/officeDocument/2006/relationships/hyperlink" Target="https://securedatacommons.atlassian.net/wiki/spaces/SD/pages/96632933/Working+Copy+Enablement+Services+Program+Offering+DRAFT" TargetMode="External"/><Relationship Id="rId5" Type="http://schemas.openxmlformats.org/officeDocument/2006/relationships/hyperlink" Target="https://securedatacommons.atlassian.net/wiki/spaces/SD/pages/96632933/Working+Copy+Enablement+Services+Program+Offering+DRAFT" TargetMode="External"/><Relationship Id="rId10" Type="http://schemas.openxmlformats.org/officeDocument/2006/relationships/hyperlink" Target="https://securedatacommons.atlassian.net/wiki/spaces/SD/pages/96632933/Working+Copy+Enablement+Services+Program+Offering+DRAFT" TargetMode="External"/><Relationship Id="rId4" Type="http://schemas.openxmlformats.org/officeDocument/2006/relationships/hyperlink" Target="https://securedatacommons.atlassian.net/wiki/spaces/SD/pages/96632933/Working+Copy+Enablement+Services+Program+Offering+DRAFT" TargetMode="External"/><Relationship Id="rId9" Type="http://schemas.openxmlformats.org/officeDocument/2006/relationships/hyperlink" Target="https://securedatacommons.atlassian.net/wiki/spaces/SD/pages/96632933/Working+Copy+Enablement+Services+Program+Offering+DRAFT"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0"/>
  <sheetViews>
    <sheetView tabSelected="1" zoomScale="55" zoomScaleNormal="55" workbookViewId="0">
      <selection activeCell="R4" sqref="R4"/>
    </sheetView>
  </sheetViews>
  <sheetFormatPr defaultRowHeight="14.25"/>
  <sheetData>
    <row r="1" spans="1:20" ht="14.65" thickBot="1">
      <c r="A1" s="1"/>
      <c r="B1" s="1"/>
      <c r="C1" s="1"/>
      <c r="D1" s="1"/>
      <c r="E1" s="1"/>
      <c r="F1" s="1"/>
      <c r="G1" s="1"/>
      <c r="H1" s="1"/>
      <c r="I1" s="1"/>
      <c r="J1" s="1"/>
      <c r="K1" s="1"/>
      <c r="L1" s="1"/>
      <c r="M1" s="1"/>
      <c r="N1" s="1"/>
      <c r="O1" s="1"/>
      <c r="P1" s="1"/>
      <c r="Q1" s="1"/>
      <c r="R1" s="1"/>
      <c r="S1" s="1"/>
      <c r="T1" s="1"/>
    </row>
    <row r="2" spans="1:20" ht="36" customHeight="1">
      <c r="A2" s="1"/>
      <c r="B2" s="689" t="s">
        <v>648</v>
      </c>
      <c r="C2" s="690"/>
      <c r="D2" s="690"/>
      <c r="E2" s="690"/>
      <c r="F2" s="690"/>
      <c r="G2" s="690"/>
      <c r="H2" s="690"/>
      <c r="I2" s="690"/>
      <c r="J2" s="690"/>
      <c r="K2" s="690"/>
      <c r="L2" s="690"/>
      <c r="M2" s="690"/>
      <c r="N2" s="690"/>
      <c r="O2" s="690"/>
      <c r="P2" s="690"/>
      <c r="Q2" s="691"/>
      <c r="R2" s="1"/>
      <c r="S2" s="1"/>
      <c r="T2" s="1"/>
    </row>
    <row r="3" spans="1:20" ht="46.5" customHeight="1">
      <c r="A3" s="1"/>
      <c r="B3" s="692"/>
      <c r="C3" s="693"/>
      <c r="D3" s="693"/>
      <c r="E3" s="693"/>
      <c r="F3" s="693"/>
      <c r="G3" s="693"/>
      <c r="H3" s="693"/>
      <c r="I3" s="693"/>
      <c r="J3" s="693"/>
      <c r="K3" s="693"/>
      <c r="L3" s="693"/>
      <c r="M3" s="693"/>
      <c r="N3" s="693"/>
      <c r="O3" s="693"/>
      <c r="P3" s="693"/>
      <c r="Q3" s="694"/>
      <c r="R3" s="1"/>
      <c r="S3" s="1"/>
      <c r="T3" s="1"/>
    </row>
    <row r="4" spans="1:20">
      <c r="A4" s="1"/>
      <c r="B4" s="695" t="s">
        <v>644</v>
      </c>
      <c r="C4" s="696"/>
      <c r="D4" s="696"/>
      <c r="E4" s="696"/>
      <c r="F4" s="696"/>
      <c r="G4" s="696"/>
      <c r="H4" s="696"/>
      <c r="I4" s="696"/>
      <c r="J4" s="696"/>
      <c r="K4" s="696"/>
      <c r="L4" s="696"/>
      <c r="M4" s="696"/>
      <c r="N4" s="696"/>
      <c r="O4" s="696"/>
      <c r="P4" s="696"/>
      <c r="Q4" s="697"/>
      <c r="R4" s="1"/>
      <c r="S4" s="1"/>
      <c r="T4" s="1"/>
    </row>
    <row r="5" spans="1:20">
      <c r="A5" s="1"/>
      <c r="B5" s="695"/>
      <c r="C5" s="696"/>
      <c r="D5" s="696"/>
      <c r="E5" s="696"/>
      <c r="F5" s="696"/>
      <c r="G5" s="696"/>
      <c r="H5" s="696"/>
      <c r="I5" s="696"/>
      <c r="J5" s="696"/>
      <c r="K5" s="696"/>
      <c r="L5" s="696"/>
      <c r="M5" s="696"/>
      <c r="N5" s="696"/>
      <c r="O5" s="696"/>
      <c r="P5" s="696"/>
      <c r="Q5" s="697"/>
      <c r="R5" s="1"/>
      <c r="S5" s="1"/>
      <c r="T5" s="1"/>
    </row>
    <row r="6" spans="1:20">
      <c r="A6" s="1"/>
      <c r="B6" s="695"/>
      <c r="C6" s="696"/>
      <c r="D6" s="696"/>
      <c r="E6" s="696"/>
      <c r="F6" s="696"/>
      <c r="G6" s="696"/>
      <c r="H6" s="696"/>
      <c r="I6" s="696"/>
      <c r="J6" s="696"/>
      <c r="K6" s="696"/>
      <c r="L6" s="696"/>
      <c r="M6" s="696"/>
      <c r="N6" s="696"/>
      <c r="O6" s="696"/>
      <c r="P6" s="696"/>
      <c r="Q6" s="697"/>
      <c r="R6" s="1"/>
      <c r="S6" s="1"/>
      <c r="T6" s="1"/>
    </row>
    <row r="7" spans="1:20" ht="14.65" thickBot="1">
      <c r="A7" s="1"/>
      <c r="B7" s="698"/>
      <c r="C7" s="699"/>
      <c r="D7" s="699"/>
      <c r="E7" s="699"/>
      <c r="F7" s="699"/>
      <c r="G7" s="699"/>
      <c r="H7" s="699"/>
      <c r="I7" s="699"/>
      <c r="J7" s="699"/>
      <c r="K7" s="699"/>
      <c r="L7" s="699"/>
      <c r="M7" s="699"/>
      <c r="N7" s="699"/>
      <c r="O7" s="699"/>
      <c r="P7" s="699"/>
      <c r="Q7" s="700"/>
      <c r="R7" s="1"/>
      <c r="S7" s="1"/>
      <c r="T7" s="1"/>
    </row>
    <row r="8" spans="1:20">
      <c r="A8" s="1"/>
      <c r="B8" s="1"/>
      <c r="C8" s="1"/>
      <c r="D8" s="1"/>
      <c r="E8" s="1"/>
      <c r="F8" s="1"/>
      <c r="G8" s="1"/>
      <c r="H8" s="1"/>
      <c r="I8" s="1"/>
      <c r="J8" s="1"/>
      <c r="K8" s="1"/>
      <c r="L8" s="1"/>
      <c r="M8" s="1"/>
      <c r="N8" s="1"/>
      <c r="O8" s="1"/>
      <c r="P8" s="1"/>
      <c r="Q8" s="1"/>
      <c r="R8" s="1"/>
      <c r="S8" s="1"/>
      <c r="T8" s="1"/>
    </row>
    <row r="9" spans="1:20">
      <c r="A9" s="1"/>
      <c r="B9" s="1"/>
      <c r="C9" s="1"/>
      <c r="D9" s="1"/>
      <c r="E9" s="1"/>
      <c r="F9" s="1"/>
      <c r="G9" s="1"/>
      <c r="H9" s="1"/>
      <c r="I9" s="1"/>
      <c r="J9" s="1"/>
      <c r="K9" s="1"/>
      <c r="L9" s="1"/>
      <c r="M9" s="1"/>
      <c r="N9" s="1"/>
      <c r="O9" s="1"/>
      <c r="P9" s="1"/>
      <c r="Q9" s="1"/>
      <c r="R9" s="1"/>
      <c r="S9" s="1"/>
      <c r="T9" s="1"/>
    </row>
    <row r="10" spans="1:20" ht="14.65" thickBot="1">
      <c r="A10" s="1"/>
      <c r="C10" s="1"/>
      <c r="D10" s="1"/>
      <c r="E10" s="1"/>
      <c r="F10" s="1"/>
      <c r="G10" s="1"/>
      <c r="H10" s="1"/>
      <c r="I10" s="1"/>
      <c r="J10" s="1"/>
      <c r="K10" s="1"/>
      <c r="L10" s="1"/>
      <c r="M10" s="1"/>
      <c r="N10" s="1"/>
      <c r="O10" s="1"/>
      <c r="P10" s="1"/>
      <c r="Q10" s="1"/>
      <c r="R10" s="1"/>
      <c r="S10" s="1"/>
      <c r="T10" s="1"/>
    </row>
    <row r="11" spans="1:20">
      <c r="A11" s="42"/>
      <c r="B11" s="613"/>
      <c r="C11" s="614"/>
      <c r="D11" s="614"/>
      <c r="E11" s="614"/>
      <c r="F11" s="614"/>
      <c r="G11" s="614"/>
      <c r="H11" s="614"/>
      <c r="I11" s="614"/>
      <c r="J11" s="614"/>
      <c r="K11" s="614"/>
      <c r="L11" s="614"/>
      <c r="M11" s="614"/>
      <c r="N11" s="614"/>
      <c r="O11" s="614"/>
      <c r="P11" s="614"/>
      <c r="Q11" s="615"/>
      <c r="R11" s="1"/>
      <c r="S11" s="1"/>
      <c r="T11" s="1"/>
    </row>
    <row r="12" spans="1:20">
      <c r="A12" s="42"/>
      <c r="B12" s="616"/>
      <c r="C12" s="42"/>
      <c r="D12" s="42"/>
      <c r="E12" s="42"/>
      <c r="F12" s="42"/>
      <c r="G12" s="42"/>
      <c r="H12" s="42"/>
      <c r="I12" s="42"/>
      <c r="J12" s="42"/>
      <c r="K12" s="42"/>
      <c r="L12" s="42"/>
      <c r="M12" s="42"/>
      <c r="N12" s="42"/>
      <c r="O12" s="42"/>
      <c r="P12" s="42"/>
      <c r="Q12" s="617"/>
      <c r="R12" s="1"/>
      <c r="S12" s="1"/>
      <c r="T12" s="1"/>
    </row>
    <row r="13" spans="1:20">
      <c r="A13" s="42"/>
      <c r="B13" s="616"/>
      <c r="C13" s="42"/>
      <c r="D13" s="42"/>
      <c r="E13" s="42"/>
      <c r="F13" s="42"/>
      <c r="G13" s="42"/>
      <c r="H13" s="42"/>
      <c r="I13" s="42"/>
      <c r="J13" s="42"/>
      <c r="K13" s="42"/>
      <c r="L13" s="42"/>
      <c r="M13" s="42"/>
      <c r="N13" s="42"/>
      <c r="O13" s="42"/>
      <c r="P13" s="42"/>
      <c r="Q13" s="617"/>
      <c r="R13" s="1"/>
      <c r="S13" s="1"/>
      <c r="T13" s="1"/>
    </row>
    <row r="14" spans="1:20" ht="63" customHeight="1">
      <c r="A14" s="42"/>
      <c r="B14" s="701" t="s">
        <v>0</v>
      </c>
      <c r="C14" s="702"/>
      <c r="D14" s="702"/>
      <c r="E14" s="702"/>
      <c r="F14" s="42"/>
      <c r="G14" s="42"/>
      <c r="H14" s="42"/>
      <c r="I14" s="42"/>
      <c r="J14" s="42"/>
      <c r="K14" s="42"/>
      <c r="L14" s="42"/>
      <c r="M14" s="42"/>
      <c r="N14" s="42"/>
      <c r="O14" s="42"/>
      <c r="P14" s="42"/>
      <c r="Q14" s="617"/>
      <c r="R14" s="1"/>
      <c r="S14" s="1"/>
      <c r="T14" s="1"/>
    </row>
    <row r="15" spans="1:20">
      <c r="A15" s="42"/>
      <c r="B15" s="616"/>
      <c r="C15" s="42"/>
      <c r="D15" s="42"/>
      <c r="E15" s="42"/>
      <c r="F15" s="42"/>
      <c r="G15" s="42"/>
      <c r="H15" s="42"/>
      <c r="I15" s="42"/>
      <c r="J15" s="42"/>
      <c r="K15" s="42"/>
      <c r="L15" s="42"/>
      <c r="M15" s="42"/>
      <c r="N15" s="42"/>
      <c r="O15" s="42"/>
      <c r="P15" s="42"/>
      <c r="Q15" s="617"/>
      <c r="R15" s="1"/>
      <c r="S15" s="1"/>
      <c r="T15" s="1"/>
    </row>
    <row r="16" spans="1:20">
      <c r="A16" s="1"/>
      <c r="B16" s="383"/>
      <c r="C16" s="42"/>
      <c r="D16" s="42"/>
      <c r="E16" s="42"/>
      <c r="F16" s="42"/>
      <c r="G16" s="42"/>
      <c r="H16" s="42"/>
      <c r="I16" s="42"/>
      <c r="J16" s="42"/>
      <c r="K16" s="42"/>
      <c r="L16" s="42"/>
      <c r="M16" s="42"/>
      <c r="N16" s="42"/>
      <c r="O16" s="42"/>
      <c r="P16" s="42"/>
      <c r="Q16" s="617"/>
      <c r="R16" s="1"/>
      <c r="S16" s="1"/>
      <c r="T16" s="1"/>
    </row>
    <row r="17" spans="1:20">
      <c r="A17" s="1"/>
      <c r="B17" s="616"/>
      <c r="C17" s="42"/>
      <c r="D17" s="42"/>
      <c r="E17" s="42"/>
      <c r="F17" s="42"/>
      <c r="G17" s="42"/>
      <c r="H17" s="42"/>
      <c r="I17" s="42"/>
      <c r="J17" s="42"/>
      <c r="K17" s="42"/>
      <c r="L17" s="42"/>
      <c r="M17" s="42"/>
      <c r="N17" s="42"/>
      <c r="O17" s="42"/>
      <c r="P17" s="42"/>
      <c r="Q17" s="617"/>
      <c r="R17" s="1"/>
      <c r="S17" s="1"/>
      <c r="T17" s="1"/>
    </row>
    <row r="18" spans="1:20">
      <c r="A18" s="1"/>
      <c r="B18" s="616"/>
      <c r="C18" s="42"/>
      <c r="D18" s="42"/>
      <c r="E18" s="42"/>
      <c r="F18" s="42"/>
      <c r="G18" s="42"/>
      <c r="H18" s="42"/>
      <c r="I18" s="42"/>
      <c r="J18" s="42"/>
      <c r="K18" s="42"/>
      <c r="L18" s="42"/>
      <c r="M18" s="42"/>
      <c r="N18" s="42"/>
      <c r="O18" s="42"/>
      <c r="P18" s="42"/>
      <c r="Q18" s="617"/>
      <c r="R18" s="1"/>
      <c r="S18" s="1"/>
      <c r="T18" s="1"/>
    </row>
    <row r="19" spans="1:20" ht="39" customHeight="1">
      <c r="A19" s="1"/>
      <c r="B19" s="701" t="s">
        <v>65</v>
      </c>
      <c r="C19" s="702"/>
      <c r="D19" s="702"/>
      <c r="E19" s="702"/>
      <c r="F19" s="42"/>
      <c r="G19" s="42"/>
      <c r="H19" s="42"/>
      <c r="I19" s="42"/>
      <c r="J19" s="42"/>
      <c r="K19" s="42"/>
      <c r="L19" s="42"/>
      <c r="M19" s="42"/>
      <c r="N19" s="42"/>
      <c r="O19" s="42"/>
      <c r="P19" s="42"/>
      <c r="Q19" s="617"/>
      <c r="R19" s="1"/>
      <c r="S19" s="1"/>
      <c r="T19" s="1"/>
    </row>
    <row r="20" spans="1:20">
      <c r="A20" s="1"/>
      <c r="B20" s="383"/>
      <c r="C20" s="42"/>
      <c r="D20" s="42"/>
      <c r="E20" s="42"/>
      <c r="F20" s="42"/>
      <c r="G20" s="42"/>
      <c r="H20" s="42"/>
      <c r="I20" s="42"/>
      <c r="J20" s="42"/>
      <c r="K20" s="42"/>
      <c r="L20" s="42"/>
      <c r="M20" s="42"/>
      <c r="N20" s="42"/>
      <c r="O20" s="42"/>
      <c r="P20" s="42"/>
      <c r="Q20" s="617"/>
      <c r="R20" s="1"/>
      <c r="S20" s="1"/>
      <c r="T20" s="1"/>
    </row>
    <row r="21" spans="1:20">
      <c r="A21" s="1"/>
      <c r="B21" s="616"/>
      <c r="C21" s="42"/>
      <c r="D21" s="42"/>
      <c r="E21" s="42"/>
      <c r="F21" s="42"/>
      <c r="G21" s="42"/>
      <c r="H21" s="42"/>
      <c r="I21" s="42"/>
      <c r="J21" s="42"/>
      <c r="K21" s="42"/>
      <c r="L21" s="42"/>
      <c r="M21" s="42"/>
      <c r="N21" s="42"/>
      <c r="O21" s="42"/>
      <c r="P21" s="42"/>
      <c r="Q21" s="617"/>
      <c r="R21" s="1"/>
      <c r="S21" s="1"/>
      <c r="T21" s="1"/>
    </row>
    <row r="22" spans="1:20" ht="14.65" thickBot="1">
      <c r="A22" s="1"/>
      <c r="B22" s="618"/>
      <c r="C22" s="504"/>
      <c r="D22" s="504"/>
      <c r="E22" s="504"/>
      <c r="F22" s="504"/>
      <c r="G22" s="504"/>
      <c r="H22" s="504"/>
      <c r="I22" s="504"/>
      <c r="J22" s="504"/>
      <c r="K22" s="504"/>
      <c r="L22" s="504"/>
      <c r="M22" s="504"/>
      <c r="N22" s="504"/>
      <c r="O22" s="504"/>
      <c r="P22" s="504"/>
      <c r="Q22" s="619"/>
      <c r="R22" s="1"/>
      <c r="S22" s="1"/>
      <c r="T22" s="1"/>
    </row>
    <row r="23" spans="1:20">
      <c r="A23" s="1"/>
      <c r="B23" s="42"/>
      <c r="C23" s="42"/>
      <c r="D23" s="42"/>
      <c r="E23" s="42"/>
      <c r="F23" s="42"/>
      <c r="G23" s="42"/>
      <c r="H23" s="42"/>
      <c r="I23" s="42"/>
      <c r="J23" s="42"/>
      <c r="K23" s="42"/>
      <c r="L23" s="42"/>
      <c r="M23" s="42"/>
      <c r="N23" s="42"/>
      <c r="O23" s="42"/>
      <c r="P23" s="42"/>
      <c r="Q23" s="42"/>
      <c r="R23" s="1"/>
      <c r="S23" s="1"/>
      <c r="T23" s="1"/>
    </row>
    <row r="24" spans="1:20">
      <c r="A24" s="1"/>
      <c r="B24" s="42"/>
      <c r="C24" s="42"/>
      <c r="D24" s="42"/>
      <c r="E24" s="42"/>
      <c r="F24" s="42"/>
      <c r="G24" s="42"/>
      <c r="H24" s="42"/>
      <c r="I24" s="42"/>
      <c r="J24" s="42"/>
      <c r="K24" s="42"/>
      <c r="L24" s="42"/>
      <c r="M24" s="42"/>
      <c r="N24" s="42"/>
      <c r="O24" s="42"/>
      <c r="P24" s="42"/>
      <c r="Q24" s="42"/>
      <c r="R24" s="1"/>
      <c r="S24" s="1"/>
      <c r="T24" s="1"/>
    </row>
    <row r="25" spans="1:20">
      <c r="A25" s="1"/>
      <c r="B25" s="42"/>
      <c r="C25" s="42"/>
      <c r="D25" s="42"/>
      <c r="E25" s="42"/>
      <c r="F25" s="42"/>
      <c r="G25" s="42"/>
      <c r="H25" s="42"/>
      <c r="I25" s="42"/>
      <c r="J25" s="42"/>
      <c r="K25" s="42"/>
      <c r="L25" s="42"/>
      <c r="M25" s="42"/>
      <c r="N25" s="42"/>
      <c r="O25" s="42"/>
      <c r="P25" s="42"/>
      <c r="Q25" s="42"/>
      <c r="R25" s="1"/>
      <c r="S25" s="1"/>
      <c r="T25" s="1"/>
    </row>
    <row r="26" spans="1:20">
      <c r="A26" s="1"/>
      <c r="B26" s="42"/>
      <c r="C26" s="42"/>
      <c r="D26" s="42"/>
      <c r="E26" s="42"/>
      <c r="F26" s="42"/>
      <c r="G26" s="42"/>
      <c r="H26" s="42"/>
      <c r="I26" s="42"/>
      <c r="J26" s="42"/>
      <c r="K26" s="42"/>
      <c r="L26" s="42"/>
      <c r="M26" s="42"/>
      <c r="N26" s="42"/>
      <c r="O26" s="42"/>
      <c r="P26" s="42"/>
      <c r="Q26" s="42"/>
      <c r="R26" s="1"/>
      <c r="S26" s="1"/>
      <c r="T26" s="1"/>
    </row>
    <row r="27" spans="1:20">
      <c r="A27" s="1"/>
      <c r="B27" s="42"/>
      <c r="C27" s="42"/>
      <c r="D27" s="42"/>
      <c r="E27" s="42"/>
      <c r="F27" s="42"/>
      <c r="G27" s="42"/>
      <c r="H27" s="42"/>
      <c r="I27" s="42"/>
      <c r="J27" s="42"/>
      <c r="K27" s="42"/>
      <c r="L27" s="42"/>
      <c r="M27" s="42"/>
      <c r="N27" s="42"/>
      <c r="O27" s="42"/>
      <c r="P27" s="42"/>
      <c r="Q27" s="42"/>
      <c r="R27" s="1"/>
      <c r="S27" s="1"/>
      <c r="T27" s="1"/>
    </row>
    <row r="28" spans="1:20">
      <c r="A28" s="1"/>
      <c r="B28" s="1"/>
      <c r="C28" s="1"/>
      <c r="D28" s="1"/>
      <c r="E28" s="1"/>
      <c r="F28" s="1"/>
      <c r="G28" s="1"/>
      <c r="H28" s="1"/>
      <c r="I28" s="1"/>
      <c r="J28" s="1"/>
      <c r="K28" s="1"/>
      <c r="L28" s="1"/>
      <c r="M28" s="1"/>
      <c r="N28" s="1"/>
      <c r="O28" s="1"/>
      <c r="P28" s="1"/>
      <c r="Q28" s="1"/>
      <c r="R28" s="1"/>
      <c r="S28" s="1"/>
      <c r="T28" s="1"/>
    </row>
    <row r="29" spans="1:20">
      <c r="A29" s="1"/>
      <c r="B29" s="1"/>
      <c r="C29" s="1"/>
      <c r="D29" s="1"/>
      <c r="E29" s="1"/>
      <c r="F29" s="1"/>
      <c r="G29" s="1"/>
      <c r="H29" s="1"/>
      <c r="I29" s="1"/>
      <c r="J29" s="1"/>
      <c r="K29" s="1"/>
      <c r="L29" s="1"/>
      <c r="M29" s="1"/>
      <c r="N29" s="1"/>
      <c r="O29" s="1"/>
      <c r="P29" s="1"/>
      <c r="Q29" s="1"/>
      <c r="R29" s="1"/>
      <c r="S29" s="1"/>
      <c r="T29" s="1"/>
    </row>
    <row r="30" spans="1:20">
      <c r="A30" s="1"/>
      <c r="B30" s="1"/>
      <c r="C30" s="1"/>
      <c r="D30" s="1"/>
      <c r="E30" s="1"/>
      <c r="F30" s="1"/>
      <c r="G30" s="1"/>
      <c r="H30" s="1"/>
      <c r="I30" s="1"/>
      <c r="J30" s="1"/>
      <c r="K30" s="1"/>
      <c r="L30" s="1"/>
      <c r="M30" s="1"/>
      <c r="N30" s="1"/>
      <c r="O30" s="1"/>
      <c r="P30" s="1"/>
      <c r="Q30" s="1"/>
      <c r="R30" s="1"/>
      <c r="S30" s="1"/>
      <c r="T30" s="1"/>
    </row>
  </sheetData>
  <mergeCells count="4">
    <mergeCell ref="B2:Q3"/>
    <mergeCell ref="B4:Q7"/>
    <mergeCell ref="B14:E14"/>
    <mergeCell ref="B19:E19"/>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499984740745262"/>
    <pageSetUpPr fitToPage="1"/>
  </sheetPr>
  <dimension ref="A1:X72"/>
  <sheetViews>
    <sheetView showGridLines="0" zoomScale="40" zoomScaleNormal="40" workbookViewId="0">
      <selection activeCell="D1" sqref="D1:V5"/>
    </sheetView>
  </sheetViews>
  <sheetFormatPr defaultRowHeight="14.25"/>
  <cols>
    <col min="1" max="2" width="31.59765625" customWidth="1"/>
    <col min="4" max="4" width="13.265625" customWidth="1"/>
    <col min="15" max="15" width="26.86328125" customWidth="1"/>
    <col min="16" max="16" width="47.73046875" customWidth="1"/>
    <col min="17" max="17" width="26.3984375" customWidth="1"/>
    <col min="18" max="18" width="14.265625" customWidth="1"/>
    <col min="19" max="19" width="17.59765625" customWidth="1"/>
    <col min="20" max="20" width="18.3984375" customWidth="1"/>
    <col min="21" max="21" width="30.73046875" customWidth="1"/>
  </cols>
  <sheetData>
    <row r="1" spans="1:24" ht="23.25" customHeight="1">
      <c r="A1" s="709" t="s">
        <v>1</v>
      </c>
      <c r="B1" s="709"/>
      <c r="D1" s="710" t="s">
        <v>374</v>
      </c>
      <c r="E1" s="710"/>
      <c r="F1" s="710"/>
      <c r="G1" s="710"/>
      <c r="H1" s="710"/>
      <c r="I1" s="710"/>
      <c r="J1" s="710"/>
      <c r="K1" s="710"/>
      <c r="L1" s="710"/>
      <c r="M1" s="710"/>
      <c r="N1" s="710"/>
      <c r="O1" s="710"/>
      <c r="P1" s="710"/>
      <c r="Q1" s="710"/>
      <c r="R1" s="710"/>
      <c r="S1" s="710"/>
      <c r="T1" s="710"/>
      <c r="U1" s="710"/>
      <c r="V1" s="710"/>
      <c r="W1" s="181"/>
      <c r="X1" s="1"/>
    </row>
    <row r="2" spans="1:24">
      <c r="A2" s="709"/>
      <c r="B2" s="709"/>
      <c r="D2" s="710"/>
      <c r="E2" s="710"/>
      <c r="F2" s="710"/>
      <c r="G2" s="710"/>
      <c r="H2" s="710"/>
      <c r="I2" s="710"/>
      <c r="J2" s="710"/>
      <c r="K2" s="710"/>
      <c r="L2" s="710"/>
      <c r="M2" s="710"/>
      <c r="N2" s="710"/>
      <c r="O2" s="710"/>
      <c r="P2" s="710"/>
      <c r="Q2" s="710"/>
      <c r="R2" s="710"/>
      <c r="S2" s="710"/>
      <c r="T2" s="710"/>
      <c r="U2" s="710"/>
      <c r="V2" s="710"/>
      <c r="W2" s="181"/>
      <c r="X2" s="1"/>
    </row>
    <row r="3" spans="1:24">
      <c r="A3" s="709"/>
      <c r="B3" s="709"/>
      <c r="D3" s="710"/>
      <c r="E3" s="710"/>
      <c r="F3" s="710"/>
      <c r="G3" s="710"/>
      <c r="H3" s="710"/>
      <c r="I3" s="710"/>
      <c r="J3" s="710"/>
      <c r="K3" s="710"/>
      <c r="L3" s="710"/>
      <c r="M3" s="710"/>
      <c r="N3" s="710"/>
      <c r="O3" s="710"/>
      <c r="P3" s="710"/>
      <c r="Q3" s="710"/>
      <c r="R3" s="710"/>
      <c r="S3" s="710"/>
      <c r="T3" s="710"/>
      <c r="U3" s="710"/>
      <c r="V3" s="710"/>
      <c r="W3" s="181"/>
      <c r="X3" s="1"/>
    </row>
    <row r="4" spans="1:24" ht="46.15">
      <c r="A4" s="184"/>
      <c r="B4" s="184"/>
      <c r="D4" s="710"/>
      <c r="E4" s="710"/>
      <c r="F4" s="710"/>
      <c r="G4" s="710"/>
      <c r="H4" s="710"/>
      <c r="I4" s="710"/>
      <c r="J4" s="710"/>
      <c r="K4" s="710"/>
      <c r="L4" s="710"/>
      <c r="M4" s="710"/>
      <c r="N4" s="710"/>
      <c r="O4" s="710"/>
      <c r="P4" s="710"/>
      <c r="Q4" s="710"/>
      <c r="R4" s="710"/>
      <c r="S4" s="710"/>
      <c r="T4" s="710"/>
      <c r="U4" s="710"/>
      <c r="V4" s="710"/>
      <c r="W4" s="181"/>
      <c r="X4" s="1"/>
    </row>
    <row r="5" spans="1:24" ht="46.15">
      <c r="A5" s="184"/>
      <c r="B5" s="184"/>
      <c r="D5" s="710"/>
      <c r="E5" s="710"/>
      <c r="F5" s="710"/>
      <c r="G5" s="710"/>
      <c r="H5" s="710"/>
      <c r="I5" s="710"/>
      <c r="J5" s="710"/>
      <c r="K5" s="710"/>
      <c r="L5" s="710"/>
      <c r="M5" s="710"/>
      <c r="N5" s="710"/>
      <c r="O5" s="710"/>
      <c r="P5" s="710"/>
      <c r="Q5" s="710"/>
      <c r="R5" s="710"/>
      <c r="S5" s="710"/>
      <c r="T5" s="710"/>
      <c r="U5" s="710"/>
      <c r="V5" s="710"/>
      <c r="W5" s="181"/>
      <c r="X5" s="1"/>
    </row>
    <row r="8" spans="1:24" ht="26.25" customHeight="1">
      <c r="A8" s="711" t="s">
        <v>220</v>
      </c>
      <c r="B8" s="711"/>
      <c r="C8" s="711"/>
      <c r="D8" s="711"/>
      <c r="E8" s="711"/>
      <c r="F8" s="711"/>
      <c r="G8" s="711"/>
      <c r="H8" s="711"/>
      <c r="I8" s="711"/>
      <c r="J8" s="711"/>
      <c r="K8" s="711"/>
      <c r="L8" s="711"/>
      <c r="N8" s="711" t="s">
        <v>21</v>
      </c>
      <c r="O8" s="711"/>
      <c r="P8" s="711"/>
      <c r="Q8" s="711"/>
      <c r="R8" s="711"/>
      <c r="S8" s="711"/>
      <c r="T8" s="711"/>
      <c r="U8" s="711"/>
      <c r="V8" s="711"/>
      <c r="W8" s="711"/>
    </row>
    <row r="9" spans="1:24">
      <c r="A9" s="2"/>
      <c r="B9" s="2"/>
      <c r="C9" s="2"/>
      <c r="D9" s="2"/>
      <c r="E9" s="2"/>
      <c r="F9" s="2"/>
      <c r="G9" s="2"/>
      <c r="H9" s="2"/>
      <c r="I9" s="2"/>
      <c r="J9" s="2"/>
      <c r="K9" s="2"/>
      <c r="L9" s="2"/>
      <c r="N9" s="3"/>
      <c r="O9" s="3"/>
      <c r="P9" s="3"/>
      <c r="Q9" s="3"/>
      <c r="R9" s="3"/>
      <c r="S9" s="3"/>
      <c r="T9" s="3"/>
      <c r="U9" s="3"/>
      <c r="V9" s="3"/>
      <c r="W9" s="3"/>
    </row>
    <row r="10" spans="1:24">
      <c r="A10" s="102" t="s">
        <v>2</v>
      </c>
      <c r="B10" s="102"/>
      <c r="C10" s="2"/>
      <c r="D10" s="704"/>
      <c r="E10" s="704"/>
      <c r="F10" s="704"/>
      <c r="G10" s="704"/>
      <c r="H10" s="704"/>
      <c r="I10" s="704"/>
      <c r="J10" s="704"/>
      <c r="K10" s="704"/>
      <c r="L10" s="2"/>
      <c r="N10" s="3"/>
      <c r="O10" s="3"/>
      <c r="P10" s="3"/>
      <c r="Q10" s="3"/>
      <c r="R10" s="3"/>
      <c r="S10" s="3"/>
      <c r="T10" s="3"/>
      <c r="U10" s="3"/>
      <c r="V10" s="3"/>
      <c r="W10" s="3"/>
    </row>
    <row r="11" spans="1:24">
      <c r="A11" s="2"/>
      <c r="B11" s="2"/>
      <c r="C11" s="2"/>
      <c r="D11" s="2"/>
      <c r="E11" s="2"/>
      <c r="F11" s="2"/>
      <c r="G11" s="2"/>
      <c r="H11" s="2"/>
      <c r="I11" s="2"/>
      <c r="J11" s="2"/>
      <c r="K11" s="2"/>
      <c r="L11" s="2"/>
      <c r="N11" s="3"/>
      <c r="O11" s="4" t="s">
        <v>6</v>
      </c>
      <c r="P11" s="4" t="s">
        <v>370</v>
      </c>
      <c r="Q11" s="48" t="s">
        <v>83</v>
      </c>
      <c r="R11" s="48" t="s">
        <v>7</v>
      </c>
      <c r="S11" s="48" t="s">
        <v>8</v>
      </c>
      <c r="T11" s="48" t="s">
        <v>84</v>
      </c>
      <c r="U11" s="4" t="s">
        <v>14</v>
      </c>
      <c r="V11" s="3"/>
      <c r="W11" s="3"/>
    </row>
    <row r="12" spans="1:24">
      <c r="A12" s="102" t="s">
        <v>3</v>
      </c>
      <c r="B12" s="102"/>
      <c r="C12" s="2"/>
      <c r="D12" s="704"/>
      <c r="E12" s="704"/>
      <c r="F12" s="704"/>
      <c r="G12" s="704"/>
      <c r="H12" s="704"/>
      <c r="I12" s="704"/>
      <c r="J12" s="704"/>
      <c r="K12" s="704"/>
      <c r="L12" s="2"/>
      <c r="N12" s="3"/>
      <c r="O12" s="4" t="s">
        <v>357</v>
      </c>
      <c r="P12" s="4"/>
      <c r="Q12" s="4">
        <f>D18</f>
        <v>2</v>
      </c>
      <c r="R12" s="4">
        <f>D19</f>
        <v>2</v>
      </c>
      <c r="S12" s="4">
        <f>D20</f>
        <v>10</v>
      </c>
      <c r="T12" s="4">
        <f>D21</f>
        <v>1</v>
      </c>
      <c r="U12" s="4">
        <f>D16</f>
        <v>15</v>
      </c>
      <c r="V12" s="3"/>
      <c r="W12" s="3"/>
    </row>
    <row r="13" spans="1:24" ht="28.5">
      <c r="A13" s="2"/>
      <c r="B13" s="2"/>
      <c r="C13" s="2"/>
      <c r="D13" s="2"/>
      <c r="E13" s="2"/>
      <c r="F13" s="2"/>
      <c r="G13" s="2"/>
      <c r="H13" s="2"/>
      <c r="I13" s="2"/>
      <c r="J13" s="2"/>
      <c r="K13" s="2"/>
      <c r="L13" s="2"/>
      <c r="N13" s="3"/>
      <c r="O13" s="4" t="s">
        <v>76</v>
      </c>
      <c r="P13" s="620" t="s">
        <v>646</v>
      </c>
      <c r="Q13" s="71">
        <f>'Prospective Project Calculation'!H43</f>
        <v>0</v>
      </c>
      <c r="R13" s="71">
        <f>'Prospective Project Calculation'!H44</f>
        <v>0</v>
      </c>
      <c r="S13" s="105">
        <f>'Prospective Project Calculation'!H45</f>
        <v>0</v>
      </c>
      <c r="T13" s="105">
        <f>'Prospective Project Calculation'!H46</f>
        <v>0</v>
      </c>
      <c r="U13" s="71">
        <f>SUM(Q13:T13)</f>
        <v>0</v>
      </c>
      <c r="V13" s="3"/>
      <c r="W13" s="3"/>
    </row>
    <row r="14" spans="1:24">
      <c r="A14" s="102" t="s">
        <v>4</v>
      </c>
      <c r="B14" s="102"/>
      <c r="C14" s="2"/>
      <c r="D14" s="705"/>
      <c r="E14" s="705"/>
      <c r="F14" s="705"/>
      <c r="G14" s="705"/>
      <c r="H14" s="705"/>
      <c r="I14" s="705"/>
      <c r="J14" s="705"/>
      <c r="K14" s="705"/>
      <c r="L14" s="2"/>
      <c r="N14" s="3"/>
      <c r="O14" s="4" t="s">
        <v>75</v>
      </c>
      <c r="P14" s="4" t="s">
        <v>371</v>
      </c>
      <c r="Q14" s="71">
        <f>'Prospective Project Calculation'!D43</f>
        <v>0</v>
      </c>
      <c r="R14" s="71">
        <f>'Prospective Project Calculation'!D44</f>
        <v>0</v>
      </c>
      <c r="S14" s="71">
        <f>'Prospective Project Calculation'!D45</f>
        <v>27539.673839272058</v>
      </c>
      <c r="T14" s="71">
        <f>'Prospective Project Calculation'!D46</f>
        <v>0</v>
      </c>
      <c r="U14" s="71">
        <f>SUM(Q14:T14)</f>
        <v>27539.673839272058</v>
      </c>
      <c r="V14" s="3"/>
      <c r="W14" s="3"/>
    </row>
    <row r="15" spans="1:24">
      <c r="A15" s="2"/>
      <c r="B15" s="2"/>
      <c r="C15" s="2"/>
      <c r="D15" s="2"/>
      <c r="E15" s="2"/>
      <c r="F15" s="2"/>
      <c r="G15" s="2"/>
      <c r="H15" s="2"/>
      <c r="I15" s="2"/>
      <c r="J15" s="2"/>
      <c r="K15" s="2"/>
      <c r="L15" s="2"/>
      <c r="N15" s="3"/>
      <c r="O15" s="4" t="s">
        <v>222</v>
      </c>
      <c r="P15" s="4" t="s">
        <v>372</v>
      </c>
      <c r="Q15" s="71">
        <f>'Prospective Project Calculation'!E43</f>
        <v>0</v>
      </c>
      <c r="R15" s="71">
        <f>'Prospective Project Calculation'!E44</f>
        <v>0</v>
      </c>
      <c r="S15" s="71">
        <f>'Prospective Project Calculation'!E45</f>
        <v>1310.42699481714</v>
      </c>
      <c r="T15" s="105">
        <f>'Prospective Project Calculation'!E46</f>
        <v>0</v>
      </c>
      <c r="U15" s="71">
        <f>SUM(Q15:T15)</f>
        <v>1310.42699481714</v>
      </c>
      <c r="V15" s="3"/>
      <c r="W15" s="3"/>
    </row>
    <row r="16" spans="1:24" ht="28.5">
      <c r="A16" s="102" t="s">
        <v>174</v>
      </c>
      <c r="B16" s="102"/>
      <c r="C16" s="2"/>
      <c r="D16" s="181">
        <v>15</v>
      </c>
      <c r="E16" s="2" t="s">
        <v>221</v>
      </c>
      <c r="F16" s="2"/>
      <c r="G16" s="2"/>
      <c r="H16" s="2"/>
      <c r="I16" s="2"/>
      <c r="J16" s="2"/>
      <c r="K16" s="2"/>
      <c r="L16" s="2"/>
      <c r="N16" s="3"/>
      <c r="O16" s="496" t="s">
        <v>369</v>
      </c>
      <c r="P16" s="620" t="s">
        <v>647</v>
      </c>
      <c r="Q16" s="71">
        <f>'Prospective Project Calculation'!L43</f>
        <v>9517.2418624999991</v>
      </c>
      <c r="R16" s="71">
        <f>'Prospective Project Calculation'!L44</f>
        <v>46192.666174999998</v>
      </c>
      <c r="S16" s="71">
        <f>'Prospective Project Calculation'!L45</f>
        <v>116424.7102222222</v>
      </c>
      <c r="T16" s="105">
        <f>'Prospective Project Calculation'!L46</f>
        <v>6068.9674500000001</v>
      </c>
      <c r="U16" s="71">
        <f>SUM(Q16:T16)</f>
        <v>178203.58570972219</v>
      </c>
      <c r="V16" s="3"/>
      <c r="W16" s="3"/>
    </row>
    <row r="17" spans="1:23">
      <c r="A17" s="175" t="s">
        <v>367</v>
      </c>
      <c r="B17" s="102"/>
      <c r="C17" s="2"/>
      <c r="D17" s="2"/>
      <c r="E17" s="2"/>
      <c r="F17" s="2"/>
      <c r="G17" s="2"/>
      <c r="H17" s="2"/>
      <c r="I17" s="2"/>
      <c r="J17" s="2"/>
      <c r="K17" s="2"/>
      <c r="L17" s="2"/>
      <c r="N17" s="3"/>
      <c r="O17" s="76"/>
      <c r="P17" s="76"/>
      <c r="Q17" s="182"/>
      <c r="R17" s="182"/>
      <c r="S17" s="182"/>
      <c r="T17" s="183"/>
      <c r="U17" s="182"/>
      <c r="V17" s="3"/>
      <c r="W17" s="3"/>
    </row>
    <row r="18" spans="1:23">
      <c r="A18" s="179" t="s">
        <v>83</v>
      </c>
      <c r="B18" s="174"/>
      <c r="C18" s="2"/>
      <c r="D18" s="114">
        <v>2</v>
      </c>
      <c r="E18" s="2" t="s">
        <v>223</v>
      </c>
      <c r="F18" s="2"/>
      <c r="G18" s="2"/>
      <c r="H18" s="2"/>
      <c r="I18" s="2"/>
      <c r="J18" s="2"/>
      <c r="K18" s="2"/>
      <c r="L18" s="2"/>
      <c r="N18" s="3"/>
      <c r="O18" s="76"/>
      <c r="P18" s="76"/>
      <c r="Q18" s="77"/>
      <c r="R18" s="77"/>
      <c r="S18" s="77"/>
      <c r="T18" s="77"/>
      <c r="U18" s="77"/>
      <c r="V18" s="3"/>
      <c r="W18" s="3"/>
    </row>
    <row r="19" spans="1:23">
      <c r="A19" s="179" t="s">
        <v>30</v>
      </c>
      <c r="B19" s="174"/>
      <c r="C19" s="2"/>
      <c r="D19" s="114">
        <v>2</v>
      </c>
      <c r="E19" s="2" t="s">
        <v>224</v>
      </c>
      <c r="F19" s="2"/>
      <c r="G19" s="2"/>
      <c r="H19" s="2"/>
      <c r="I19" s="2"/>
      <c r="J19" s="2"/>
      <c r="K19" s="2"/>
      <c r="L19" s="2"/>
      <c r="N19" s="3"/>
      <c r="O19" s="4" t="s">
        <v>13</v>
      </c>
      <c r="P19" s="4" t="s">
        <v>373</v>
      </c>
      <c r="Q19" s="71">
        <f>SUM(Q13:Q18)</f>
        <v>9517.2418624999991</v>
      </c>
      <c r="R19" s="71">
        <f>SUM(R13:R18)</f>
        <v>46192.666174999998</v>
      </c>
      <c r="S19" s="71">
        <f>SUM(S13:S18)</f>
        <v>145274.81105631139</v>
      </c>
      <c r="T19" s="71">
        <f>SUM(T13:T18)</f>
        <v>6068.9674500000001</v>
      </c>
      <c r="U19" s="75">
        <f>SUM(U13:U18)</f>
        <v>207053.68654381137</v>
      </c>
      <c r="V19" s="3"/>
      <c r="W19" s="3"/>
    </row>
    <row r="20" spans="1:23">
      <c r="A20" s="179" t="s">
        <v>8</v>
      </c>
      <c r="B20" s="174"/>
      <c r="C20" s="2"/>
      <c r="D20" s="114">
        <f>D16-(SUM(D18:D19,D21))</f>
        <v>10</v>
      </c>
      <c r="E20" s="2" t="s">
        <v>225</v>
      </c>
      <c r="F20" s="2"/>
      <c r="G20" s="2"/>
      <c r="H20" s="2"/>
      <c r="I20" s="2"/>
      <c r="J20" s="2"/>
      <c r="K20" s="2"/>
      <c r="L20" s="2"/>
      <c r="N20" s="3"/>
      <c r="O20" s="3"/>
      <c r="P20" s="3"/>
      <c r="Q20" s="3"/>
      <c r="R20" s="3"/>
      <c r="S20" s="3"/>
      <c r="T20" s="3"/>
      <c r="U20" s="3"/>
      <c r="V20" s="3" t="s">
        <v>15</v>
      </c>
      <c r="W20" s="3"/>
    </row>
    <row r="21" spans="1:23">
      <c r="A21" s="179" t="s">
        <v>84</v>
      </c>
      <c r="B21" s="174"/>
      <c r="C21" s="2"/>
      <c r="D21" s="114">
        <v>1</v>
      </c>
      <c r="E21" s="2" t="s">
        <v>226</v>
      </c>
      <c r="F21" s="2"/>
      <c r="G21" s="2"/>
      <c r="H21" s="2"/>
      <c r="I21" s="2"/>
      <c r="J21" s="102"/>
      <c r="K21" s="2"/>
      <c r="L21" s="2"/>
      <c r="N21" s="3"/>
      <c r="O21" s="3"/>
      <c r="P21" s="3"/>
      <c r="Q21" s="3"/>
      <c r="R21" s="3"/>
      <c r="S21" s="3"/>
      <c r="T21" s="3"/>
      <c r="U21" s="3"/>
      <c r="V21" s="3"/>
      <c r="W21" s="3"/>
    </row>
    <row r="22" spans="1:23">
      <c r="A22" s="2"/>
      <c r="B22" s="2"/>
      <c r="C22" s="2"/>
      <c r="D22" s="2"/>
      <c r="E22" s="2"/>
      <c r="F22" s="2"/>
      <c r="G22" s="2"/>
      <c r="H22" s="2"/>
      <c r="I22" s="2"/>
      <c r="J22" s="2"/>
      <c r="K22" s="2"/>
      <c r="L22" s="2"/>
      <c r="N22" s="3"/>
      <c r="O22" s="3"/>
      <c r="P22" s="3"/>
      <c r="Q22" s="3"/>
      <c r="R22" s="3"/>
      <c r="S22" s="3"/>
      <c r="T22" s="3"/>
      <c r="U22" s="3"/>
      <c r="V22" s="3"/>
      <c r="W22" s="3"/>
    </row>
    <row r="23" spans="1:23">
      <c r="A23" s="102" t="s">
        <v>165</v>
      </c>
      <c r="B23" s="102"/>
      <c r="C23" s="2"/>
      <c r="D23" s="181" t="s">
        <v>31</v>
      </c>
      <c r="E23" s="2"/>
      <c r="F23" s="2"/>
      <c r="G23" s="2"/>
      <c r="H23" s="2"/>
      <c r="I23" s="2"/>
      <c r="J23" s="2"/>
      <c r="K23" s="2"/>
      <c r="L23" s="2"/>
      <c r="N23" s="3"/>
      <c r="O23" s="3"/>
      <c r="P23" s="3"/>
      <c r="Q23" s="3"/>
      <c r="R23" s="3"/>
      <c r="S23" s="3"/>
      <c r="T23" s="3"/>
      <c r="U23" s="3"/>
      <c r="V23" s="3"/>
      <c r="W23" s="3"/>
    </row>
    <row r="24" spans="1:23">
      <c r="A24" s="175" t="s">
        <v>367</v>
      </c>
      <c r="B24" s="2"/>
      <c r="C24" s="2"/>
      <c r="D24" s="2"/>
      <c r="E24" s="2"/>
      <c r="F24" s="2"/>
      <c r="G24" s="2"/>
      <c r="H24" s="2"/>
      <c r="I24" s="2"/>
      <c r="J24" s="2"/>
      <c r="K24" s="2"/>
      <c r="L24" s="2"/>
      <c r="N24" s="3"/>
      <c r="O24" s="3"/>
      <c r="P24" s="3"/>
      <c r="Q24" s="3"/>
      <c r="R24" s="3"/>
      <c r="S24" s="3"/>
      <c r="T24" s="3"/>
      <c r="U24" s="3"/>
      <c r="V24" s="3"/>
      <c r="W24" s="3"/>
    </row>
    <row r="25" spans="1:23">
      <c r="A25" s="179" t="s">
        <v>195</v>
      </c>
      <c r="B25" s="2"/>
      <c r="C25" s="2"/>
      <c r="D25" s="115">
        <f>IF(D23="High",'Cloud Consumption'!$H$7,IF(D23="Medium",'Cloud Consumption'!$G$7,'Cloud Consumption'!$F$7))</f>
        <v>0.03</v>
      </c>
      <c r="E25" s="2" t="s">
        <v>41</v>
      </c>
      <c r="F25" s="2"/>
      <c r="G25" s="2"/>
      <c r="H25" s="2"/>
      <c r="I25" s="2"/>
      <c r="J25" s="2"/>
      <c r="K25" s="2"/>
      <c r="L25" s="2"/>
      <c r="N25" s="3"/>
      <c r="O25" s="3"/>
      <c r="P25" s="3"/>
      <c r="Q25" s="3"/>
      <c r="R25" s="3"/>
      <c r="S25" s="3"/>
      <c r="T25" s="3"/>
      <c r="U25" s="3"/>
      <c r="V25" s="3"/>
      <c r="W25" s="3"/>
    </row>
    <row r="26" spans="1:23">
      <c r="A26" s="179" t="s">
        <v>365</v>
      </c>
      <c r="B26" s="2"/>
      <c r="C26" s="2"/>
      <c r="D26" s="116" t="str">
        <f>IF(D23="High", "High-Cost",IF(D23="Medium","Normal","Normal"))</f>
        <v>High-Cost</v>
      </c>
      <c r="E26" s="2" t="s">
        <v>375</v>
      </c>
      <c r="F26" s="2"/>
      <c r="G26" s="2"/>
      <c r="H26" s="2"/>
      <c r="I26" s="2"/>
      <c r="J26" s="2"/>
      <c r="K26" s="2"/>
      <c r="L26" s="2"/>
      <c r="N26" s="3"/>
      <c r="O26" s="3"/>
      <c r="P26" s="3"/>
      <c r="Q26" s="3"/>
      <c r="R26" s="3"/>
      <c r="S26" s="3"/>
      <c r="T26" s="3"/>
      <c r="U26" s="3"/>
      <c r="V26" s="3"/>
      <c r="W26" s="3"/>
    </row>
    <row r="27" spans="1:23">
      <c r="A27" s="179" t="s">
        <v>194</v>
      </c>
      <c r="B27" s="2"/>
      <c r="C27" s="2"/>
      <c r="D27" s="115">
        <f>IF(D26="Redshift",'Cloud Consumption'!#REF!, IF(D23="Medium",'Cloud Consumption'!$G$9,'Cloud Consumption'!$F$9))</f>
        <v>0.01</v>
      </c>
      <c r="E27" s="2" t="s">
        <v>41</v>
      </c>
      <c r="F27" s="2"/>
      <c r="G27" s="2"/>
      <c r="H27" s="2"/>
      <c r="I27" s="2"/>
      <c r="J27" s="2"/>
      <c r="K27" s="2"/>
      <c r="L27" s="2"/>
      <c r="N27" s="3"/>
      <c r="O27" s="3"/>
      <c r="P27" s="3"/>
      <c r="Q27" s="3"/>
      <c r="R27" s="3"/>
      <c r="S27" s="3"/>
      <c r="T27" s="3"/>
      <c r="U27" s="3"/>
      <c r="V27" s="3"/>
      <c r="W27" s="3"/>
    </row>
    <row r="28" spans="1:23">
      <c r="A28" s="179" t="s">
        <v>219</v>
      </c>
      <c r="B28" s="2"/>
      <c r="C28" s="2"/>
      <c r="D28" s="117">
        <f>IF(D$23="High",'Cloud Consumption'!$H$8,IF(D$23="Medium",'Cloud Consumption'!$G$8,'Cloud Consumption'!$F$8))</f>
        <v>0.04</v>
      </c>
      <c r="E28" s="2" t="s">
        <v>41</v>
      </c>
      <c r="F28" s="2"/>
      <c r="G28" s="2"/>
      <c r="H28" s="2"/>
      <c r="I28" s="2"/>
      <c r="J28" s="2"/>
      <c r="K28" s="2"/>
      <c r="L28" s="2"/>
      <c r="N28" s="3"/>
      <c r="O28" s="3"/>
      <c r="P28" s="3"/>
      <c r="Q28" s="3"/>
      <c r="R28" s="3"/>
      <c r="S28" s="3"/>
      <c r="T28" s="3"/>
      <c r="U28" s="3"/>
      <c r="V28" s="3"/>
      <c r="W28" s="3"/>
    </row>
    <row r="29" spans="1:23">
      <c r="A29" s="2"/>
      <c r="B29" s="2"/>
      <c r="C29" s="2"/>
      <c r="D29" s="2"/>
      <c r="E29" s="2"/>
      <c r="F29" s="2"/>
      <c r="G29" s="2"/>
      <c r="H29" s="2"/>
      <c r="I29" s="2"/>
      <c r="J29" s="2"/>
      <c r="K29" s="2"/>
      <c r="L29" s="2"/>
      <c r="N29" s="3"/>
      <c r="O29" s="3"/>
      <c r="P29" s="3"/>
      <c r="Q29" s="3"/>
      <c r="R29" s="3"/>
      <c r="S29" s="3"/>
      <c r="T29" s="3"/>
      <c r="U29" s="3"/>
      <c r="V29" s="3"/>
      <c r="W29" s="3"/>
    </row>
    <row r="30" spans="1:23">
      <c r="A30" s="102" t="s">
        <v>162</v>
      </c>
      <c r="B30" s="102"/>
      <c r="C30" s="2"/>
      <c r="D30" s="181" t="s">
        <v>33</v>
      </c>
      <c r="E30" s="2"/>
      <c r="F30" s="2"/>
      <c r="G30" s="2"/>
      <c r="H30" s="2"/>
      <c r="I30" s="2"/>
      <c r="J30" s="2"/>
      <c r="K30" s="2"/>
      <c r="L30" s="2"/>
      <c r="N30" s="3"/>
      <c r="O30" s="3"/>
      <c r="P30" s="3"/>
      <c r="Q30" s="3"/>
      <c r="R30" s="3"/>
      <c r="S30" s="3"/>
      <c r="T30" s="3"/>
      <c r="U30" s="3"/>
      <c r="V30" s="3"/>
      <c r="W30" s="3"/>
    </row>
    <row r="31" spans="1:23" ht="15" customHeight="1">
      <c r="A31" s="2"/>
      <c r="B31" s="2"/>
      <c r="C31" s="2"/>
      <c r="D31" s="2"/>
      <c r="E31" s="708" t="s">
        <v>586</v>
      </c>
      <c r="F31" s="708"/>
      <c r="G31" s="708"/>
      <c r="H31" s="708"/>
      <c r="I31" s="708"/>
      <c r="J31" s="2"/>
      <c r="K31" s="2"/>
      <c r="L31" s="2"/>
      <c r="N31" s="3"/>
      <c r="O31" s="3"/>
      <c r="P31" s="3"/>
      <c r="Q31" s="3"/>
      <c r="R31" s="3"/>
      <c r="S31" s="3"/>
      <c r="T31" s="3"/>
      <c r="U31" s="3"/>
      <c r="V31" s="3"/>
      <c r="W31" s="3"/>
    </row>
    <row r="32" spans="1:23" ht="15" customHeight="1">
      <c r="A32" s="102" t="s">
        <v>368</v>
      </c>
      <c r="B32" s="102"/>
      <c r="C32" s="2"/>
      <c r="D32" s="181" t="s">
        <v>192</v>
      </c>
      <c r="E32" s="708"/>
      <c r="F32" s="708"/>
      <c r="G32" s="708"/>
      <c r="H32" s="708"/>
      <c r="I32" s="708"/>
      <c r="J32" s="2"/>
      <c r="K32" s="2"/>
      <c r="L32" s="2"/>
      <c r="N32" s="3"/>
      <c r="O32" s="3"/>
      <c r="P32" s="3"/>
      <c r="Q32" s="3"/>
      <c r="R32" s="3"/>
      <c r="S32" s="3"/>
      <c r="T32" s="3"/>
      <c r="U32" s="3"/>
      <c r="V32" s="3"/>
      <c r="W32" s="3"/>
    </row>
    <row r="33" spans="1:23" ht="15" customHeight="1">
      <c r="A33" s="2"/>
      <c r="B33" s="103"/>
      <c r="C33" s="2"/>
      <c r="D33" s="2"/>
      <c r="E33" s="708"/>
      <c r="F33" s="708"/>
      <c r="G33" s="708"/>
      <c r="H33" s="708"/>
      <c r="I33" s="708"/>
      <c r="J33" s="2"/>
      <c r="K33" s="2"/>
      <c r="L33" s="2"/>
      <c r="N33" s="3"/>
      <c r="O33" s="3"/>
      <c r="P33" s="3"/>
      <c r="Q33" s="3"/>
      <c r="R33" s="3"/>
      <c r="S33" s="3"/>
      <c r="T33" s="3"/>
      <c r="U33" s="3"/>
      <c r="V33" s="3"/>
      <c r="W33" s="3"/>
    </row>
    <row r="34" spans="1:23">
      <c r="A34" s="2"/>
      <c r="B34" s="2"/>
      <c r="C34" s="2"/>
      <c r="D34" s="2"/>
      <c r="E34" s="2"/>
      <c r="F34" s="2"/>
      <c r="G34" s="2"/>
      <c r="H34" s="2"/>
      <c r="I34" s="2"/>
      <c r="J34" s="2"/>
      <c r="K34" s="2"/>
      <c r="L34" s="2"/>
      <c r="N34" s="3"/>
      <c r="O34" s="3"/>
      <c r="P34" s="3"/>
      <c r="Q34" s="3"/>
      <c r="R34" s="3"/>
      <c r="S34" s="3"/>
      <c r="T34" s="3"/>
      <c r="U34" s="3"/>
      <c r="V34" s="3"/>
      <c r="W34" s="3"/>
    </row>
    <row r="35" spans="1:23" s="1" customFormat="1">
      <c r="A35" s="2"/>
      <c r="B35" s="2"/>
      <c r="C35" s="2"/>
      <c r="D35" s="2"/>
      <c r="E35" s="2"/>
      <c r="F35" s="2"/>
      <c r="G35" s="2"/>
      <c r="H35" s="2"/>
      <c r="I35" s="2"/>
      <c r="J35" s="2"/>
      <c r="K35" s="2"/>
      <c r="L35" s="2"/>
    </row>
    <row r="36" spans="1:23">
      <c r="A36" s="2"/>
      <c r="B36" s="2"/>
      <c r="C36" s="2"/>
      <c r="D36" s="2"/>
      <c r="E36" s="2"/>
      <c r="F36" s="2"/>
      <c r="G36" s="2"/>
      <c r="H36" s="2"/>
      <c r="I36" s="2"/>
      <c r="J36" s="2"/>
      <c r="K36" s="2"/>
      <c r="L36" s="2"/>
      <c r="N36" s="1"/>
      <c r="O36" s="1"/>
      <c r="P36" s="1"/>
      <c r="Q36" s="1"/>
      <c r="R36" s="1"/>
      <c r="S36" s="1"/>
      <c r="T36" s="1"/>
      <c r="U36" s="1"/>
      <c r="V36" s="1"/>
      <c r="W36" s="1"/>
    </row>
    <row r="37" spans="1:23">
      <c r="A37" s="2"/>
      <c r="B37" s="2"/>
      <c r="C37" s="2"/>
      <c r="D37" s="2"/>
      <c r="E37" s="2"/>
      <c r="F37" s="2"/>
      <c r="G37" s="2"/>
      <c r="H37" s="2"/>
      <c r="I37" s="2"/>
      <c r="J37" s="2"/>
      <c r="K37" s="2"/>
      <c r="L37" s="2"/>
      <c r="N37" s="1"/>
      <c r="O37" s="1"/>
      <c r="P37" s="1"/>
      <c r="Q37" s="1"/>
      <c r="R37" s="1"/>
      <c r="S37" s="1"/>
      <c r="T37" s="1"/>
      <c r="U37" s="1"/>
      <c r="V37" s="1"/>
      <c r="W37" s="1"/>
    </row>
    <row r="38" spans="1:23">
      <c r="A38" s="1"/>
      <c r="B38" s="1"/>
      <c r="C38" s="1"/>
      <c r="D38" s="1"/>
      <c r="E38" s="1"/>
      <c r="F38" s="1"/>
      <c r="G38" s="1"/>
      <c r="H38" s="1"/>
      <c r="I38" s="1"/>
      <c r="J38" s="1"/>
      <c r="K38" s="1"/>
      <c r="L38" s="1"/>
      <c r="N38" s="1"/>
      <c r="O38" s="1"/>
      <c r="P38" s="1"/>
      <c r="Q38" s="1"/>
      <c r="R38" s="1"/>
      <c r="S38" s="1"/>
      <c r="T38" s="1"/>
      <c r="U38" s="1"/>
      <c r="V38" s="1"/>
      <c r="W38" s="1"/>
    </row>
    <row r="39" spans="1:23">
      <c r="A39" s="1"/>
      <c r="B39" s="1"/>
      <c r="C39" s="1"/>
      <c r="D39" s="1"/>
      <c r="E39" s="1"/>
      <c r="F39" s="1"/>
      <c r="G39" s="1"/>
      <c r="H39" s="1"/>
      <c r="I39" s="1"/>
      <c r="J39" s="1"/>
      <c r="K39" s="1"/>
      <c r="L39" s="1"/>
      <c r="N39" s="1"/>
      <c r="O39" s="1"/>
      <c r="P39" s="1"/>
      <c r="Q39" s="1"/>
      <c r="R39" s="1"/>
      <c r="S39" s="1"/>
      <c r="T39" s="1"/>
      <c r="U39" s="1"/>
      <c r="V39" s="1"/>
      <c r="W39" s="1"/>
    </row>
    <row r="40" spans="1:23">
      <c r="A40" s="172"/>
      <c r="B40" s="172"/>
      <c r="C40" s="1"/>
      <c r="D40" s="1"/>
      <c r="E40" s="1"/>
      <c r="F40" s="1"/>
      <c r="G40" s="1"/>
      <c r="H40" s="1"/>
      <c r="I40" s="1"/>
      <c r="J40" s="1"/>
      <c r="K40" s="1"/>
      <c r="L40" s="1"/>
      <c r="N40" s="1"/>
      <c r="O40" s="1"/>
      <c r="P40" s="1"/>
      <c r="Q40" s="1"/>
      <c r="R40" s="1"/>
      <c r="S40" s="1"/>
      <c r="T40" s="1"/>
      <c r="U40" s="1"/>
      <c r="V40" s="1"/>
      <c r="W40" s="1"/>
    </row>
    <row r="41" spans="1:23">
      <c r="A41" s="176"/>
      <c r="B41" s="176"/>
      <c r="C41" s="1"/>
      <c r="D41" s="1"/>
      <c r="E41" s="1"/>
      <c r="F41" s="1"/>
      <c r="G41" s="1"/>
      <c r="H41" s="1"/>
      <c r="I41" s="1"/>
      <c r="J41" s="1"/>
      <c r="K41" s="1"/>
      <c r="L41" s="1"/>
      <c r="N41" s="1"/>
      <c r="O41" s="1"/>
      <c r="P41" s="1"/>
      <c r="Q41" s="1"/>
      <c r="R41" s="1"/>
      <c r="S41" s="1"/>
      <c r="T41" s="1"/>
      <c r="U41" s="1"/>
      <c r="V41" s="1"/>
      <c r="W41" s="1"/>
    </row>
    <row r="42" spans="1:23">
      <c r="A42" s="176"/>
      <c r="B42" s="176"/>
      <c r="C42" s="1"/>
      <c r="D42" s="1"/>
      <c r="E42" s="1"/>
      <c r="F42" s="1"/>
      <c r="G42" s="1"/>
      <c r="H42" s="1"/>
      <c r="I42" s="1"/>
      <c r="J42" s="1"/>
      <c r="K42" s="1"/>
      <c r="L42" s="1"/>
      <c r="N42" s="1"/>
      <c r="O42" s="1"/>
      <c r="P42" s="1"/>
      <c r="Q42" s="1"/>
      <c r="R42" s="1"/>
      <c r="S42" s="1"/>
      <c r="T42" s="1"/>
      <c r="U42" s="1"/>
      <c r="V42" s="1"/>
      <c r="W42" s="1"/>
    </row>
    <row r="43" spans="1:23">
      <c r="A43" s="703"/>
      <c r="B43" s="703"/>
      <c r="C43" s="703"/>
      <c r="D43" s="703"/>
      <c r="E43" s="703"/>
      <c r="F43" s="703"/>
      <c r="G43" s="703"/>
      <c r="H43" s="703"/>
      <c r="I43" s="703"/>
      <c r="J43" s="703"/>
      <c r="K43" s="703"/>
      <c r="L43" s="703"/>
      <c r="N43" s="1"/>
      <c r="O43" s="1"/>
      <c r="P43" s="1"/>
      <c r="Q43" s="1"/>
      <c r="R43" s="1"/>
      <c r="S43" s="1"/>
      <c r="T43" s="1"/>
      <c r="U43" s="1"/>
      <c r="V43" s="1"/>
      <c r="W43" s="1"/>
    </row>
    <row r="44" spans="1:23">
      <c r="A44" s="177"/>
      <c r="B44" s="177"/>
      <c r="C44" s="1"/>
      <c r="D44" s="1"/>
      <c r="E44" s="1"/>
      <c r="F44" s="1"/>
      <c r="G44" s="1"/>
      <c r="H44" s="1"/>
      <c r="I44" s="1"/>
      <c r="J44" s="1"/>
      <c r="K44" s="1"/>
      <c r="L44" s="1"/>
      <c r="N44" s="1"/>
      <c r="O44" s="1"/>
      <c r="P44" s="1"/>
      <c r="Q44" s="1"/>
      <c r="R44" s="1"/>
      <c r="S44" s="1"/>
      <c r="T44" s="1"/>
      <c r="U44" s="1"/>
      <c r="V44" s="1"/>
      <c r="W44" s="1"/>
    </row>
    <row r="45" spans="1:23" ht="35.25" customHeight="1">
      <c r="A45" s="1"/>
      <c r="B45" s="1"/>
      <c r="C45" s="1"/>
      <c r="D45" s="1"/>
      <c r="E45" s="1"/>
      <c r="F45" s="1"/>
      <c r="G45" s="1"/>
      <c r="H45" s="1"/>
      <c r="I45" s="1"/>
      <c r="J45" s="1"/>
      <c r="K45" s="1"/>
      <c r="L45" s="1"/>
      <c r="M45" s="47"/>
      <c r="N45" s="1"/>
      <c r="O45" s="1"/>
      <c r="P45" s="1"/>
      <c r="Q45" s="1"/>
      <c r="R45" s="1"/>
      <c r="S45" s="1"/>
      <c r="T45" s="1"/>
      <c r="U45" s="1"/>
      <c r="V45" s="1"/>
      <c r="W45" s="1"/>
    </row>
    <row r="46" spans="1:23">
      <c r="A46" s="1"/>
      <c r="B46" s="1"/>
      <c r="C46" s="1"/>
      <c r="D46" s="1"/>
      <c r="E46" s="1"/>
      <c r="F46" s="1"/>
      <c r="G46" s="1"/>
      <c r="H46" s="1"/>
      <c r="I46" s="1"/>
      <c r="J46" s="1"/>
      <c r="K46" s="1"/>
      <c r="L46" s="1"/>
      <c r="N46" s="1"/>
      <c r="O46" s="1"/>
      <c r="P46" s="1"/>
      <c r="Q46" s="1"/>
      <c r="R46" s="1"/>
      <c r="S46" s="1"/>
      <c r="T46" s="1"/>
      <c r="U46" s="1"/>
      <c r="V46" s="1"/>
      <c r="W46" s="1"/>
    </row>
    <row r="47" spans="1:23">
      <c r="A47" s="706"/>
      <c r="B47" s="706"/>
      <c r="C47" s="706"/>
      <c r="D47" s="706"/>
      <c r="E47" s="706"/>
      <c r="F47" s="706"/>
      <c r="G47" s="706"/>
      <c r="H47" s="706"/>
      <c r="I47" s="706"/>
      <c r="J47" s="706"/>
      <c r="K47" s="1"/>
      <c r="L47" s="1"/>
      <c r="N47" s="1"/>
      <c r="O47" s="1"/>
      <c r="P47" s="1"/>
      <c r="Q47" s="1"/>
      <c r="R47" s="1"/>
      <c r="S47" s="1"/>
      <c r="T47" s="1"/>
      <c r="U47" s="1"/>
      <c r="V47" s="1"/>
      <c r="W47" s="1"/>
    </row>
    <row r="48" spans="1:23">
      <c r="A48" s="706"/>
      <c r="B48" s="706"/>
      <c r="C48" s="706"/>
      <c r="D48" s="706"/>
      <c r="E48" s="706"/>
      <c r="F48" s="706"/>
      <c r="G48" s="706"/>
      <c r="H48" s="706"/>
      <c r="I48" s="706"/>
      <c r="J48" s="706"/>
      <c r="K48" s="1"/>
      <c r="L48" s="1"/>
      <c r="N48" s="1"/>
      <c r="O48" s="1"/>
      <c r="P48" s="1"/>
      <c r="Q48" s="1"/>
      <c r="R48" s="1"/>
      <c r="S48" s="1"/>
      <c r="T48" s="1"/>
      <c r="U48" s="1"/>
      <c r="V48" s="1"/>
      <c r="W48" s="1"/>
    </row>
    <row r="49" spans="1:23">
      <c r="A49" s="703"/>
      <c r="B49" s="703"/>
      <c r="C49" s="703"/>
      <c r="D49" s="703"/>
      <c r="E49" s="703"/>
      <c r="F49" s="703"/>
      <c r="G49" s="703"/>
      <c r="H49" s="703"/>
      <c r="I49" s="703"/>
      <c r="J49" s="703"/>
      <c r="K49" s="703"/>
      <c r="L49" s="1"/>
      <c r="N49" s="1"/>
      <c r="O49" s="1"/>
      <c r="P49" s="1"/>
      <c r="Q49" s="1"/>
      <c r="R49" s="1"/>
      <c r="S49" s="1"/>
      <c r="T49" s="1"/>
      <c r="U49" s="1"/>
      <c r="V49" s="1"/>
      <c r="W49" s="1"/>
    </row>
    <row r="50" spans="1:23">
      <c r="A50" s="703"/>
      <c r="B50" s="703"/>
      <c r="C50" s="703"/>
      <c r="D50" s="703"/>
      <c r="E50" s="703"/>
      <c r="F50" s="703"/>
      <c r="G50" s="703"/>
      <c r="H50" s="703"/>
      <c r="I50" s="703"/>
      <c r="J50" s="703"/>
      <c r="K50" s="703"/>
      <c r="L50" s="1"/>
      <c r="N50" s="1"/>
      <c r="O50" s="1"/>
      <c r="P50" s="1"/>
      <c r="Q50" s="1"/>
      <c r="R50" s="1"/>
      <c r="S50" s="1"/>
      <c r="T50" s="1"/>
      <c r="U50" s="1"/>
      <c r="V50" s="1"/>
      <c r="W50" s="1"/>
    </row>
    <row r="51" spans="1:23">
      <c r="A51" s="178"/>
      <c r="B51" s="178"/>
      <c r="C51" s="178"/>
      <c r="D51" s="178"/>
      <c r="E51" s="178"/>
      <c r="F51" s="178"/>
      <c r="G51" s="178"/>
      <c r="H51" s="178"/>
      <c r="I51" s="178"/>
      <c r="J51" s="178"/>
      <c r="K51" s="178"/>
      <c r="L51" s="1"/>
      <c r="N51" s="1"/>
      <c r="O51" s="1"/>
      <c r="P51" s="1"/>
      <c r="Q51" s="1"/>
      <c r="R51" s="1"/>
      <c r="S51" s="1"/>
      <c r="T51" s="1"/>
      <c r="U51" s="1"/>
      <c r="V51" s="1"/>
      <c r="W51" s="1"/>
    </row>
    <row r="52" spans="1:23">
      <c r="A52" s="1"/>
      <c r="B52" s="1"/>
      <c r="C52" s="1"/>
      <c r="D52" s="1"/>
      <c r="E52" s="1"/>
      <c r="F52" s="1"/>
      <c r="G52" s="1"/>
      <c r="H52" s="1"/>
      <c r="I52" s="1"/>
      <c r="J52" s="1"/>
      <c r="K52" s="1"/>
      <c r="L52" s="1"/>
      <c r="N52" s="1"/>
      <c r="O52" s="1"/>
      <c r="P52" s="1"/>
      <c r="Q52" s="1"/>
      <c r="R52" s="1"/>
      <c r="S52" s="1"/>
      <c r="T52" s="1"/>
      <c r="U52" s="1"/>
      <c r="V52" s="1"/>
      <c r="W52" s="1"/>
    </row>
    <row r="53" spans="1:23">
      <c r="A53" s="176"/>
      <c r="B53" s="176"/>
      <c r="C53" s="1"/>
      <c r="D53" s="1"/>
      <c r="E53" s="1"/>
      <c r="F53" s="1"/>
      <c r="G53" s="1"/>
      <c r="H53" s="1"/>
      <c r="I53" s="1"/>
      <c r="J53" s="1"/>
      <c r="K53" s="1"/>
      <c r="L53" s="1"/>
      <c r="N53" s="1"/>
      <c r="O53" s="1"/>
      <c r="P53" s="1"/>
      <c r="Q53" s="1"/>
      <c r="R53" s="1"/>
      <c r="S53" s="1"/>
      <c r="T53" s="1"/>
      <c r="U53" s="1"/>
      <c r="V53" s="1"/>
      <c r="W53" s="1"/>
    </row>
    <row r="54" spans="1:23">
      <c r="A54" s="176"/>
      <c r="B54" s="176"/>
      <c r="C54" s="1"/>
      <c r="D54" s="1"/>
      <c r="E54" s="1"/>
      <c r="F54" s="1"/>
      <c r="G54" s="1"/>
      <c r="H54" s="1"/>
      <c r="I54" s="1"/>
      <c r="J54" s="1"/>
      <c r="K54" s="1"/>
      <c r="L54" s="1"/>
      <c r="N54" s="1"/>
      <c r="O54" s="1"/>
      <c r="P54" s="1"/>
      <c r="Q54" s="1"/>
      <c r="R54" s="1"/>
      <c r="S54" s="1"/>
      <c r="T54" s="1"/>
      <c r="U54" s="1"/>
      <c r="V54" s="1"/>
      <c r="W54" s="1"/>
    </row>
    <row r="55" spans="1:23">
      <c r="A55" s="706"/>
      <c r="B55" s="706"/>
      <c r="C55" s="706"/>
      <c r="D55" s="706"/>
      <c r="E55" s="706"/>
      <c r="F55" s="706"/>
      <c r="G55" s="706"/>
      <c r="H55" s="706"/>
      <c r="I55" s="706"/>
      <c r="J55" s="706"/>
      <c r="K55" s="706"/>
      <c r="L55" s="706"/>
      <c r="N55" s="1"/>
      <c r="O55" s="1"/>
      <c r="P55" s="1"/>
      <c r="Q55" s="1"/>
      <c r="R55" s="1"/>
      <c r="S55" s="1"/>
      <c r="T55" s="1"/>
      <c r="U55" s="1"/>
      <c r="V55" s="1"/>
      <c r="W55" s="1"/>
    </row>
    <row r="56" spans="1:23">
      <c r="A56" s="706"/>
      <c r="B56" s="706"/>
      <c r="C56" s="706"/>
      <c r="D56" s="706"/>
      <c r="E56" s="706"/>
      <c r="F56" s="706"/>
      <c r="G56" s="706"/>
      <c r="H56" s="706"/>
      <c r="I56" s="706"/>
      <c r="J56" s="706"/>
      <c r="K56" s="706"/>
      <c r="L56" s="706"/>
      <c r="N56" s="1"/>
      <c r="O56" s="1"/>
      <c r="P56" s="1"/>
      <c r="Q56" s="1"/>
      <c r="R56" s="1"/>
      <c r="S56" s="1"/>
      <c r="T56" s="1"/>
      <c r="U56" s="1"/>
      <c r="V56" s="1"/>
      <c r="W56" s="1"/>
    </row>
    <row r="57" spans="1:23" ht="15" customHeight="1">
      <c r="A57" s="707"/>
      <c r="B57" s="707"/>
      <c r="C57" s="707"/>
      <c r="D57" s="707"/>
      <c r="E57" s="707"/>
      <c r="F57" s="707"/>
      <c r="G57" s="707"/>
      <c r="H57" s="707"/>
      <c r="I57" s="707"/>
      <c r="J57" s="707"/>
      <c r="K57" s="707"/>
      <c r="L57" s="707"/>
      <c r="N57" s="1"/>
      <c r="O57" s="1"/>
      <c r="P57" s="1"/>
      <c r="Q57" s="1"/>
      <c r="R57" s="1"/>
      <c r="S57" s="1"/>
      <c r="T57" s="1"/>
      <c r="U57" s="1"/>
      <c r="V57" s="1"/>
      <c r="W57" s="1"/>
    </row>
    <row r="58" spans="1:23">
      <c r="A58" s="703"/>
      <c r="B58" s="703"/>
      <c r="C58" s="703"/>
      <c r="D58" s="703"/>
      <c r="E58" s="703"/>
      <c r="F58" s="703"/>
      <c r="G58" s="703"/>
      <c r="H58" s="703"/>
      <c r="I58" s="703"/>
      <c r="J58" s="703"/>
      <c r="K58" s="703"/>
      <c r="L58" s="703"/>
      <c r="N58" s="1"/>
      <c r="O58" s="1"/>
      <c r="P58" s="1"/>
      <c r="Q58" s="1"/>
      <c r="R58" s="1"/>
      <c r="S58" s="1"/>
      <c r="T58" s="1"/>
      <c r="U58" s="1"/>
      <c r="V58" s="1"/>
      <c r="W58" s="1"/>
    </row>
    <row r="59" spans="1:23">
      <c r="A59" s="703"/>
      <c r="B59" s="703"/>
      <c r="C59" s="703"/>
      <c r="D59" s="703"/>
      <c r="E59" s="703"/>
      <c r="F59" s="703"/>
      <c r="G59" s="703"/>
      <c r="H59" s="703"/>
      <c r="I59" s="703"/>
      <c r="J59" s="703"/>
      <c r="K59" s="703"/>
      <c r="L59" s="703"/>
      <c r="N59" s="1"/>
      <c r="O59" s="1"/>
      <c r="P59" s="1"/>
      <c r="Q59" s="1"/>
      <c r="R59" s="1"/>
      <c r="S59" s="1"/>
      <c r="T59" s="1"/>
      <c r="U59" s="1"/>
      <c r="V59" s="1"/>
      <c r="W59" s="1"/>
    </row>
    <row r="60" spans="1:23">
      <c r="A60" s="1"/>
      <c r="B60" s="1"/>
      <c r="C60" s="1"/>
      <c r="D60" s="1"/>
      <c r="E60" s="1"/>
      <c r="F60" s="1"/>
      <c r="G60" s="1"/>
      <c r="H60" s="1"/>
      <c r="I60" s="1"/>
      <c r="J60" s="1"/>
      <c r="K60" s="1"/>
      <c r="L60" s="1"/>
      <c r="N60" s="1"/>
      <c r="O60" s="1"/>
      <c r="P60" s="1"/>
      <c r="Q60" s="1"/>
      <c r="R60" s="1"/>
      <c r="S60" s="1"/>
      <c r="T60" s="1"/>
      <c r="U60" s="1"/>
      <c r="V60" s="1"/>
      <c r="W60" s="1"/>
    </row>
    <row r="61" spans="1:23">
      <c r="A61" s="1"/>
      <c r="B61" s="1"/>
      <c r="C61" s="1"/>
      <c r="D61" s="1"/>
      <c r="E61" s="1"/>
      <c r="F61" s="1"/>
      <c r="G61" s="1"/>
      <c r="H61" s="1"/>
      <c r="I61" s="1"/>
      <c r="J61" s="1"/>
      <c r="K61" s="1"/>
      <c r="L61" s="1"/>
      <c r="N61" s="1"/>
      <c r="O61" s="1"/>
      <c r="P61" s="1"/>
      <c r="Q61" s="1"/>
      <c r="R61" s="1"/>
      <c r="S61" s="1"/>
      <c r="T61" s="1"/>
      <c r="U61" s="1"/>
      <c r="V61" s="1"/>
      <c r="W61" s="1"/>
    </row>
    <row r="62" spans="1:23">
      <c r="A62" s="1"/>
      <c r="B62" s="1"/>
      <c r="C62" s="1"/>
      <c r="D62" s="1"/>
      <c r="E62" s="1"/>
      <c r="F62" s="1"/>
      <c r="G62" s="1"/>
      <c r="H62" s="1"/>
      <c r="I62" s="1"/>
      <c r="J62" s="1"/>
      <c r="K62" s="1"/>
      <c r="L62" s="1"/>
      <c r="N62" s="1"/>
      <c r="O62" s="1"/>
      <c r="P62" s="1"/>
      <c r="Q62" s="1"/>
      <c r="R62" s="1"/>
      <c r="S62" s="1"/>
      <c r="T62" s="1"/>
      <c r="U62" s="1"/>
      <c r="V62" s="1"/>
      <c r="W62" s="1"/>
    </row>
    <row r="63" spans="1:23">
      <c r="A63" s="1"/>
      <c r="B63" s="1"/>
      <c r="C63" s="1"/>
      <c r="D63" s="1"/>
      <c r="E63" s="1"/>
      <c r="F63" s="1"/>
      <c r="G63" s="1"/>
      <c r="H63" s="1"/>
      <c r="I63" s="1"/>
      <c r="J63" s="1"/>
      <c r="K63" s="1"/>
      <c r="L63" s="1"/>
      <c r="N63" s="1"/>
      <c r="O63" s="1"/>
      <c r="P63" s="1"/>
      <c r="Q63" s="1"/>
      <c r="R63" s="1"/>
      <c r="S63" s="1"/>
      <c r="T63" s="1"/>
      <c r="U63" s="1"/>
      <c r="V63" s="1"/>
      <c r="W63" s="1"/>
    </row>
    <row r="64" spans="1:23">
      <c r="A64" s="1"/>
      <c r="B64" s="1"/>
      <c r="C64" s="1"/>
      <c r="D64" s="1"/>
      <c r="E64" s="1"/>
      <c r="F64" s="1"/>
      <c r="G64" s="1"/>
      <c r="H64" s="1"/>
      <c r="I64" s="1"/>
      <c r="J64" s="1"/>
      <c r="K64" s="1"/>
      <c r="L64" s="1"/>
      <c r="N64" s="1"/>
      <c r="O64" s="1"/>
      <c r="P64" s="1"/>
      <c r="Q64" s="1"/>
      <c r="R64" s="1"/>
      <c r="S64" s="1"/>
      <c r="T64" s="1"/>
      <c r="U64" s="1"/>
      <c r="V64" s="1"/>
      <c r="W64" s="1"/>
    </row>
    <row r="65" spans="1:23">
      <c r="A65" s="1"/>
      <c r="B65" s="1"/>
      <c r="C65" s="1"/>
      <c r="D65" s="1"/>
      <c r="E65" s="1"/>
      <c r="F65" s="1"/>
      <c r="G65" s="1"/>
      <c r="H65" s="1"/>
      <c r="I65" s="1"/>
      <c r="J65" s="1"/>
      <c r="K65" s="1"/>
      <c r="L65" s="1"/>
      <c r="N65" s="1"/>
      <c r="O65" s="1"/>
      <c r="P65" s="1"/>
      <c r="Q65" s="1"/>
      <c r="R65" s="1"/>
      <c r="S65" s="1"/>
      <c r="T65" s="1"/>
      <c r="U65" s="1"/>
      <c r="V65" s="1"/>
      <c r="W65" s="1"/>
    </row>
    <row r="66" spans="1:23">
      <c r="A66" s="1"/>
      <c r="B66" s="1"/>
      <c r="C66" s="1"/>
      <c r="D66" s="1"/>
      <c r="E66" s="1"/>
      <c r="F66" s="1"/>
      <c r="G66" s="1"/>
      <c r="H66" s="1"/>
      <c r="I66" s="1"/>
      <c r="J66" s="1"/>
      <c r="K66" s="1"/>
      <c r="L66" s="1"/>
      <c r="N66" s="1"/>
      <c r="O66" s="1"/>
      <c r="P66" s="1"/>
      <c r="Q66" s="1"/>
      <c r="R66" s="1"/>
      <c r="S66" s="1"/>
      <c r="T66" s="1"/>
      <c r="U66" s="1"/>
      <c r="V66" s="1"/>
      <c r="W66" s="1"/>
    </row>
    <row r="67" spans="1:23">
      <c r="A67" s="1"/>
      <c r="B67" s="1"/>
      <c r="C67" s="1"/>
      <c r="D67" s="1"/>
      <c r="E67" s="1"/>
      <c r="F67" s="1"/>
      <c r="G67" s="1"/>
      <c r="H67" s="1"/>
      <c r="I67" s="1"/>
      <c r="J67" s="1"/>
      <c r="K67" s="1"/>
      <c r="L67" s="1"/>
      <c r="N67" s="1"/>
      <c r="O67" s="1"/>
      <c r="P67" s="1"/>
      <c r="Q67" s="1"/>
      <c r="R67" s="1"/>
      <c r="S67" s="1"/>
      <c r="T67" s="1"/>
      <c r="U67" s="1"/>
      <c r="V67" s="1"/>
      <c r="W67" s="1"/>
    </row>
    <row r="68" spans="1:23">
      <c r="A68" s="1"/>
      <c r="B68" s="1"/>
      <c r="C68" s="1"/>
      <c r="D68" s="1"/>
      <c r="E68" s="1"/>
      <c r="F68" s="1"/>
      <c r="G68" s="1"/>
      <c r="H68" s="1"/>
      <c r="I68" s="1"/>
      <c r="J68" s="1"/>
      <c r="K68" s="1"/>
      <c r="L68" s="1"/>
      <c r="N68" s="1"/>
      <c r="O68" s="1"/>
      <c r="P68" s="1"/>
      <c r="Q68" s="1"/>
      <c r="R68" s="1"/>
      <c r="S68" s="1"/>
      <c r="T68" s="1"/>
      <c r="U68" s="1"/>
      <c r="V68" s="1"/>
      <c r="W68" s="1"/>
    </row>
    <row r="69" spans="1:23">
      <c r="N69" s="1"/>
      <c r="O69" s="1"/>
      <c r="P69" s="1"/>
      <c r="Q69" s="1"/>
      <c r="R69" s="1"/>
      <c r="S69" s="1"/>
      <c r="T69" s="1"/>
      <c r="U69" s="1"/>
      <c r="V69" s="1"/>
      <c r="W69" s="1"/>
    </row>
    <row r="70" spans="1:23">
      <c r="A70" t="s">
        <v>19</v>
      </c>
      <c r="N70" s="1"/>
      <c r="O70" s="1"/>
      <c r="P70" s="1"/>
      <c r="Q70" s="1"/>
      <c r="R70" s="1"/>
      <c r="S70" s="1"/>
      <c r="T70" s="1"/>
      <c r="U70" s="1"/>
      <c r="V70" s="1"/>
      <c r="W70" s="1"/>
    </row>
    <row r="71" spans="1:23">
      <c r="A71" t="s">
        <v>43</v>
      </c>
      <c r="N71" s="1"/>
      <c r="O71" s="1"/>
      <c r="P71" s="1"/>
      <c r="Q71" s="1"/>
      <c r="R71" s="1"/>
      <c r="S71" s="1"/>
      <c r="T71" s="1"/>
      <c r="U71" s="1"/>
      <c r="V71" s="1"/>
      <c r="W71" s="1"/>
    </row>
    <row r="72" spans="1:23">
      <c r="A72" t="s">
        <v>44</v>
      </c>
      <c r="N72" s="1"/>
      <c r="O72" s="1"/>
      <c r="P72" s="1"/>
      <c r="Q72" s="1"/>
      <c r="R72" s="1"/>
      <c r="S72" s="1"/>
      <c r="T72" s="1"/>
      <c r="U72" s="1"/>
      <c r="V72" s="1"/>
      <c r="W72" s="1"/>
    </row>
  </sheetData>
  <mergeCells count="15">
    <mergeCell ref="A1:B3"/>
    <mergeCell ref="D1:V5"/>
    <mergeCell ref="N8:W8"/>
    <mergeCell ref="A55:L56"/>
    <mergeCell ref="A8:L8"/>
    <mergeCell ref="A58:L59"/>
    <mergeCell ref="D10:K10"/>
    <mergeCell ref="D12:K12"/>
    <mergeCell ref="D14:K14"/>
    <mergeCell ref="A47:J47"/>
    <mergeCell ref="A48:J48"/>
    <mergeCell ref="A49:K50"/>
    <mergeCell ref="A43:L43"/>
    <mergeCell ref="A57:L57"/>
    <mergeCell ref="E31:I33"/>
  </mergeCells>
  <dataValidations count="23">
    <dataValidation type="list" allowBlank="1" showInputMessage="1" showErrorMessage="1" sqref="E45" xr:uid="{00000000-0002-0000-0100-000000000000}">
      <formula1>$D$7:$D$9</formula1>
    </dataValidation>
    <dataValidation type="list" allowBlank="1" showInputMessage="1" showErrorMessage="1" sqref="E63 I63" xr:uid="{00000000-0002-0000-0100-000001000000}">
      <formula1>$D$11:$D$12</formula1>
    </dataValidation>
    <dataValidation allowBlank="1" showInputMessage="1" showErrorMessage="1" prompt="Indicate the name of your project that you want to onboard into SDC" sqref="D10:K10" xr:uid="{00000000-0002-0000-0100-000002000000}"/>
    <dataValidation allowBlank="1" showInputMessage="1" showErrorMessage="1" prompt="Provide names and email information of the project team" sqref="D14:K14" xr:uid="{00000000-0002-0000-0100-000003000000}"/>
    <dataValidation allowBlank="1" showInputMessage="1" showErrorMessage="1" prompt="Provide an estimate of how long your project will reside within the SDC" sqref="D16" xr:uid="{00000000-0002-0000-0100-000004000000}"/>
    <dataValidation allowBlank="1" showInputMessage="1" showErrorMessage="1" prompt="Provide a brief description of your project" sqref="D12:K12" xr:uid="{00000000-0002-0000-0100-000005000000}"/>
    <dataValidation allowBlank="1" showInputMessage="1" showErrorMessage="1" prompt="Indicate the time that it will take for planning/discovery of your project. _x000a__x000a_This time is typically around 2 months." sqref="D18" xr:uid="{00000000-0002-0000-0100-000006000000}"/>
    <dataValidation allowBlank="1" showInputMessage="1" showErrorMessage="1" prompt="Planning Stage: SDC Enablement team works with project owner to understand objectives, timelines, data provider and data analyst needs. _x000a__x000a_Discovery Stage: SDC Enablement team works with project owner to define requirements of the project._x000a_" sqref="A18:B18" xr:uid="{00000000-0002-0000-0100-000007000000}"/>
    <dataValidation allowBlank="1" showInputMessage="1" showErrorMessage="1" prompt="This phase brings the project into the SDC platform by implementing the requirements defined in the discovery phase. At the end of this phase, data analysts will be able to work on the datasets available to them as part of the project._x000a_" sqref="A19:B19" xr:uid="{00000000-0002-0000-0100-000008000000}"/>
    <dataValidation allowBlank="1" showInputMessage="1" showErrorMessage="1" prompt="During this phase, the SDC platform is being used by data analysts to achieve their research objective" sqref="A20:B20" xr:uid="{00000000-0002-0000-0100-000009000000}"/>
    <dataValidation allowBlank="1" showInputMessage="1" showErrorMessage="1" prompt="In this phase, SDC team will work with Project owners, and data providers to export their project out of the SDC." sqref="A21:B21" xr:uid="{00000000-0002-0000-0100-00000A000000}"/>
    <dataValidation allowBlank="1" showInputMessage="1" showErrorMessage="1" prompt="Indicate the time that it will take for onboarding your project to the SDC. _x000a_This time is typically around 2 months." sqref="D19" xr:uid="{00000000-0002-0000-0100-00000B000000}"/>
    <dataValidation allowBlank="1" showInputMessage="1" showErrorMessage="1" prompt="The period of time which your project is active and resides in SDC. _x000a__x000a_This time will be calculated based on other project's phases timeframe." sqref="D20" xr:uid="{00000000-0002-0000-0100-00000C000000}"/>
    <dataValidation allowBlank="1" showInputMessage="1" showErrorMessage="1" prompt="Indicate the time that it will take for your project to be exported from SDC. _x000a__x000a_This time is typically around 1 month." sqref="D21" xr:uid="{00000000-0002-0000-0100-00000D000000}"/>
    <dataValidation allowBlank="1" showInputMessage="1" showErrorMessage="1" prompt="Indicate the size and complexity of your data. Choose any value from Low, Medium, and High." sqref="A23:B23" xr:uid="{00000000-0002-0000-0100-00000E000000}"/>
    <dataValidation allowBlank="1" showInputMessage="1" showErrorMessage="1" prompt="Indicate to what extent (approximate) your project storage need would grow every month" sqref="D25" xr:uid="{00000000-0002-0000-0100-00000F000000}"/>
    <dataValidation allowBlank="1" showInputMessage="1" showErrorMessage="1" prompt="Indicate the Data Warehouse solution for your project. _x000a_ _x000a_Choose between two options (low-cost/Hadoop, high-cost/redshift)_x000a_" sqref="D26" xr:uid="{00000000-0002-0000-0100-000010000000}"/>
    <dataValidation allowBlank="1" showInputMessage="1" showErrorMessage="1" prompt="Indicate to what extent (approximate) your project use of data warehouse would increase per month" sqref="D27" xr:uid="{00000000-0002-0000-0100-000011000000}"/>
    <dataValidation allowBlank="1" showInputMessage="1" showErrorMessage="1" prompt="Indicate to what extent (approximate) your project use need of Other Data Curation/Ingest Services would grow every month" sqref="D28" xr:uid="{00000000-0002-0000-0100-000012000000}"/>
    <dataValidation allowBlank="1" showInputMessage="1" showErrorMessage="1" prompt="Indicate the number of analysts in the project. Choose from Low, Medium, and High. " sqref="A30:B30" xr:uid="{00000000-0002-0000-0100-000013000000}"/>
    <dataValidation allowBlank="1" showInputMessage="1" showErrorMessage="1" prompt="Indicate if you need any additional Enablement support beyond the basic levels of support offered by the SDC team. Choose from Gold, Silver, Bronze, A la Carte, and None." sqref="B32" xr:uid="{00000000-0002-0000-0100-000014000000}"/>
    <dataValidation allowBlank="1" showInputMessage="1" showErrorMessage="1" prompt="Indicate, for how long you would like the enablement services continue for your project. Typically offered for first third of project lifecycle" sqref="D34" xr:uid="{00000000-0002-0000-0100-000015000000}"/>
    <dataValidation allowBlank="1" showInputMessage="1" showErrorMessage="1" prompt="Indicate if you need any additional support beyond the basic platform support offered by the SDC team. Choose from Gold, Silver, Bronze" sqref="A32" xr:uid="{00000000-0002-0000-0100-000016000000}"/>
  </dataValidations>
  <hyperlinks>
    <hyperlink ref="A1" location="Intro!A1" display="Back to Intro" xr:uid="{00000000-0004-0000-0100-000000000000}"/>
    <hyperlink ref="P13" location="'ESPO Calculator'!A1" display="Cost for additional support from the SDC team. For details on these services, click here" xr:uid="{00000000-0004-0000-0100-000001000000}"/>
    <hyperlink ref="P16" location="'Platform Cloud Costs'!A1" display="Shared cost for using the SDC platform.  For details on platform overhead, click here" xr:uid="{00000000-0004-0000-0100-000002000000}"/>
    <hyperlink ref="E31" location="'Custom ESPO Selection'!A1" display="ESPO Custom Design" xr:uid="{00000000-0004-0000-0100-000003000000}"/>
  </hyperlinks>
  <pageMargins left="0.7" right="0.7" top="0.75" bottom="0.75" header="0.3" footer="0.3"/>
  <pageSetup scale="31"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Results">
                <anchor moveWithCells="1" sizeWithCells="1">
                  <from>
                    <xdr:col>0</xdr:col>
                    <xdr:colOff>942975</xdr:colOff>
                    <xdr:row>3</xdr:row>
                    <xdr:rowOff>114300</xdr:rowOff>
                  </from>
                  <to>
                    <xdr:col>1</xdr:col>
                    <xdr:colOff>723900</xdr:colOff>
                    <xdr:row>4</xdr:row>
                    <xdr:rowOff>371475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17000000}">
          <x14:formula1>
            <xm:f>Inputs!$D$3:$D$5</xm:f>
          </x14:formula1>
          <xm:sqref>E42</xm:sqref>
        </x14:dataValidation>
        <x14:dataValidation type="list" allowBlank="1" showInputMessage="1" showErrorMessage="1" xr:uid="{00000000-0002-0000-0100-000018000000}">
          <x14:formula1>
            <xm:f>Inputs!$C$3:$C$6</xm:f>
          </x14:formula1>
          <xm:sqref>D35:D36 D33</xm:sqref>
        </x14:dataValidation>
        <x14:dataValidation type="list" allowBlank="1" showInputMessage="1" showErrorMessage="1" prompt="Gold: Users have little experience in cloud-based analytics._x000a__x000a_Silver: Some expert users but need significant support in using the tools within SDC_x000a__x000a_Custom: custom selection of support_x000a__x000a_None: I have access to experts and don't need additional support_x000a__x000a_" xr:uid="{00000000-0002-0000-0100-000019000000}">
          <x14:formula1>
            <xm:f>Inputs!$E$3:$E$6</xm:f>
          </x14:formula1>
          <xm:sqref>D32</xm:sqref>
        </x14:dataValidation>
        <x14:dataValidation type="list" allowBlank="1" showInputMessage="1" showErrorMessage="1" prompt="High:  Multiple data providers, &gt;50 TB, real-time ingest, high-level of data warehousing needs_x000a__x000a_Medium: Single data provider, &lt;50 TB, mostly batch uploads, normal data warehousing needs_x000a__x000a_Low:  Single data provider, &lt;10TB, mostly batch or one-time upload_x000a__x000a_" xr:uid="{00000000-0002-0000-0100-00001A000000}">
          <x14:formula1>
            <xm:f>Inputs!$D$3:$D$5</xm:f>
          </x14:formula1>
          <xm:sqref>D23</xm:sqref>
        </x14:dataValidation>
        <x14:dataValidation type="list" allowBlank="1" showInputMessage="1" showErrorMessage="1" prompt="High: &gt;30 users, high level of computing power, high-intensity analysis, custom licensed tools_x000a__x000a_Medium:10-30 users, medium computing, open source tools, limited high-intensity_x000a__x000a_Low:&lt;10 users, medium or regular workstations, only open source tools_x000a_" xr:uid="{00000000-0002-0000-0100-00001B000000}">
          <x14:formula1>
            <xm:f>Inputs!$D$3:$D$5</xm:f>
          </x14:formula1>
          <xm:sqref>D30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tabColor theme="9" tint="-0.499984740745262"/>
  </sheetPr>
  <dimension ref="A1:N37"/>
  <sheetViews>
    <sheetView topLeftCell="A16" zoomScale="55" zoomScaleNormal="55" workbookViewId="0">
      <selection activeCell="C15" sqref="C15:C17"/>
    </sheetView>
  </sheetViews>
  <sheetFormatPr defaultRowHeight="14.25"/>
  <cols>
    <col min="1" max="1" width="10.265625" style="47" bestFit="1" customWidth="1"/>
    <col min="2" max="2" width="27.86328125" style="47" bestFit="1" customWidth="1"/>
    <col min="3" max="3" width="30.1328125" style="47" bestFit="1" customWidth="1"/>
    <col min="4" max="4" width="25.59765625" style="47" customWidth="1"/>
    <col min="5" max="5" width="65.265625" style="47" customWidth="1"/>
    <col min="6" max="13" width="9.1328125" style="47"/>
    <col min="14" max="14" width="12.3984375" customWidth="1"/>
  </cols>
  <sheetData>
    <row r="1" spans="1:14" ht="16.899999999999999" thickBot="1">
      <c r="A1" s="185"/>
      <c r="B1" s="186"/>
      <c r="C1" s="186"/>
      <c r="D1" s="186"/>
      <c r="E1" s="186"/>
      <c r="F1" s="186"/>
      <c r="G1" s="186"/>
      <c r="H1" s="186"/>
      <c r="I1" s="186"/>
      <c r="J1" s="724" t="s">
        <v>6</v>
      </c>
      <c r="K1" s="724"/>
      <c r="L1" s="724"/>
      <c r="M1" s="724"/>
    </row>
    <row r="2" spans="1:14" ht="33.4" thickBot="1">
      <c r="A2" s="187" t="s">
        <v>376</v>
      </c>
      <c r="B2" s="187" t="s">
        <v>377</v>
      </c>
      <c r="C2" s="187" t="s">
        <v>378</v>
      </c>
      <c r="D2" s="187" t="s">
        <v>437</v>
      </c>
      <c r="E2" s="187" t="s">
        <v>379</v>
      </c>
      <c r="F2" s="187" t="s">
        <v>380</v>
      </c>
      <c r="G2" s="187" t="s">
        <v>200</v>
      </c>
      <c r="H2" s="187" t="s">
        <v>199</v>
      </c>
      <c r="I2" s="187" t="s">
        <v>198</v>
      </c>
      <c r="J2" s="187" t="s">
        <v>380</v>
      </c>
      <c r="K2" s="187" t="s">
        <v>200</v>
      </c>
      <c r="L2" s="187" t="s">
        <v>199</v>
      </c>
      <c r="M2" s="187" t="s">
        <v>198</v>
      </c>
      <c r="N2" s="197"/>
    </row>
    <row r="3" spans="1:14" ht="16.899999999999999" thickBot="1">
      <c r="A3" s="712" t="s">
        <v>381</v>
      </c>
      <c r="B3" s="713"/>
      <c r="C3" s="713"/>
      <c r="D3" s="713"/>
      <c r="E3" s="713"/>
      <c r="F3" s="713"/>
      <c r="G3" s="713"/>
      <c r="H3" s="713"/>
      <c r="I3" s="714"/>
      <c r="J3" s="180"/>
      <c r="K3" s="180"/>
      <c r="L3" s="180"/>
      <c r="M3" s="180"/>
    </row>
    <row r="4" spans="1:14" ht="33">
      <c r="A4" s="715"/>
      <c r="B4" s="188" t="s">
        <v>382</v>
      </c>
      <c r="C4" s="715" t="s">
        <v>385</v>
      </c>
      <c r="D4" s="718" t="s">
        <v>386</v>
      </c>
      <c r="E4" s="189" t="s">
        <v>387</v>
      </c>
      <c r="F4" s="721" t="s">
        <v>391</v>
      </c>
      <c r="G4" s="721" t="s">
        <v>391</v>
      </c>
      <c r="H4" s="721" t="s">
        <v>391</v>
      </c>
      <c r="I4" s="721" t="s">
        <v>391</v>
      </c>
      <c r="J4" s="721"/>
      <c r="K4" s="721"/>
      <c r="L4" s="721"/>
      <c r="M4" s="721"/>
    </row>
    <row r="5" spans="1:14" ht="49.5">
      <c r="A5" s="716"/>
      <c r="B5" s="190" t="s">
        <v>383</v>
      </c>
      <c r="C5" s="716"/>
      <c r="D5" s="719"/>
      <c r="E5" s="190" t="s">
        <v>388</v>
      </c>
      <c r="F5" s="722"/>
      <c r="G5" s="722"/>
      <c r="H5" s="722"/>
      <c r="I5" s="722"/>
      <c r="J5" s="722"/>
      <c r="K5" s="722"/>
      <c r="L5" s="722"/>
      <c r="M5" s="722"/>
    </row>
    <row r="6" spans="1:14" ht="33">
      <c r="A6" s="716"/>
      <c r="B6" s="190" t="s">
        <v>384</v>
      </c>
      <c r="C6" s="716"/>
      <c r="D6" s="719"/>
      <c r="E6" s="190" t="s">
        <v>389</v>
      </c>
      <c r="F6" s="722"/>
      <c r="G6" s="722"/>
      <c r="H6" s="722"/>
      <c r="I6" s="722"/>
      <c r="J6" s="722"/>
      <c r="K6" s="722"/>
      <c r="L6" s="722"/>
      <c r="M6" s="722"/>
    </row>
    <row r="7" spans="1:14" ht="16.899999999999999" thickBot="1">
      <c r="A7" s="717"/>
      <c r="B7" s="191"/>
      <c r="C7" s="717"/>
      <c r="D7" s="720"/>
      <c r="E7" s="192" t="s">
        <v>390</v>
      </c>
      <c r="F7" s="723"/>
      <c r="G7" s="723"/>
      <c r="H7" s="723"/>
      <c r="I7" s="723"/>
      <c r="J7" s="723"/>
      <c r="K7" s="723"/>
      <c r="L7" s="723"/>
      <c r="M7" s="723"/>
    </row>
    <row r="8" spans="1:14" ht="33">
      <c r="A8" s="715"/>
      <c r="B8" s="715" t="s">
        <v>392</v>
      </c>
      <c r="C8" s="715" t="s">
        <v>393</v>
      </c>
      <c r="D8" s="718" t="s">
        <v>394</v>
      </c>
      <c r="E8" s="189" t="s">
        <v>395</v>
      </c>
      <c r="F8" s="721" t="s">
        <v>391</v>
      </c>
      <c r="G8" s="715" t="s">
        <v>391</v>
      </c>
      <c r="H8" s="715" t="s">
        <v>391</v>
      </c>
      <c r="I8" s="715" t="s">
        <v>391</v>
      </c>
      <c r="J8" s="721"/>
      <c r="K8" s="715"/>
      <c r="L8" s="715"/>
      <c r="M8" s="715"/>
    </row>
    <row r="9" spans="1:14" ht="49.5">
      <c r="A9" s="716"/>
      <c r="B9" s="716"/>
      <c r="C9" s="716"/>
      <c r="D9" s="719"/>
      <c r="E9" s="190" t="s">
        <v>396</v>
      </c>
      <c r="F9" s="722"/>
      <c r="G9" s="716"/>
      <c r="H9" s="716"/>
      <c r="I9" s="716"/>
      <c r="J9" s="722"/>
      <c r="K9" s="716"/>
      <c r="L9" s="716"/>
      <c r="M9" s="716"/>
    </row>
    <row r="10" spans="1:14" ht="16.899999999999999" thickBot="1">
      <c r="A10" s="717"/>
      <c r="B10" s="717"/>
      <c r="C10" s="717"/>
      <c r="D10" s="720"/>
      <c r="E10" s="192" t="s">
        <v>397</v>
      </c>
      <c r="F10" s="723"/>
      <c r="G10" s="717"/>
      <c r="H10" s="717"/>
      <c r="I10" s="717"/>
      <c r="J10" s="723"/>
      <c r="K10" s="717"/>
      <c r="L10" s="717"/>
      <c r="M10" s="717"/>
    </row>
    <row r="11" spans="1:14" ht="33">
      <c r="A11" s="715"/>
      <c r="B11" s="188" t="s">
        <v>382</v>
      </c>
      <c r="C11" s="188" t="s">
        <v>398</v>
      </c>
      <c r="D11" s="718" t="s">
        <v>400</v>
      </c>
      <c r="E11" s="189" t="s">
        <v>401</v>
      </c>
      <c r="F11" s="721" t="s">
        <v>391</v>
      </c>
      <c r="G11" s="715" t="s">
        <v>391</v>
      </c>
      <c r="H11" s="715" t="s">
        <v>391</v>
      </c>
      <c r="I11" s="715" t="s">
        <v>391</v>
      </c>
      <c r="J11" s="721"/>
      <c r="K11" s="715"/>
      <c r="L11" s="715"/>
      <c r="M11" s="715"/>
    </row>
    <row r="12" spans="1:14" ht="99">
      <c r="A12" s="716"/>
      <c r="B12" s="190" t="s">
        <v>384</v>
      </c>
      <c r="C12" s="190" t="s">
        <v>399</v>
      </c>
      <c r="D12" s="719"/>
      <c r="E12" s="190" t="s">
        <v>402</v>
      </c>
      <c r="F12" s="722"/>
      <c r="G12" s="716"/>
      <c r="H12" s="716"/>
      <c r="I12" s="716"/>
      <c r="J12" s="722"/>
      <c r="K12" s="716"/>
      <c r="L12" s="716"/>
      <c r="M12" s="716"/>
    </row>
    <row r="13" spans="1:14" ht="16.899999999999999" thickBot="1">
      <c r="A13" s="717"/>
      <c r="B13" s="191"/>
      <c r="C13" s="193" t="s">
        <v>8</v>
      </c>
      <c r="D13" s="720"/>
      <c r="E13" s="192" t="s">
        <v>403</v>
      </c>
      <c r="F13" s="723"/>
      <c r="G13" s="717"/>
      <c r="H13" s="717"/>
      <c r="I13" s="717"/>
      <c r="J13" s="723"/>
      <c r="K13" s="717"/>
      <c r="L13" s="717"/>
      <c r="M13" s="717"/>
    </row>
    <row r="14" spans="1:14" ht="16.899999999999999" thickBot="1">
      <c r="A14" s="712" t="s">
        <v>404</v>
      </c>
      <c r="B14" s="713"/>
      <c r="C14" s="713"/>
      <c r="D14" s="713"/>
      <c r="E14" s="713"/>
      <c r="F14" s="713"/>
      <c r="G14" s="713"/>
      <c r="H14" s="713"/>
      <c r="I14" s="714"/>
      <c r="J14" s="180"/>
      <c r="K14" s="180"/>
      <c r="L14" s="180"/>
      <c r="M14" s="180"/>
    </row>
    <row r="15" spans="1:14" ht="33">
      <c r="A15" s="715"/>
      <c r="B15" s="715" t="s">
        <v>405</v>
      </c>
      <c r="C15" s="715" t="s">
        <v>385</v>
      </c>
      <c r="D15" s="718" t="s">
        <v>406</v>
      </c>
      <c r="E15" s="189" t="s">
        <v>407</v>
      </c>
      <c r="F15" s="721" t="s">
        <v>391</v>
      </c>
      <c r="G15" s="715" t="s">
        <v>391</v>
      </c>
      <c r="H15" s="715" t="s">
        <v>391</v>
      </c>
      <c r="I15" s="715" t="s">
        <v>391</v>
      </c>
      <c r="J15" s="721"/>
      <c r="K15" s="715"/>
      <c r="L15" s="715"/>
      <c r="M15" s="715"/>
    </row>
    <row r="16" spans="1:14" ht="49.5">
      <c r="A16" s="716"/>
      <c r="B16" s="716"/>
      <c r="C16" s="716"/>
      <c r="D16" s="719"/>
      <c r="E16" s="190" t="s">
        <v>408</v>
      </c>
      <c r="F16" s="722"/>
      <c r="G16" s="716"/>
      <c r="H16" s="716"/>
      <c r="I16" s="716"/>
      <c r="J16" s="722"/>
      <c r="K16" s="716"/>
      <c r="L16" s="716"/>
      <c r="M16" s="716"/>
    </row>
    <row r="17" spans="1:13" ht="33.4" thickBot="1">
      <c r="A17" s="717"/>
      <c r="B17" s="717"/>
      <c r="C17" s="717"/>
      <c r="D17" s="720"/>
      <c r="E17" s="192" t="s">
        <v>409</v>
      </c>
      <c r="F17" s="723"/>
      <c r="G17" s="717"/>
      <c r="H17" s="717"/>
      <c r="I17" s="717"/>
      <c r="J17" s="723"/>
      <c r="K17" s="717"/>
      <c r="L17" s="717"/>
      <c r="M17" s="717"/>
    </row>
    <row r="18" spans="1:13" ht="33">
      <c r="A18" s="715"/>
      <c r="B18" s="715" t="s">
        <v>392</v>
      </c>
      <c r="C18" s="715" t="s">
        <v>410</v>
      </c>
      <c r="D18" s="718" t="s">
        <v>411</v>
      </c>
      <c r="E18" s="189" t="s">
        <v>412</v>
      </c>
      <c r="F18" s="721" t="s">
        <v>391</v>
      </c>
      <c r="G18" s="715" t="s">
        <v>391</v>
      </c>
      <c r="H18" s="715" t="s">
        <v>391</v>
      </c>
      <c r="I18" s="715" t="s">
        <v>391</v>
      </c>
      <c r="J18" s="721"/>
      <c r="K18" s="715"/>
      <c r="L18" s="715"/>
      <c r="M18" s="715"/>
    </row>
    <row r="19" spans="1:13" ht="49.5">
      <c r="A19" s="716"/>
      <c r="B19" s="716"/>
      <c r="C19" s="716"/>
      <c r="D19" s="719"/>
      <c r="E19" s="190" t="s">
        <v>413</v>
      </c>
      <c r="F19" s="722"/>
      <c r="G19" s="716"/>
      <c r="H19" s="716"/>
      <c r="I19" s="716"/>
      <c r="J19" s="722"/>
      <c r="K19" s="716"/>
      <c r="L19" s="716"/>
      <c r="M19" s="716"/>
    </row>
    <row r="20" spans="1:13" ht="33">
      <c r="A20" s="716"/>
      <c r="B20" s="716"/>
      <c r="C20" s="716"/>
      <c r="D20" s="719"/>
      <c r="E20" s="190" t="s">
        <v>414</v>
      </c>
      <c r="F20" s="722"/>
      <c r="G20" s="716"/>
      <c r="H20" s="716"/>
      <c r="I20" s="716"/>
      <c r="J20" s="722"/>
      <c r="K20" s="716"/>
      <c r="L20" s="716"/>
      <c r="M20" s="716"/>
    </row>
    <row r="21" spans="1:13" ht="33.4" thickBot="1">
      <c r="A21" s="717"/>
      <c r="B21" s="717"/>
      <c r="C21" s="717"/>
      <c r="D21" s="720"/>
      <c r="E21" s="192" t="s">
        <v>415</v>
      </c>
      <c r="F21" s="723"/>
      <c r="G21" s="717"/>
      <c r="H21" s="717"/>
      <c r="I21" s="717"/>
      <c r="J21" s="723"/>
      <c r="K21" s="717"/>
      <c r="L21" s="717"/>
      <c r="M21" s="717"/>
    </row>
    <row r="22" spans="1:13" ht="66">
      <c r="A22" s="715"/>
      <c r="B22" s="715" t="s">
        <v>384</v>
      </c>
      <c r="C22" s="715" t="s">
        <v>8</v>
      </c>
      <c r="D22" s="718" t="s">
        <v>416</v>
      </c>
      <c r="E22" s="189" t="s">
        <v>417</v>
      </c>
      <c r="F22" s="715"/>
      <c r="G22" s="715" t="s">
        <v>391</v>
      </c>
      <c r="H22" s="721" t="s">
        <v>391</v>
      </c>
      <c r="I22" s="721" t="s">
        <v>391</v>
      </c>
      <c r="J22" s="715"/>
      <c r="K22" s="715"/>
      <c r="L22" s="721"/>
      <c r="M22" s="721"/>
    </row>
    <row r="23" spans="1:13" ht="16.899999999999999" thickBot="1">
      <c r="A23" s="717"/>
      <c r="B23" s="717"/>
      <c r="C23" s="717"/>
      <c r="D23" s="720"/>
      <c r="E23" s="192" t="s">
        <v>418</v>
      </c>
      <c r="F23" s="717"/>
      <c r="G23" s="717"/>
      <c r="H23" s="723"/>
      <c r="I23" s="723"/>
      <c r="J23" s="717"/>
      <c r="K23" s="717"/>
      <c r="L23" s="723"/>
      <c r="M23" s="723"/>
    </row>
    <row r="24" spans="1:13" ht="33">
      <c r="A24" s="715"/>
      <c r="B24" s="715" t="s">
        <v>384</v>
      </c>
      <c r="C24" s="715" t="s">
        <v>8</v>
      </c>
      <c r="D24" s="718" t="s">
        <v>419</v>
      </c>
      <c r="E24" s="189" t="s">
        <v>420</v>
      </c>
      <c r="F24" s="721"/>
      <c r="G24" s="715" t="s">
        <v>391</v>
      </c>
      <c r="H24" s="715" t="s">
        <v>391</v>
      </c>
      <c r="I24" s="721" t="s">
        <v>391</v>
      </c>
      <c r="J24" s="721"/>
      <c r="K24" s="715"/>
      <c r="L24" s="715"/>
      <c r="M24" s="721"/>
    </row>
    <row r="25" spans="1:13" ht="33">
      <c r="A25" s="716"/>
      <c r="B25" s="716"/>
      <c r="C25" s="716"/>
      <c r="D25" s="719"/>
      <c r="E25" s="190" t="s">
        <v>421</v>
      </c>
      <c r="F25" s="722"/>
      <c r="G25" s="716"/>
      <c r="H25" s="716"/>
      <c r="I25" s="722"/>
      <c r="J25" s="722"/>
      <c r="K25" s="716"/>
      <c r="L25" s="716"/>
      <c r="M25" s="722"/>
    </row>
    <row r="26" spans="1:13" ht="16.899999999999999" thickBot="1">
      <c r="A26" s="717"/>
      <c r="B26" s="717"/>
      <c r="C26" s="717"/>
      <c r="D26" s="720"/>
      <c r="E26" s="192" t="s">
        <v>418</v>
      </c>
      <c r="F26" s="723"/>
      <c r="G26" s="717"/>
      <c r="H26" s="717"/>
      <c r="I26" s="723"/>
      <c r="J26" s="723"/>
      <c r="K26" s="717"/>
      <c r="L26" s="717"/>
      <c r="M26" s="723"/>
    </row>
    <row r="27" spans="1:13" ht="49.5">
      <c r="A27" s="715"/>
      <c r="B27" s="715" t="s">
        <v>384</v>
      </c>
      <c r="C27" s="715" t="s">
        <v>422</v>
      </c>
      <c r="D27" s="718" t="s">
        <v>423</v>
      </c>
      <c r="E27" s="189" t="s">
        <v>424</v>
      </c>
      <c r="F27" s="721" t="s">
        <v>391</v>
      </c>
      <c r="G27" s="715" t="s">
        <v>391</v>
      </c>
      <c r="H27" s="721" t="s">
        <v>391</v>
      </c>
      <c r="I27" s="721" t="s">
        <v>391</v>
      </c>
      <c r="J27" s="721"/>
      <c r="K27" s="715"/>
      <c r="L27" s="721"/>
      <c r="M27" s="721"/>
    </row>
    <row r="28" spans="1:13" ht="66">
      <c r="A28" s="716"/>
      <c r="B28" s="716"/>
      <c r="C28" s="716"/>
      <c r="D28" s="719"/>
      <c r="E28" s="190" t="s">
        <v>425</v>
      </c>
      <c r="F28" s="722"/>
      <c r="G28" s="716"/>
      <c r="H28" s="722"/>
      <c r="I28" s="722"/>
      <c r="J28" s="722"/>
      <c r="K28" s="716"/>
      <c r="L28" s="722"/>
      <c r="M28" s="722"/>
    </row>
    <row r="29" spans="1:13" ht="16.899999999999999" thickBot="1">
      <c r="A29" s="717"/>
      <c r="B29" s="717"/>
      <c r="C29" s="717"/>
      <c r="D29" s="720"/>
      <c r="E29" s="192" t="s">
        <v>418</v>
      </c>
      <c r="F29" s="723"/>
      <c r="G29" s="717"/>
      <c r="H29" s="723"/>
      <c r="I29" s="723"/>
      <c r="J29" s="723"/>
      <c r="K29" s="717"/>
      <c r="L29" s="723"/>
      <c r="M29" s="723"/>
    </row>
    <row r="30" spans="1:13" ht="49.5">
      <c r="A30" s="715"/>
      <c r="B30" s="715" t="s">
        <v>426</v>
      </c>
      <c r="C30" s="715" t="s">
        <v>8</v>
      </c>
      <c r="D30" s="718" t="s">
        <v>427</v>
      </c>
      <c r="E30" s="194" t="s">
        <v>428</v>
      </c>
      <c r="F30" s="721" t="s">
        <v>391</v>
      </c>
      <c r="G30" s="715" t="s">
        <v>391</v>
      </c>
      <c r="H30" s="715" t="s">
        <v>391</v>
      </c>
      <c r="I30" s="715" t="s">
        <v>391</v>
      </c>
      <c r="J30" s="721"/>
      <c r="K30" s="715"/>
      <c r="L30" s="715"/>
      <c r="M30" s="715"/>
    </row>
    <row r="31" spans="1:13" ht="33">
      <c r="A31" s="716"/>
      <c r="B31" s="716"/>
      <c r="C31" s="716"/>
      <c r="D31" s="719"/>
      <c r="E31" s="195" t="s">
        <v>429</v>
      </c>
      <c r="F31" s="722"/>
      <c r="G31" s="716"/>
      <c r="H31" s="716"/>
      <c r="I31" s="716"/>
      <c r="J31" s="722"/>
      <c r="K31" s="716"/>
      <c r="L31" s="716"/>
      <c r="M31" s="716"/>
    </row>
    <row r="32" spans="1:13" ht="16.899999999999999" thickBot="1">
      <c r="A32" s="717"/>
      <c r="B32" s="717"/>
      <c r="C32" s="717"/>
      <c r="D32" s="720"/>
      <c r="E32" s="192" t="s">
        <v>430</v>
      </c>
      <c r="F32" s="723"/>
      <c r="G32" s="717"/>
      <c r="H32" s="717"/>
      <c r="I32" s="717"/>
      <c r="J32" s="723"/>
      <c r="K32" s="717"/>
      <c r="L32" s="717"/>
      <c r="M32" s="717"/>
    </row>
    <row r="33" spans="1:13" ht="16.899999999999999" thickBot="1">
      <c r="A33" s="712" t="s">
        <v>431</v>
      </c>
      <c r="B33" s="713"/>
      <c r="C33" s="713"/>
      <c r="D33" s="713"/>
      <c r="E33" s="713"/>
      <c r="F33" s="713"/>
      <c r="G33" s="713"/>
      <c r="H33" s="713"/>
      <c r="I33" s="714"/>
      <c r="J33" s="180"/>
      <c r="K33" s="180"/>
      <c r="L33" s="180"/>
      <c r="M33" s="180"/>
    </row>
    <row r="34" spans="1:13" ht="33">
      <c r="A34" s="715"/>
      <c r="B34" s="715" t="s">
        <v>426</v>
      </c>
      <c r="C34" s="715" t="s">
        <v>8</v>
      </c>
      <c r="D34" s="718" t="s">
        <v>432</v>
      </c>
      <c r="E34" s="189" t="s">
        <v>433</v>
      </c>
      <c r="F34" s="721" t="s">
        <v>391</v>
      </c>
      <c r="G34" s="715"/>
      <c r="H34" s="715"/>
      <c r="I34" s="715"/>
      <c r="J34" s="721"/>
      <c r="K34" s="715"/>
      <c r="L34" s="715"/>
      <c r="M34" s="715"/>
    </row>
    <row r="35" spans="1:13" ht="49.5">
      <c r="A35" s="716"/>
      <c r="B35" s="716"/>
      <c r="C35" s="716"/>
      <c r="D35" s="719"/>
      <c r="E35" s="190" t="s">
        <v>434</v>
      </c>
      <c r="F35" s="722"/>
      <c r="G35" s="716"/>
      <c r="H35" s="716"/>
      <c r="I35" s="716"/>
      <c r="J35" s="722"/>
      <c r="K35" s="716"/>
      <c r="L35" s="716"/>
      <c r="M35" s="716"/>
    </row>
    <row r="36" spans="1:13" ht="49.5">
      <c r="A36" s="716"/>
      <c r="B36" s="716"/>
      <c r="C36" s="716"/>
      <c r="D36" s="719"/>
      <c r="E36" s="190" t="s">
        <v>435</v>
      </c>
      <c r="F36" s="722"/>
      <c r="G36" s="716"/>
      <c r="H36" s="716"/>
      <c r="I36" s="716"/>
      <c r="J36" s="722"/>
      <c r="K36" s="716"/>
      <c r="L36" s="716"/>
      <c r="M36" s="716"/>
    </row>
    <row r="37" spans="1:13" ht="16.899999999999999" thickBot="1">
      <c r="A37" s="717"/>
      <c r="B37" s="717"/>
      <c r="C37" s="717"/>
      <c r="D37" s="720"/>
      <c r="E37" s="196" t="s">
        <v>436</v>
      </c>
      <c r="F37" s="723"/>
      <c r="G37" s="717"/>
      <c r="H37" s="717"/>
      <c r="I37" s="717"/>
      <c r="J37" s="723"/>
      <c r="K37" s="717"/>
      <c r="L37" s="717"/>
      <c r="M37" s="717"/>
    </row>
  </sheetData>
  <mergeCells count="121">
    <mergeCell ref="J1:M1"/>
    <mergeCell ref="J30:J32"/>
    <mergeCell ref="K30:K32"/>
    <mergeCell ref="L30:L32"/>
    <mergeCell ref="M30:M32"/>
    <mergeCell ref="J34:J37"/>
    <mergeCell ref="K34:K37"/>
    <mergeCell ref="L34:L37"/>
    <mergeCell ref="M34:M37"/>
    <mergeCell ref="J24:J26"/>
    <mergeCell ref="K24:K26"/>
    <mergeCell ref="L24:L26"/>
    <mergeCell ref="M24:M26"/>
    <mergeCell ref="J27:J29"/>
    <mergeCell ref="K27:K29"/>
    <mergeCell ref="L27:L29"/>
    <mergeCell ref="M27:M29"/>
    <mergeCell ref="J18:J21"/>
    <mergeCell ref="K18:K21"/>
    <mergeCell ref="L18:L21"/>
    <mergeCell ref="M18:M21"/>
    <mergeCell ref="J22:J23"/>
    <mergeCell ref="K22:K23"/>
    <mergeCell ref="L22:L23"/>
    <mergeCell ref="M22:M23"/>
    <mergeCell ref="K11:K13"/>
    <mergeCell ref="L11:L13"/>
    <mergeCell ref="M11:M13"/>
    <mergeCell ref="J15:J17"/>
    <mergeCell ref="K15:K17"/>
    <mergeCell ref="L15:L17"/>
    <mergeCell ref="M15:M17"/>
    <mergeCell ref="I34:I37"/>
    <mergeCell ref="A14:I14"/>
    <mergeCell ref="A15:A17"/>
    <mergeCell ref="B15:B17"/>
    <mergeCell ref="C15:C17"/>
    <mergeCell ref="D15:D17"/>
    <mergeCell ref="F15:F17"/>
    <mergeCell ref="G15:G17"/>
    <mergeCell ref="H15:H17"/>
    <mergeCell ref="I15:I17"/>
    <mergeCell ref="H30:H32"/>
    <mergeCell ref="I30:I32"/>
    <mergeCell ref="A33:I33"/>
    <mergeCell ref="A34:A37"/>
    <mergeCell ref="B34:B37"/>
    <mergeCell ref="C34:C37"/>
    <mergeCell ref="J4:J7"/>
    <mergeCell ref="K4:K7"/>
    <mergeCell ref="L4:L7"/>
    <mergeCell ref="M4:M7"/>
    <mergeCell ref="J8:J10"/>
    <mergeCell ref="K8:K10"/>
    <mergeCell ref="L8:L10"/>
    <mergeCell ref="M8:M10"/>
    <mergeCell ref="J11:J13"/>
    <mergeCell ref="D34:D37"/>
    <mergeCell ref="F34:F37"/>
    <mergeCell ref="G34:G37"/>
    <mergeCell ref="H34:H37"/>
    <mergeCell ref="A30:A32"/>
    <mergeCell ref="B30:B32"/>
    <mergeCell ref="C30:C32"/>
    <mergeCell ref="D30:D32"/>
    <mergeCell ref="F30:F32"/>
    <mergeCell ref="G30:G32"/>
    <mergeCell ref="H24:H26"/>
    <mergeCell ref="I24:I26"/>
    <mergeCell ref="A27:A29"/>
    <mergeCell ref="B27:B29"/>
    <mergeCell ref="C27:C29"/>
    <mergeCell ref="D27:D29"/>
    <mergeCell ref="F27:F29"/>
    <mergeCell ref="G27:G29"/>
    <mergeCell ref="H27:H29"/>
    <mergeCell ref="I27:I29"/>
    <mergeCell ref="A24:A26"/>
    <mergeCell ref="B24:B26"/>
    <mergeCell ref="C24:C26"/>
    <mergeCell ref="D24:D26"/>
    <mergeCell ref="F24:F26"/>
    <mergeCell ref="G24:G26"/>
    <mergeCell ref="H18:H21"/>
    <mergeCell ref="I18:I21"/>
    <mergeCell ref="A22:A23"/>
    <mergeCell ref="B22:B23"/>
    <mergeCell ref="C22:C23"/>
    <mergeCell ref="D22:D23"/>
    <mergeCell ref="F22:F23"/>
    <mergeCell ref="G22:G23"/>
    <mergeCell ref="H22:H23"/>
    <mergeCell ref="I22:I23"/>
    <mergeCell ref="A18:A21"/>
    <mergeCell ref="B18:B21"/>
    <mergeCell ref="C18:C21"/>
    <mergeCell ref="D18:D21"/>
    <mergeCell ref="F18:F21"/>
    <mergeCell ref="G18:G21"/>
    <mergeCell ref="A11:A13"/>
    <mergeCell ref="D11:D13"/>
    <mergeCell ref="F11:F13"/>
    <mergeCell ref="G11:G13"/>
    <mergeCell ref="H11:H13"/>
    <mergeCell ref="I11:I13"/>
    <mergeCell ref="A8:A10"/>
    <mergeCell ref="B8:B10"/>
    <mergeCell ref="C8:C10"/>
    <mergeCell ref="D8:D10"/>
    <mergeCell ref="F8:F10"/>
    <mergeCell ref="G8:G10"/>
    <mergeCell ref="A3:I3"/>
    <mergeCell ref="A4:A7"/>
    <mergeCell ref="C4:C7"/>
    <mergeCell ref="D4:D7"/>
    <mergeCell ref="F4:F7"/>
    <mergeCell ref="G4:G7"/>
    <mergeCell ref="H4:H7"/>
    <mergeCell ref="I4:I7"/>
    <mergeCell ref="H8:H10"/>
    <mergeCell ref="I8:I10"/>
  </mergeCells>
  <hyperlinks>
    <hyperlink ref="D4" r:id="rId1" location="WorkingCopy:EnablementServicesProgramOffering_DRAFT-ESPO1" display="https://securedatacommons.atlassian.net/wiki/spaces/SD/pages/96632933/Working+Copy+Enablement+Services+Program+Offering+DRAFT - WorkingCopy:EnablementServicesProgramOffering_DRAFT-ESPO1" xr:uid="{00000000-0004-0000-0200-000000000000}"/>
    <hyperlink ref="D8" r:id="rId2" location="WorkingCopy:EnablementServicesProgramOffering_DRAFT-ESPO2" display="https://securedatacommons.atlassian.net/wiki/spaces/SD/pages/96632933/Working+Copy+Enablement+Services+Program+Offering+DRAFT - WorkingCopy:EnablementServicesProgramOffering_DRAFT-ESPO2" xr:uid="{00000000-0004-0000-0200-000001000000}"/>
    <hyperlink ref="D11" r:id="rId3" location="WorkingCopy:EnablementServicesProgramOffering_DRAFT-ESPO" display="https://securedatacommons.atlassian.net/wiki/spaces/SD/pages/96632933/Working+Copy+Enablement+Services+Program+Offering+DRAFT - WorkingCopy:EnablementServicesProgramOffering_DRAFT-ESPO" xr:uid="{00000000-0004-0000-0200-000002000000}"/>
    <hyperlink ref="D15" r:id="rId4" location="WorkingCopy:EnablementServicesProgramOffering_DRAFT-ESPO4" display="WorkingCopy:EnablementServicesProgramOffering_DRAFT-ESPO4" xr:uid="{00000000-0004-0000-0200-000003000000}"/>
    <hyperlink ref="D18" r:id="rId5" location="WorkingCopy:EnablementServicesProgramOffering_DRAFT-ESPO5" display="https://securedatacommons.atlassian.net/wiki/spaces/SD/pages/96632933/Working+Copy+Enablement+Services+Program+Offering+DRAFT - WorkingCopy:EnablementServicesProgramOffering_DRAFT-ESPO5" xr:uid="{00000000-0004-0000-0200-000004000000}"/>
    <hyperlink ref="D22" r:id="rId6" location="WorkingCopy:EnablementServicesProgramOffering_DRAFT-ESPO6" display="https://securedatacommons.atlassian.net/wiki/spaces/SD/pages/96632933/Working+Copy+Enablement+Services+Program+Offering+DRAFT - WorkingCopy:EnablementServicesProgramOffering_DRAFT-ESPO6" xr:uid="{00000000-0004-0000-0200-000005000000}"/>
    <hyperlink ref="D24" r:id="rId7" location="WorkingCopy:EnablementServicesProgramOffering_DRAFT-ESPO7" display="https://securedatacommons.atlassian.net/wiki/spaces/SD/pages/96632933/Working+Copy+Enablement+Services+Program+Offering+DRAFT - WorkingCopy:EnablementServicesProgramOffering_DRAFT-ESPO7" xr:uid="{00000000-0004-0000-0200-000006000000}"/>
    <hyperlink ref="D27" r:id="rId8" location="WorkingCopy:EnablementServicesProgramOffering_DRAFT-ESPO8" display="https://securedatacommons.atlassian.net/wiki/spaces/SD/pages/96632933/Working+Copy+Enablement+Services+Program+Offering+DRAFT - WorkingCopy:EnablementServicesProgramOffering_DRAFT-ESPO8" xr:uid="{00000000-0004-0000-0200-000007000000}"/>
    <hyperlink ref="D30" r:id="rId9" location="WorkingCopy:EnablementServicesProgramOffering_DRAFT-ESPO9" display="https://securedatacommons.atlassian.net/wiki/spaces/SD/pages/96632933/Working+Copy+Enablement+Services+Program+Offering+DRAFT - WorkingCopy:EnablementServicesProgramOffering_DRAFT-ESPO9" xr:uid="{00000000-0004-0000-0200-000008000000}"/>
    <hyperlink ref="D34" r:id="rId10" location="WorkingCopy:EnablementServicesProgramOffering_DRAFT-ESPO10" display="https://securedatacommons.atlassian.net/wiki/spaces/SD/pages/96632933/Working+Copy+Enablement+Services+Program+Offering+DRAFT - WorkingCopy:EnablementServicesProgramOffering_DRAFT-ESPO10" xr:uid="{00000000-0004-0000-0200-000009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9" tint="-0.499984740745262"/>
    <pageSetUpPr fitToPage="1"/>
  </sheetPr>
  <dimension ref="A1:V44"/>
  <sheetViews>
    <sheetView showGridLines="0" zoomScale="25" zoomScaleNormal="25" workbookViewId="0">
      <selection activeCell="N12" sqref="N12"/>
    </sheetView>
  </sheetViews>
  <sheetFormatPr defaultRowHeight="14.25"/>
  <cols>
    <col min="1" max="1" width="29.3984375" customWidth="1"/>
    <col min="2" max="2" width="21.59765625" customWidth="1"/>
    <col min="3" max="3" width="22.73046875" customWidth="1"/>
    <col min="4" max="4" width="16.1328125" bestFit="1" customWidth="1"/>
    <col min="5" max="5" width="19.73046875" bestFit="1" customWidth="1"/>
    <col min="6" max="6" width="12.86328125" bestFit="1" customWidth="1"/>
    <col min="7" max="7" width="29.59765625" customWidth="1"/>
    <col min="8" max="8" width="25.86328125" bestFit="1" customWidth="1"/>
    <col min="9" max="9" width="16.1328125" bestFit="1" customWidth="1"/>
    <col min="10" max="10" width="16.73046875" bestFit="1" customWidth="1"/>
    <col min="11" max="11" width="12.86328125" bestFit="1" customWidth="1"/>
    <col min="12" max="12" width="12.86328125" customWidth="1"/>
    <col min="13" max="13" width="26.59765625" customWidth="1"/>
    <col min="14" max="14" width="37" customWidth="1"/>
    <col min="15" max="15" width="19.86328125" customWidth="1"/>
    <col min="16" max="16" width="21.265625" customWidth="1"/>
    <col min="17" max="17" width="23.59765625" customWidth="1"/>
    <col min="18" max="18" width="17" customWidth="1"/>
    <col min="19" max="19" width="19.3984375" customWidth="1"/>
    <col min="21" max="21" width="15.1328125" customWidth="1"/>
    <col min="22" max="22" width="12.86328125" customWidth="1"/>
    <col min="23" max="23" width="14.86328125" customWidth="1"/>
  </cols>
  <sheetData>
    <row r="1" spans="1:22">
      <c r="A1" s="709" t="s">
        <v>1</v>
      </c>
      <c r="B1" s="709"/>
      <c r="C1" s="710" t="s">
        <v>438</v>
      </c>
      <c r="D1" s="710"/>
      <c r="E1" s="710"/>
      <c r="F1" s="710"/>
      <c r="G1" s="710"/>
      <c r="H1" s="710"/>
      <c r="I1" s="710"/>
      <c r="J1" s="710"/>
      <c r="K1" s="710"/>
      <c r="L1" s="710"/>
      <c r="M1" s="710"/>
      <c r="N1" s="710"/>
      <c r="O1" s="710"/>
      <c r="P1" s="710"/>
      <c r="Q1" s="710"/>
      <c r="R1" s="710"/>
      <c r="S1" s="710"/>
      <c r="T1" s="710"/>
      <c r="U1" s="710"/>
      <c r="V1" s="710"/>
    </row>
    <row r="2" spans="1:22" ht="35.25" customHeight="1">
      <c r="A2" s="709"/>
      <c r="B2" s="709"/>
      <c r="C2" s="710"/>
      <c r="D2" s="710"/>
      <c r="E2" s="710"/>
      <c r="F2" s="710"/>
      <c r="G2" s="710"/>
      <c r="H2" s="710"/>
      <c r="I2" s="710"/>
      <c r="J2" s="710"/>
      <c r="K2" s="710"/>
      <c r="L2" s="710"/>
      <c r="M2" s="710"/>
      <c r="N2" s="710"/>
      <c r="O2" s="710"/>
      <c r="P2" s="710"/>
      <c r="Q2" s="710"/>
      <c r="R2" s="710"/>
      <c r="S2" s="710"/>
      <c r="T2" s="710"/>
      <c r="U2" s="710"/>
      <c r="V2" s="710"/>
    </row>
    <row r="3" spans="1:22" ht="35.25" customHeight="1">
      <c r="A3" s="184"/>
      <c r="B3" s="184"/>
      <c r="C3" s="710"/>
      <c r="D3" s="710"/>
      <c r="E3" s="710"/>
      <c r="F3" s="710"/>
      <c r="G3" s="710"/>
      <c r="H3" s="710"/>
      <c r="I3" s="710"/>
      <c r="J3" s="710"/>
      <c r="K3" s="710"/>
      <c r="L3" s="710"/>
      <c r="M3" s="710"/>
      <c r="N3" s="710"/>
      <c r="O3" s="710"/>
      <c r="P3" s="710"/>
      <c r="Q3" s="710"/>
      <c r="R3" s="710"/>
      <c r="S3" s="710"/>
      <c r="T3" s="710"/>
      <c r="U3" s="710"/>
      <c r="V3" s="710"/>
    </row>
    <row r="4" spans="1:22" ht="35.25" customHeight="1">
      <c r="A4" s="184"/>
      <c r="B4" s="184"/>
      <c r="C4" s="710"/>
      <c r="D4" s="710"/>
      <c r="E4" s="710"/>
      <c r="F4" s="710"/>
      <c r="G4" s="710"/>
      <c r="H4" s="710"/>
      <c r="I4" s="710"/>
      <c r="J4" s="710"/>
      <c r="K4" s="710"/>
      <c r="L4" s="710"/>
      <c r="M4" s="710"/>
      <c r="N4" s="710"/>
      <c r="O4" s="710"/>
      <c r="P4" s="710"/>
      <c r="Q4" s="710"/>
      <c r="R4" s="710"/>
      <c r="S4" s="710"/>
      <c r="T4" s="710"/>
      <c r="U4" s="710"/>
      <c r="V4" s="710"/>
    </row>
    <row r="5" spans="1:22" ht="15" customHeight="1">
      <c r="C5" s="710"/>
      <c r="D5" s="710"/>
      <c r="E5" s="710"/>
      <c r="F5" s="710"/>
      <c r="G5" s="710"/>
      <c r="H5" s="710"/>
      <c r="I5" s="710"/>
      <c r="J5" s="710"/>
      <c r="K5" s="710"/>
      <c r="L5" s="710"/>
      <c r="M5" s="710"/>
      <c r="N5" s="710"/>
      <c r="O5" s="710"/>
      <c r="P5" s="710"/>
      <c r="Q5" s="710"/>
      <c r="R5" s="710"/>
      <c r="S5" s="710"/>
      <c r="T5" s="710"/>
      <c r="U5" s="710"/>
      <c r="V5" s="710"/>
    </row>
    <row r="6" spans="1:22" ht="30" customHeight="1">
      <c r="A6" s="727" t="s">
        <v>466</v>
      </c>
      <c r="B6" s="727"/>
      <c r="C6" s="727"/>
      <c r="D6" s="727"/>
      <c r="E6" s="727"/>
      <c r="F6" s="727"/>
      <c r="G6" s="727"/>
      <c r="H6" s="727"/>
      <c r="I6" s="727"/>
      <c r="J6" s="1"/>
      <c r="K6" s="727" t="s">
        <v>21</v>
      </c>
      <c r="L6" s="727"/>
      <c r="M6" s="727"/>
      <c r="N6" s="727"/>
      <c r="O6" s="727"/>
      <c r="P6" s="727"/>
      <c r="Q6" s="727"/>
      <c r="R6" s="727"/>
      <c r="S6" s="727"/>
      <c r="T6" s="1"/>
      <c r="U6" s="1"/>
    </row>
    <row r="7" spans="1:22" ht="14.65" thickBot="1">
      <c r="A7" s="2"/>
      <c r="B7" s="2"/>
      <c r="C7" s="2"/>
      <c r="D7" s="2"/>
      <c r="E7" s="2"/>
      <c r="F7" s="2"/>
      <c r="G7" s="2"/>
      <c r="H7" s="2"/>
      <c r="I7" s="2"/>
      <c r="J7" s="1"/>
      <c r="K7" s="5"/>
      <c r="L7" s="5"/>
      <c r="M7" s="5"/>
      <c r="N7" s="5"/>
      <c r="O7" s="5"/>
      <c r="P7" s="5"/>
      <c r="Q7" s="5"/>
      <c r="R7" s="5"/>
      <c r="S7" s="5"/>
      <c r="T7" s="1"/>
      <c r="U7" s="1"/>
    </row>
    <row r="8" spans="1:22">
      <c r="A8" s="2" t="s">
        <v>2</v>
      </c>
      <c r="B8" s="2"/>
      <c r="C8" s="705" t="s">
        <v>145</v>
      </c>
      <c r="D8" s="705"/>
      <c r="E8" s="705"/>
      <c r="F8" s="705"/>
      <c r="G8" s="705"/>
      <c r="H8" s="705"/>
      <c r="I8" s="2"/>
      <c r="J8" s="1"/>
      <c r="K8" s="5"/>
      <c r="L8" s="5"/>
      <c r="M8" s="125" t="s">
        <v>287</v>
      </c>
      <c r="N8" s="229" t="s">
        <v>370</v>
      </c>
      <c r="O8" s="118" t="s">
        <v>288</v>
      </c>
      <c r="P8" s="118" t="s">
        <v>23</v>
      </c>
      <c r="Q8" s="119" t="s">
        <v>364</v>
      </c>
      <c r="R8" s="100"/>
      <c r="S8" s="5"/>
      <c r="T8" s="1"/>
      <c r="U8" s="1"/>
    </row>
    <row r="9" spans="1:22" ht="41.65" customHeight="1">
      <c r="A9" s="2" t="s">
        <v>596</v>
      </c>
      <c r="B9" s="2"/>
      <c r="C9" s="99">
        <v>24</v>
      </c>
      <c r="D9" s="2" t="s">
        <v>5</v>
      </c>
      <c r="E9" s="2"/>
      <c r="F9" s="2"/>
      <c r="G9" s="2"/>
      <c r="H9" s="2"/>
      <c r="I9" s="2"/>
      <c r="J9" s="1"/>
      <c r="K9" s="5"/>
      <c r="L9" s="5"/>
      <c r="M9" s="120" t="s">
        <v>9</v>
      </c>
      <c r="N9" s="686" t="s">
        <v>646</v>
      </c>
      <c r="O9" s="113">
        <f>'Active Project Calculation'!D43</f>
        <v>0</v>
      </c>
      <c r="P9" s="113">
        <f>'Active Project Calculation'!M43</f>
        <v>0</v>
      </c>
      <c r="Q9" s="121">
        <f>P9-O9</f>
        <v>0</v>
      </c>
      <c r="R9" s="5"/>
      <c r="S9" s="5"/>
      <c r="T9" s="1"/>
      <c r="U9" s="1"/>
    </row>
    <row r="10" spans="1:22">
      <c r="A10" s="2" t="s">
        <v>24</v>
      </c>
      <c r="B10" s="2"/>
      <c r="C10" s="99">
        <v>24</v>
      </c>
      <c r="D10" s="2" t="s">
        <v>5</v>
      </c>
      <c r="E10" s="2"/>
      <c r="F10" s="2"/>
      <c r="G10" s="2"/>
      <c r="H10" s="2"/>
      <c r="I10" s="2"/>
      <c r="J10" s="1"/>
      <c r="K10" s="5"/>
      <c r="L10" s="5"/>
      <c r="M10" s="120" t="s">
        <v>10</v>
      </c>
      <c r="N10" s="48" t="s">
        <v>371</v>
      </c>
      <c r="O10" s="113">
        <f>'Active Project Calculation'!B43</f>
        <v>2424.2939337058815</v>
      </c>
      <c r="P10" s="113">
        <f>'Active Project Calculation'!AE43</f>
        <v>118321.1198258994</v>
      </c>
      <c r="Q10" s="121">
        <f>P10-O10</f>
        <v>115896.82589219352</v>
      </c>
      <c r="R10" s="5"/>
      <c r="S10" s="5"/>
      <c r="T10" s="1"/>
      <c r="U10" s="1"/>
    </row>
    <row r="11" spans="1:22">
      <c r="A11" s="2"/>
      <c r="B11" s="2"/>
      <c r="C11" s="2"/>
      <c r="D11" s="2"/>
      <c r="E11" s="2"/>
      <c r="F11" s="2"/>
      <c r="G11" s="2"/>
      <c r="H11" s="2"/>
      <c r="I11" s="2"/>
      <c r="J11" s="1"/>
      <c r="K11" s="5"/>
      <c r="L11" s="5"/>
      <c r="M11" s="120" t="s">
        <v>11</v>
      </c>
      <c r="N11" s="48" t="s">
        <v>372</v>
      </c>
      <c r="O11" s="113">
        <f>'Active Project Calculation'!C43</f>
        <v>0</v>
      </c>
      <c r="P11" s="113">
        <f>'Active Project Calculation'!I43</f>
        <v>6644.0427007899407</v>
      </c>
      <c r="Q11" s="121">
        <f>P11-O11</f>
        <v>6644.0427007899407</v>
      </c>
      <c r="R11" s="5"/>
      <c r="S11" s="5"/>
      <c r="T11" s="1"/>
      <c r="U11" s="1"/>
    </row>
    <row r="12" spans="1:22" ht="28.5">
      <c r="A12" s="2" t="s">
        <v>28</v>
      </c>
      <c r="B12" s="2"/>
      <c r="C12" s="2"/>
      <c r="D12" s="2"/>
      <c r="E12" s="2"/>
      <c r="F12" s="2"/>
      <c r="G12" s="2"/>
      <c r="H12" s="2"/>
      <c r="I12" s="2"/>
      <c r="J12" s="1"/>
      <c r="K12" s="5"/>
      <c r="L12" s="5"/>
      <c r="M12" s="120" t="s">
        <v>20</v>
      </c>
      <c r="N12" s="620" t="s">
        <v>645</v>
      </c>
      <c r="O12" s="113">
        <f>'Active Project Calculation'!E43</f>
        <v>201419.30453333331</v>
      </c>
      <c r="P12" s="113">
        <f>'Active Project Calculation'!N43</f>
        <v>240419.30453333328</v>
      </c>
      <c r="Q12" s="121">
        <f>P12-O12</f>
        <v>38999.999999999971</v>
      </c>
      <c r="R12" s="5"/>
      <c r="S12" s="5"/>
      <c r="T12" s="1"/>
      <c r="U12" s="1"/>
    </row>
    <row r="13" spans="1:22" ht="14.65" thickBot="1">
      <c r="A13" s="102" t="s">
        <v>22</v>
      </c>
      <c r="B13" s="2"/>
      <c r="C13" s="2"/>
      <c r="D13" s="2"/>
      <c r="E13" s="2"/>
      <c r="F13" s="2"/>
      <c r="G13" s="2"/>
      <c r="H13" s="2"/>
      <c r="I13" s="2"/>
      <c r="J13" s="1"/>
      <c r="K13" s="5"/>
      <c r="L13" s="5"/>
      <c r="M13" s="122" t="s">
        <v>286</v>
      </c>
      <c r="N13" s="230"/>
      <c r="O13" s="123">
        <f>SUM(O9:O12)</f>
        <v>203843.59846703921</v>
      </c>
      <c r="P13" s="123">
        <f>SUM(P9:P12)</f>
        <v>365384.46706002264</v>
      </c>
      <c r="Q13" s="124">
        <f>P13-O13</f>
        <v>161540.86859298343</v>
      </c>
      <c r="R13" s="5"/>
      <c r="S13" s="5"/>
      <c r="T13" s="1"/>
      <c r="U13" s="1"/>
    </row>
    <row r="14" spans="1:22">
      <c r="A14" s="2" t="s">
        <v>9</v>
      </c>
      <c r="B14" s="2"/>
      <c r="C14" s="97">
        <f>VLOOKUP($C$8,Inputs!$A$13:$H$30,4)</f>
        <v>0</v>
      </c>
      <c r="D14" s="2"/>
      <c r="E14" s="2" t="s">
        <v>439</v>
      </c>
      <c r="F14" s="2"/>
      <c r="G14" s="2"/>
      <c r="H14" s="2"/>
      <c r="I14" s="2"/>
      <c r="J14" s="1"/>
      <c r="K14" s="5"/>
      <c r="L14" s="5"/>
      <c r="M14" s="5"/>
      <c r="N14" s="5"/>
      <c r="O14" s="5"/>
      <c r="P14" s="5"/>
      <c r="Q14" s="5"/>
      <c r="R14" s="5"/>
      <c r="S14" s="5"/>
      <c r="T14" s="1"/>
      <c r="U14" s="1"/>
    </row>
    <row r="15" spans="1:22">
      <c r="A15" s="2"/>
      <c r="B15" s="2"/>
      <c r="C15" s="81"/>
      <c r="D15" s="2"/>
      <c r="E15" s="2"/>
      <c r="F15" s="2"/>
      <c r="G15" s="2"/>
      <c r="H15" s="2"/>
      <c r="I15" s="2"/>
      <c r="J15" s="1"/>
      <c r="K15" s="5"/>
      <c r="L15" s="5"/>
      <c r="M15" s="5"/>
      <c r="N15" s="5"/>
      <c r="O15" s="5"/>
      <c r="P15" s="5"/>
      <c r="Q15" s="5"/>
      <c r="R15" s="5"/>
      <c r="S15" s="5"/>
      <c r="T15" s="1"/>
      <c r="U15" s="1"/>
    </row>
    <row r="16" spans="1:22">
      <c r="A16" s="2" t="s">
        <v>164</v>
      </c>
      <c r="B16" s="2"/>
      <c r="C16" s="97">
        <f>VLOOKUP($C$8,Inputs!$A$13:$H$30,5)</f>
        <v>62.03</v>
      </c>
      <c r="D16" s="2"/>
      <c r="E16" s="98">
        <f>VLOOKUP($C$8,Inputs!$A$13:$N$30,14)</f>
        <v>0</v>
      </c>
      <c r="F16" s="2"/>
      <c r="G16" s="2"/>
      <c r="H16" s="2"/>
      <c r="I16" s="2"/>
      <c r="J16" s="1"/>
      <c r="K16" s="5"/>
      <c r="L16" s="5"/>
      <c r="M16" s="5"/>
      <c r="N16" s="5"/>
      <c r="O16" s="5"/>
      <c r="P16" s="5"/>
      <c r="Q16" s="5"/>
      <c r="R16" s="5"/>
      <c r="S16" s="5"/>
      <c r="T16" s="1"/>
      <c r="U16" s="1"/>
    </row>
    <row r="17" spans="1:21">
      <c r="A17" s="2"/>
      <c r="B17" s="2"/>
      <c r="C17" s="81"/>
      <c r="D17" s="2"/>
      <c r="E17" s="2"/>
      <c r="F17" s="2"/>
      <c r="G17" s="2"/>
      <c r="H17" s="2"/>
      <c r="I17" s="2"/>
      <c r="J17" s="1"/>
      <c r="K17" s="5"/>
      <c r="L17" s="5"/>
      <c r="M17" s="5"/>
      <c r="N17" s="5"/>
      <c r="O17" s="5"/>
      <c r="P17" s="5"/>
      <c r="Q17" s="5"/>
      <c r="R17" s="5"/>
      <c r="S17" s="5"/>
      <c r="T17" s="1"/>
      <c r="U17" s="1"/>
    </row>
    <row r="18" spans="1:21">
      <c r="A18" s="2" t="s">
        <v>25</v>
      </c>
      <c r="B18" s="2"/>
      <c r="C18" s="97">
        <f>VLOOKUP($C$8,Inputs!$A$13:$H$30,6)</f>
        <v>0</v>
      </c>
      <c r="D18" s="2"/>
      <c r="E18" s="2"/>
      <c r="F18" s="2"/>
      <c r="G18" s="2"/>
      <c r="H18" s="2"/>
      <c r="I18" s="2"/>
      <c r="J18" s="1"/>
      <c r="K18" s="5"/>
      <c r="L18" s="5"/>
      <c r="M18" s="5"/>
      <c r="N18" s="5"/>
      <c r="O18" s="5"/>
      <c r="P18" s="5"/>
      <c r="Q18" s="5"/>
      <c r="R18" s="5"/>
      <c r="S18" s="5"/>
      <c r="T18" s="1"/>
      <c r="U18" s="1"/>
    </row>
    <row r="19" spans="1:21">
      <c r="A19" s="2"/>
      <c r="B19" s="2"/>
      <c r="C19" s="81"/>
      <c r="D19" s="2"/>
      <c r="E19" s="2"/>
      <c r="F19" s="2"/>
      <c r="G19" s="2"/>
      <c r="H19" s="2"/>
      <c r="I19" s="2"/>
      <c r="J19" s="1"/>
      <c r="K19" s="5"/>
      <c r="L19" s="5"/>
      <c r="M19" s="5"/>
      <c r="N19" s="5"/>
      <c r="O19" s="5"/>
      <c r="P19" s="5"/>
      <c r="Q19" s="5"/>
      <c r="R19" s="5"/>
      <c r="S19" s="5"/>
      <c r="T19" s="1"/>
      <c r="U19" s="1"/>
    </row>
    <row r="20" spans="1:21">
      <c r="A20" s="2" t="s">
        <v>20</v>
      </c>
      <c r="B20" s="2"/>
      <c r="C20" s="97">
        <f>VLOOKUP($C$8,Inputs!$A$13:$H$30,7)+VLOOKUP($C$8,Inputs!$A$13:$H$30,8)</f>
        <v>8392.471022222222</v>
      </c>
      <c r="D20" s="2"/>
      <c r="E20" s="2"/>
      <c r="F20" s="2"/>
      <c r="G20" s="2"/>
      <c r="H20" s="2"/>
      <c r="I20" s="2"/>
      <c r="J20" s="1"/>
      <c r="K20" s="5"/>
      <c r="L20" s="5"/>
      <c r="M20" s="5"/>
      <c r="N20" s="5"/>
      <c r="O20" s="5"/>
      <c r="P20" s="5"/>
      <c r="Q20" s="5"/>
      <c r="R20" s="5"/>
      <c r="S20" s="5"/>
      <c r="T20" s="1"/>
      <c r="U20" s="1"/>
    </row>
    <row r="21" spans="1:21">
      <c r="A21" s="2"/>
      <c r="B21" s="2"/>
      <c r="C21" s="2"/>
      <c r="D21" s="2"/>
      <c r="E21" s="2"/>
      <c r="F21" s="2"/>
      <c r="G21" s="2"/>
      <c r="H21" s="2"/>
      <c r="I21" s="2"/>
      <c r="J21" s="1"/>
      <c r="K21" s="5"/>
      <c r="L21" s="5"/>
      <c r="M21" s="5"/>
      <c r="N21" s="5"/>
      <c r="O21" s="5"/>
      <c r="P21" s="5"/>
      <c r="Q21" s="5"/>
      <c r="R21" s="5"/>
      <c r="S21" s="5"/>
      <c r="T21" s="1"/>
      <c r="U21" s="1"/>
    </row>
    <row r="22" spans="1:21">
      <c r="A22" s="2"/>
      <c r="B22" s="2"/>
      <c r="C22" s="2"/>
      <c r="D22" s="2"/>
      <c r="E22" s="2"/>
      <c r="F22" s="2"/>
      <c r="G22" s="2"/>
      <c r="H22" s="2"/>
      <c r="I22" s="2"/>
      <c r="J22" s="1"/>
      <c r="K22" s="5"/>
      <c r="L22" s="5"/>
      <c r="M22" s="5"/>
      <c r="N22" s="5"/>
      <c r="O22" s="5"/>
      <c r="P22" s="5"/>
      <c r="Q22" s="5"/>
      <c r="R22" s="5"/>
      <c r="S22" s="5"/>
      <c r="T22" s="1"/>
      <c r="U22" s="1"/>
    </row>
    <row r="23" spans="1:21" ht="14.65" thickBot="1">
      <c r="A23" s="726" t="s">
        <v>284</v>
      </c>
      <c r="B23" s="726"/>
      <c r="C23" s="726"/>
      <c r="D23" s="726"/>
      <c r="E23" s="726"/>
      <c r="F23" s="726"/>
      <c r="G23" s="726"/>
      <c r="H23" s="726"/>
      <c r="I23" s="726"/>
      <c r="J23" s="1"/>
      <c r="K23" s="5"/>
      <c r="L23" s="5"/>
      <c r="M23" s="5"/>
      <c r="N23" s="5"/>
      <c r="O23" s="5"/>
      <c r="P23" s="5"/>
      <c r="Q23" s="5"/>
      <c r="R23" s="5"/>
      <c r="S23" s="5"/>
      <c r="T23" s="1"/>
      <c r="U23" s="1"/>
    </row>
    <row r="24" spans="1:21">
      <c r="A24" s="2"/>
      <c r="B24" s="2"/>
      <c r="C24" s="2"/>
      <c r="D24" s="2"/>
      <c r="E24" s="158"/>
      <c r="F24" s="159"/>
      <c r="G24" s="159"/>
      <c r="H24" s="159"/>
      <c r="I24" s="160"/>
      <c r="J24" s="1"/>
      <c r="K24" s="5"/>
      <c r="L24" s="5"/>
      <c r="M24" s="5"/>
      <c r="N24" s="5"/>
      <c r="O24" s="5"/>
      <c r="P24" s="5"/>
      <c r="Q24" s="5"/>
      <c r="R24" s="5"/>
      <c r="S24" s="5"/>
      <c r="T24" s="1"/>
      <c r="U24" s="1"/>
    </row>
    <row r="25" spans="1:21">
      <c r="A25" s="2" t="s">
        <v>440</v>
      </c>
      <c r="B25" s="2"/>
      <c r="C25" s="99">
        <f>Inputs!O14</f>
        <v>5</v>
      </c>
      <c r="D25" s="2"/>
      <c r="E25" s="161" t="s">
        <v>443</v>
      </c>
      <c r="F25" s="162"/>
      <c r="G25" s="162"/>
      <c r="H25" s="42">
        <v>15</v>
      </c>
      <c r="I25" s="163"/>
      <c r="J25" s="1"/>
      <c r="K25" s="5"/>
      <c r="L25" s="5"/>
      <c r="M25" s="5"/>
      <c r="N25" s="5"/>
      <c r="O25" s="5"/>
      <c r="P25" s="5"/>
      <c r="Q25" s="5"/>
      <c r="R25" s="5"/>
      <c r="S25" s="5"/>
      <c r="T25" s="1"/>
      <c r="U25" s="1"/>
    </row>
    <row r="26" spans="1:21">
      <c r="A26" s="2"/>
      <c r="B26" s="2"/>
      <c r="C26" s="2"/>
      <c r="D26" s="2"/>
      <c r="E26" s="161"/>
      <c r="F26" s="162"/>
      <c r="G26" s="162"/>
      <c r="H26" s="162"/>
      <c r="I26" s="163"/>
      <c r="J26" s="1"/>
      <c r="K26" s="5"/>
      <c r="L26" s="5"/>
      <c r="M26" s="5"/>
      <c r="N26" s="5"/>
      <c r="O26" s="5"/>
      <c r="P26" s="5"/>
      <c r="Q26" s="5"/>
      <c r="R26" s="5"/>
      <c r="S26" s="5"/>
      <c r="T26" s="1"/>
      <c r="U26" s="1"/>
    </row>
    <row r="27" spans="1:21">
      <c r="A27" s="2"/>
      <c r="B27" s="2"/>
      <c r="C27" s="2"/>
      <c r="D27" s="2"/>
      <c r="E27" s="161"/>
      <c r="F27" s="162"/>
      <c r="G27" s="162"/>
      <c r="H27" s="162"/>
      <c r="I27" s="163"/>
      <c r="J27" s="1"/>
      <c r="K27" s="5"/>
      <c r="L27" s="5"/>
      <c r="M27" s="5"/>
      <c r="N27" s="5"/>
      <c r="O27" s="5"/>
      <c r="P27" s="5"/>
      <c r="Q27" s="5"/>
      <c r="R27" s="5"/>
      <c r="S27" s="5"/>
      <c r="T27" s="1"/>
      <c r="U27" s="1"/>
    </row>
    <row r="28" spans="1:21">
      <c r="A28" s="2"/>
      <c r="B28" s="2"/>
      <c r="C28" s="2"/>
      <c r="D28" s="2"/>
      <c r="E28" s="161"/>
      <c r="F28" s="162"/>
      <c r="G28" s="162"/>
      <c r="H28" s="162"/>
      <c r="I28" s="163"/>
      <c r="J28" s="1"/>
      <c r="K28" s="5"/>
      <c r="L28" s="5"/>
      <c r="M28" s="5"/>
      <c r="N28" s="5"/>
      <c r="O28" s="5"/>
      <c r="P28" s="5"/>
      <c r="Q28" s="5"/>
      <c r="R28" s="5"/>
      <c r="S28" s="5"/>
      <c r="T28" s="1"/>
      <c r="U28" s="1"/>
    </row>
    <row r="29" spans="1:21">
      <c r="A29" s="2" t="s">
        <v>441</v>
      </c>
      <c r="B29" s="2"/>
      <c r="C29" s="99" t="s">
        <v>192</v>
      </c>
      <c r="D29" s="2"/>
      <c r="E29" s="161" t="s">
        <v>285</v>
      </c>
      <c r="F29" s="162"/>
      <c r="G29" s="162"/>
      <c r="H29" s="42" t="s">
        <v>192</v>
      </c>
      <c r="I29" s="163"/>
      <c r="J29" s="1"/>
      <c r="K29" s="5"/>
      <c r="L29" s="5"/>
      <c r="M29" s="5"/>
      <c r="N29" s="5"/>
      <c r="O29" s="5"/>
      <c r="P29" s="5"/>
      <c r="Q29" s="5"/>
      <c r="R29" s="5"/>
      <c r="S29" s="5"/>
      <c r="T29" s="1"/>
      <c r="U29" s="1"/>
    </row>
    <row r="30" spans="1:21" ht="14.25" customHeight="1">
      <c r="A30" s="2"/>
      <c r="B30" s="2"/>
      <c r="C30" s="2"/>
      <c r="D30" s="2"/>
      <c r="E30" s="445"/>
      <c r="F30" s="446"/>
      <c r="G30" s="447"/>
      <c r="H30" s="725" t="s">
        <v>597</v>
      </c>
      <c r="I30" s="163"/>
      <c r="J30" s="1"/>
      <c r="K30" s="5"/>
      <c r="L30" s="5"/>
      <c r="M30" s="5"/>
      <c r="N30" s="5"/>
      <c r="O30" s="5"/>
      <c r="P30" s="5"/>
      <c r="Q30" s="5"/>
      <c r="R30" s="5"/>
      <c r="S30" s="5"/>
      <c r="T30" s="1"/>
      <c r="U30" s="1"/>
    </row>
    <row r="31" spans="1:21" ht="18.75" customHeight="1">
      <c r="A31" s="2"/>
      <c r="B31" s="2"/>
      <c r="C31" s="2"/>
      <c r="D31" s="2"/>
      <c r="E31" s="161"/>
      <c r="F31" s="162"/>
      <c r="G31" s="162"/>
      <c r="H31" s="725"/>
      <c r="I31" s="163"/>
      <c r="J31" s="1"/>
      <c r="K31" s="5"/>
      <c r="L31" s="5"/>
      <c r="M31" s="5"/>
      <c r="N31" s="5"/>
      <c r="O31" s="5"/>
      <c r="P31" s="5"/>
      <c r="Q31" s="5"/>
      <c r="R31" s="5"/>
      <c r="S31" s="5"/>
      <c r="T31" s="1"/>
      <c r="U31" s="1"/>
    </row>
    <row r="32" spans="1:21" ht="14.25" customHeight="1">
      <c r="A32" s="2"/>
      <c r="B32" s="2"/>
      <c r="C32" s="2"/>
      <c r="D32" s="2"/>
      <c r="E32" s="161"/>
      <c r="F32" s="162"/>
      <c r="G32" s="162"/>
      <c r="H32" s="162"/>
      <c r="I32" s="163"/>
      <c r="J32" s="1"/>
      <c r="K32" s="5"/>
      <c r="L32" s="5"/>
      <c r="M32" s="5"/>
      <c r="N32" s="5"/>
      <c r="O32" s="5"/>
      <c r="P32" s="5"/>
      <c r="Q32" s="5"/>
      <c r="R32" s="5"/>
      <c r="S32" s="5"/>
      <c r="T32" s="1"/>
      <c r="U32" s="1"/>
    </row>
    <row r="33" spans="1:21">
      <c r="A33" s="2" t="s">
        <v>442</v>
      </c>
      <c r="B33" s="2"/>
      <c r="C33" s="99">
        <f>C10</f>
        <v>24</v>
      </c>
      <c r="D33" s="2"/>
      <c r="E33" s="161" t="s">
        <v>444</v>
      </c>
      <c r="F33" s="162"/>
      <c r="G33" s="162"/>
      <c r="H33" s="42">
        <v>18</v>
      </c>
      <c r="I33" s="163"/>
      <c r="J33" s="1"/>
      <c r="K33" s="5"/>
      <c r="L33" s="5"/>
      <c r="M33" s="5"/>
      <c r="N33" s="5"/>
      <c r="O33" s="5"/>
      <c r="P33" s="5"/>
      <c r="Q33" s="5"/>
      <c r="R33" s="5"/>
      <c r="S33" s="5"/>
      <c r="T33" s="1"/>
      <c r="U33" s="1"/>
    </row>
    <row r="34" spans="1:21">
      <c r="A34" s="2"/>
      <c r="B34" s="2"/>
      <c r="C34" s="2"/>
      <c r="D34" s="2"/>
      <c r="E34" s="161"/>
      <c r="F34" s="162"/>
      <c r="G34" s="162"/>
      <c r="H34" s="162"/>
      <c r="I34" s="163"/>
      <c r="J34" s="1"/>
      <c r="K34" s="5"/>
      <c r="L34" s="5"/>
      <c r="M34" s="5"/>
      <c r="N34" s="5"/>
      <c r="O34" s="5"/>
      <c r="P34" s="5"/>
      <c r="Q34" s="5"/>
      <c r="R34" s="5"/>
      <c r="S34" s="5"/>
      <c r="T34" s="1"/>
      <c r="U34" s="1"/>
    </row>
    <row r="35" spans="1:21">
      <c r="A35" s="2"/>
      <c r="B35" s="2"/>
      <c r="C35" s="2"/>
      <c r="D35" s="2"/>
      <c r="E35" s="161"/>
      <c r="F35" s="162"/>
      <c r="G35" s="162"/>
      <c r="H35" s="162"/>
      <c r="I35" s="163"/>
      <c r="J35" s="1"/>
      <c r="K35" s="5"/>
      <c r="L35" s="5"/>
      <c r="M35" s="5"/>
      <c r="N35" s="5"/>
      <c r="O35" s="5"/>
      <c r="P35" s="5"/>
      <c r="Q35" s="5"/>
      <c r="R35" s="5"/>
      <c r="S35" s="5"/>
      <c r="T35" s="1"/>
      <c r="U35" s="1"/>
    </row>
    <row r="36" spans="1:21">
      <c r="A36" s="2"/>
      <c r="B36" s="2"/>
      <c r="C36" s="2"/>
      <c r="D36" s="2"/>
      <c r="E36" s="161" t="s">
        <v>27</v>
      </c>
      <c r="F36" s="162"/>
      <c r="G36" s="162"/>
      <c r="H36" s="42" t="s">
        <v>71</v>
      </c>
      <c r="I36" s="163"/>
      <c r="J36" s="1"/>
      <c r="K36" s="5"/>
      <c r="L36" s="5"/>
      <c r="M36" s="5"/>
      <c r="N36" s="5"/>
      <c r="O36" s="5"/>
      <c r="P36" s="5"/>
      <c r="Q36" s="5"/>
      <c r="R36" s="5"/>
      <c r="S36" s="5"/>
      <c r="T36" s="1"/>
      <c r="U36" s="1"/>
    </row>
    <row r="37" spans="1:21">
      <c r="A37" s="2"/>
      <c r="B37" s="2"/>
      <c r="C37" s="2"/>
      <c r="D37" s="2"/>
      <c r="E37" s="161"/>
      <c r="F37" s="162"/>
      <c r="G37" s="162"/>
      <c r="H37" s="162"/>
      <c r="I37" s="163"/>
      <c r="J37" s="1"/>
      <c r="K37" s="5"/>
      <c r="L37" s="5"/>
      <c r="M37" s="5"/>
      <c r="N37" s="5"/>
      <c r="O37" s="5"/>
      <c r="P37" s="5"/>
      <c r="Q37" s="5"/>
      <c r="R37" s="5"/>
      <c r="S37" s="5"/>
      <c r="T37" s="1"/>
      <c r="U37" s="1"/>
    </row>
    <row r="38" spans="1:21">
      <c r="A38" s="2"/>
      <c r="B38" s="2"/>
      <c r="C38" s="2"/>
      <c r="D38" s="2"/>
      <c r="E38" s="161" t="s">
        <v>366</v>
      </c>
      <c r="F38" s="162"/>
      <c r="G38" s="162"/>
      <c r="H38" s="42" t="s">
        <v>31</v>
      </c>
      <c r="I38" s="163"/>
      <c r="J38" s="1"/>
      <c r="K38" s="5"/>
      <c r="L38" s="5"/>
      <c r="M38" s="5"/>
      <c r="N38" s="5"/>
      <c r="O38" s="5"/>
      <c r="P38" s="5"/>
      <c r="Q38" s="5"/>
      <c r="R38" s="5"/>
      <c r="S38" s="5"/>
      <c r="T38" s="1"/>
      <c r="U38" s="1"/>
    </row>
    <row r="39" spans="1:21">
      <c r="A39" s="2"/>
      <c r="B39" s="2"/>
      <c r="C39" s="2"/>
      <c r="D39" s="2"/>
      <c r="E39" s="161"/>
      <c r="F39" s="162"/>
      <c r="G39" s="162"/>
      <c r="H39" s="162"/>
      <c r="I39" s="163"/>
      <c r="J39" s="1"/>
      <c r="K39" s="5"/>
      <c r="L39" s="5"/>
      <c r="M39" s="5"/>
      <c r="N39" s="5"/>
      <c r="O39" s="5"/>
      <c r="P39" s="5"/>
      <c r="Q39" s="5"/>
      <c r="R39" s="5"/>
      <c r="S39" s="5"/>
      <c r="T39" s="1"/>
      <c r="U39" s="1"/>
    </row>
    <row r="40" spans="1:21">
      <c r="A40" s="2"/>
      <c r="B40" s="2"/>
      <c r="C40" s="2"/>
      <c r="D40" s="2"/>
      <c r="E40" s="201" t="s">
        <v>195</v>
      </c>
      <c r="F40" s="162"/>
      <c r="G40" s="162"/>
      <c r="H40" s="198">
        <f>IF(H38="High",'Cloud Consumption'!$H$7,IF(H38="Medium",'Cloud Consumption'!$G$7,'Cloud Consumption'!$F$7))</f>
        <v>0.03</v>
      </c>
      <c r="I40" s="163"/>
      <c r="J40" s="1"/>
      <c r="K40" s="5"/>
      <c r="L40" s="5"/>
      <c r="M40" s="5"/>
      <c r="N40" s="5"/>
      <c r="O40" s="5"/>
      <c r="P40" s="5"/>
      <c r="Q40" s="5"/>
      <c r="R40" s="5"/>
      <c r="S40" s="5"/>
      <c r="T40" s="1"/>
      <c r="U40" s="1"/>
    </row>
    <row r="41" spans="1:21">
      <c r="A41" s="2"/>
      <c r="B41" s="2"/>
      <c r="C41" s="2"/>
      <c r="D41" s="2"/>
      <c r="E41" s="201" t="s">
        <v>193</v>
      </c>
      <c r="F41" s="162"/>
      <c r="G41" s="162"/>
      <c r="H41" s="199" t="str">
        <f>IF(H38="High", "High-Cost",IF(H38="Medium","Normal","Normal"))</f>
        <v>High-Cost</v>
      </c>
      <c r="I41" s="163"/>
      <c r="J41" s="1"/>
      <c r="K41" s="5"/>
      <c r="L41" s="5"/>
      <c r="M41" s="5"/>
      <c r="N41" s="5"/>
      <c r="O41" s="5"/>
      <c r="P41" s="5"/>
      <c r="Q41" s="5"/>
      <c r="R41" s="5"/>
      <c r="S41" s="5"/>
      <c r="T41" s="1"/>
      <c r="U41" s="1"/>
    </row>
    <row r="42" spans="1:21">
      <c r="A42" s="2"/>
      <c r="B42" s="2"/>
      <c r="C42" s="2"/>
      <c r="D42" s="2"/>
      <c r="E42" s="201" t="s">
        <v>194</v>
      </c>
      <c r="F42" s="162"/>
      <c r="G42" s="162"/>
      <c r="H42" s="198">
        <f>IF(H41="Redshift",'Cloud Consumption'!#REF!, IF(H38="Medium",'Cloud Consumption'!$G$9,'Cloud Consumption'!$F$9))</f>
        <v>0.01</v>
      </c>
      <c r="I42" s="163"/>
      <c r="J42" s="1"/>
      <c r="K42" s="5"/>
      <c r="L42" s="5"/>
      <c r="M42" s="5"/>
      <c r="N42" s="5"/>
      <c r="O42" s="5"/>
      <c r="P42" s="5"/>
      <c r="Q42" s="5"/>
      <c r="R42" s="5"/>
      <c r="S42" s="5"/>
      <c r="T42" s="1"/>
      <c r="U42" s="1"/>
    </row>
    <row r="43" spans="1:21">
      <c r="A43" s="2"/>
      <c r="B43" s="2"/>
      <c r="C43" s="2"/>
      <c r="D43" s="2"/>
      <c r="E43" s="201" t="s">
        <v>219</v>
      </c>
      <c r="F43" s="162"/>
      <c r="G43" s="162"/>
      <c r="H43" s="200">
        <f>IF(H$38="High",'Cloud Consumption'!$H$8,IF(H$38="Medium",'Cloud Consumption'!$G$8,'Cloud Consumption'!$F$8))</f>
        <v>0.04</v>
      </c>
      <c r="I43" s="163"/>
      <c r="J43" s="1"/>
      <c r="K43" s="5"/>
      <c r="L43" s="5"/>
      <c r="M43" s="5"/>
      <c r="N43" s="5"/>
      <c r="O43" s="5"/>
      <c r="P43" s="5"/>
      <c r="Q43" s="5"/>
      <c r="R43" s="5"/>
      <c r="S43" s="5"/>
      <c r="T43" s="1"/>
      <c r="U43" s="1"/>
    </row>
    <row r="44" spans="1:21" ht="14.65" thickBot="1">
      <c r="A44" s="2"/>
      <c r="B44" s="2"/>
      <c r="C44" s="2"/>
      <c r="D44" s="2"/>
      <c r="E44" s="167"/>
      <c r="F44" s="168"/>
      <c r="G44" s="168"/>
      <c r="H44" s="168"/>
      <c r="I44" s="169"/>
      <c r="J44" s="1"/>
      <c r="K44" s="5"/>
      <c r="L44" s="5"/>
      <c r="M44" s="5"/>
      <c r="N44" s="5"/>
      <c r="O44" s="5"/>
      <c r="P44" s="5"/>
      <c r="Q44" s="5"/>
      <c r="R44" s="5"/>
      <c r="S44" s="5"/>
      <c r="T44" s="1"/>
      <c r="U44" s="1"/>
    </row>
  </sheetData>
  <mergeCells count="7">
    <mergeCell ref="H30:H31"/>
    <mergeCell ref="A23:I23"/>
    <mergeCell ref="K6:S6"/>
    <mergeCell ref="C8:H8"/>
    <mergeCell ref="A1:B2"/>
    <mergeCell ref="C1:V5"/>
    <mergeCell ref="A6:I6"/>
  </mergeCells>
  <dataValidations count="15">
    <dataValidation allowBlank="1" showInputMessage="1" showErrorMessage="1" prompt="This value Indicates the remaining time which your project would be active in SDC" sqref="C10" xr:uid="{00000000-0002-0000-0300-000000000000}"/>
    <dataValidation allowBlank="1" showInputMessage="1" showErrorMessage="1" prompt="This value indicates the overall cost of Enablement services for this project." sqref="C14" xr:uid="{00000000-0002-0000-0300-000001000000}"/>
    <dataValidation allowBlank="1" showInputMessage="1" showErrorMessage="1" prompt="This value indicates the overall data related cost associated with this project." sqref="C16" xr:uid="{00000000-0002-0000-0300-000002000000}"/>
    <dataValidation allowBlank="1" showInputMessage="1" showErrorMessage="1" prompt="This value indicates the overall cost associated with analysts cost for this project." sqref="C18" xr:uid="{00000000-0002-0000-0300-000003000000}"/>
    <dataValidation allowBlank="1" showInputMessage="1" showErrorMessage="1" prompt="This value indicates the overhead cost associated with this project." sqref="C20" xr:uid="{00000000-0002-0000-0300-000004000000}"/>
    <dataValidation allowBlank="1" showInputMessage="1" showErrorMessage="1" prompt="This value indicates the number of users within this project, defined in the previous phases." sqref="C25" xr:uid="{00000000-0002-0000-0300-000005000000}"/>
    <dataValidation allowBlank="1" showInputMessage="1" showErrorMessage="1" prompt="Indicate the total number of users that will be working under this project." sqref="H25" xr:uid="{00000000-0002-0000-0300-000006000000}"/>
    <dataValidation allowBlank="1" showInputMessage="1" showErrorMessage="1" prompt="This value indicates the current duration of the project which was determined before." sqref="C33" xr:uid="{00000000-0002-0000-0300-000007000000}"/>
    <dataValidation allowBlank="1" showInputMessage="1" showErrorMessage="1" prompt="Indicate a different value if the duration of the project is going to be different from the current value." sqref="H33" xr:uid="{00000000-0002-0000-0300-000008000000}"/>
    <dataValidation allowBlank="1" showInputMessage="1" showErrorMessage="1" prompt="Indicate to what extent your project storage need would grow every month" sqref="H40" xr:uid="{00000000-0002-0000-0300-000009000000}"/>
    <dataValidation allowBlank="1" showInputMessage="1" showErrorMessage="1" prompt="Indicate the Data Warehouse solution for your project.  _x000a__x000a_Choose between two options (low-cost/Hadoop, high-cost/redshift)_x000a_" sqref="H41" xr:uid="{00000000-0002-0000-0300-00000A000000}"/>
    <dataValidation allowBlank="1" showInputMessage="1" showErrorMessage="1" prompt="Indicate to what extent (approximate) your project use of data warehouse would increase per month" sqref="H42" xr:uid="{00000000-0002-0000-0300-00000B000000}"/>
    <dataValidation allowBlank="1" showInputMessage="1" showErrorMessage="1" prompt="Indicate to what extent (approximate) your project use need of Other Data Curation/Ingest Services would grow every month." sqref="H43" xr:uid="{00000000-0002-0000-0300-00000C000000}"/>
    <dataValidation type="list" allowBlank="1" showInputMessage="1" showErrorMessage="1" sqref="C30:C32" xr:uid="{00000000-0002-0000-0300-00000D000000}">
      <formula1>$C$5:$C$7</formula1>
    </dataValidation>
    <dataValidation allowBlank="1" showInputMessage="1" showErrorMessage="1" prompt="This value Indicates the total time which your project would reside within SDC" sqref="C9" xr:uid="{00000000-0002-0000-0300-00000E000000}"/>
  </dataValidations>
  <hyperlinks>
    <hyperlink ref="A1" location="Intro!A1" display="Back to Intro" xr:uid="{00000000-0004-0000-0300-000000000000}"/>
    <hyperlink ref="N12" location="'Platform Cloud Costs'!A1" display="Shared cost for using the SDC platform.  For details on platform overhead, click here" xr:uid="{00000000-0004-0000-0300-000002000000}"/>
    <hyperlink ref="H30:H31" location="'Custom ESPO Selection'!A1" display="If 'custom' is being selected =&gt; Click here" xr:uid="{00000000-0004-0000-0300-000003000000}"/>
    <hyperlink ref="N9" location="'ESPO Calculator'!A1" display="Cost for additional support from the SDC team. For details on these services, click here" xr:uid="{00000000-0004-0000-0300-000001000000}"/>
  </hyperlinks>
  <pageMargins left="0.7" right="0.7" top="0.75" bottom="0.75" header="0.3" footer="0.3"/>
  <pageSetup scale="32"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Results">
                <anchor moveWithCells="1" sizeWithCells="1">
                  <from>
                    <xdr:col>0</xdr:col>
                    <xdr:colOff>800100</xdr:colOff>
                    <xdr:row>2</xdr:row>
                    <xdr:rowOff>66675</xdr:rowOff>
                  </from>
                  <to>
                    <xdr:col>1</xdr:col>
                    <xdr:colOff>466725</xdr:colOff>
                    <xdr:row>3</xdr:row>
                    <xdr:rowOff>409575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0F000000}">
          <x14:formula1>
            <xm:f>Inputs!$D$3:$D$5</xm:f>
          </x14:formula1>
          <xm:sqref>H39</xm:sqref>
        </x14:dataValidation>
        <x14:dataValidation type="list" allowBlank="1" showInputMessage="1" showErrorMessage="1" prompt="Indicate the new value for enablement services. If no change, please use the value of the current service." xr:uid="{00000000-0002-0000-0300-000010000000}">
          <x14:formula1>
            <xm:f>Inputs!$E$3:$E$6</xm:f>
          </x14:formula1>
          <xm:sqref>H29</xm:sqref>
        </x14:dataValidation>
        <x14:dataValidation type="list" allowBlank="1" showInputMessage="1" showErrorMessage="1" prompt="If you want to add a new data provider for this project please indicate &quot;Yes&quot;, Otherwise &quot;No&quot;" xr:uid="{00000000-0002-0000-0300-000011000000}">
          <x14:formula1>
            <xm:f>Inputs!$F$3:$F$4</xm:f>
          </x14:formula1>
          <xm:sqref>H36</xm:sqref>
        </x14:dataValidation>
        <x14:dataValidation type="list" allowBlank="1" showInputMessage="1" showErrorMessage="1" prompt="Select the active project/team that you want to create a new estimate. Only active projects/teams are shown here. " xr:uid="{00000000-0002-0000-0300-000012000000}">
          <x14:formula1>
            <xm:f>Inputs!$S$1:$S$9</xm:f>
          </x14:formula1>
          <xm:sqref>C8:H8</xm:sqref>
        </x14:dataValidation>
        <x14:dataValidation type="list" allowBlank="1" showInputMessage="1" showErrorMessage="1" prompt="This value indicates the status of current enablement service level that was determined before." xr:uid="{00000000-0002-0000-0300-000013000000}">
          <x14:formula1>
            <xm:f>Inputs!$E$3:$E$6</xm:f>
          </x14:formula1>
          <xm:sqref>C29</xm:sqref>
        </x14:dataValidation>
        <x14:dataValidation type="list" allowBlank="1" showInputMessage="1" showErrorMessage="1" prompt="If you are adding a new data to this project, please indicate the complexity of the new data. Choose from High, Medium and low." xr:uid="{00000000-0002-0000-0300-000014000000}">
          <x14:formula1>
            <xm:f>Inputs!$D$3:$D$5</xm:f>
          </x14:formula1>
          <xm:sqref>H38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499984740745262"/>
    <pageSetUpPr fitToPage="1"/>
  </sheetPr>
  <dimension ref="A1:AI123"/>
  <sheetViews>
    <sheetView zoomScale="25" zoomScaleNormal="25" workbookViewId="0">
      <selection sqref="A1:B3"/>
    </sheetView>
  </sheetViews>
  <sheetFormatPr defaultRowHeight="14.25"/>
  <cols>
    <col min="1" max="1" width="17.73046875" customWidth="1"/>
    <col min="2" max="2" width="26.1328125" customWidth="1"/>
    <col min="3" max="3" width="19" customWidth="1"/>
    <col min="4" max="4" width="27.3984375" customWidth="1"/>
    <col min="6" max="6" width="13.59765625" customWidth="1"/>
    <col min="7" max="7" width="18.73046875" customWidth="1"/>
    <col min="9" max="9" width="27.1328125" customWidth="1"/>
    <col min="10" max="10" width="8.73046875" customWidth="1"/>
    <col min="12" max="12" width="18.1328125" bestFit="1" customWidth="1"/>
    <col min="14" max="14" width="18.265625" bestFit="1" customWidth="1"/>
    <col min="15" max="15" width="26.265625" customWidth="1"/>
    <col min="16" max="16" width="18.265625" bestFit="1" customWidth="1"/>
    <col min="18" max="18" width="18.265625" bestFit="1" customWidth="1"/>
    <col min="21" max="21" width="24.265625" customWidth="1"/>
    <col min="24" max="24" width="18.265625" bestFit="1" customWidth="1"/>
    <col min="27" max="27" width="24.265625" customWidth="1"/>
    <col min="30" max="30" width="18.265625" bestFit="1" customWidth="1"/>
    <col min="33" max="33" width="24.265625" customWidth="1"/>
    <col min="36" max="36" width="21" bestFit="1" customWidth="1"/>
    <col min="38" max="38" width="21.265625" bestFit="1" customWidth="1"/>
    <col min="40" max="40" width="21" bestFit="1" customWidth="1"/>
    <col min="42" max="42" width="21" bestFit="1" customWidth="1"/>
    <col min="43" max="43" width="15.86328125" customWidth="1"/>
  </cols>
  <sheetData>
    <row r="1" spans="1:35" ht="63.75">
      <c r="A1" s="729" t="s">
        <v>1</v>
      </c>
      <c r="B1" s="729"/>
      <c r="D1" s="710" t="s">
        <v>639</v>
      </c>
      <c r="E1" s="710"/>
      <c r="F1" s="710"/>
      <c r="G1" s="710"/>
      <c r="H1" s="710"/>
      <c r="I1" s="710"/>
      <c r="J1" s="710"/>
      <c r="K1" s="710"/>
      <c r="L1" s="710"/>
      <c r="M1" s="710"/>
      <c r="N1" s="710"/>
      <c r="O1" s="710"/>
      <c r="P1" s="710"/>
      <c r="Q1" s="710"/>
      <c r="R1" s="710"/>
      <c r="S1" s="710"/>
      <c r="T1" s="710"/>
      <c r="U1" s="710"/>
      <c r="V1" s="710"/>
      <c r="W1" s="710"/>
      <c r="X1" s="524"/>
      <c r="Y1" s="524"/>
      <c r="Z1" s="524"/>
      <c r="AA1" s="524"/>
      <c r="AB1" s="524"/>
      <c r="AC1" s="524"/>
      <c r="AD1" s="524"/>
      <c r="AE1" s="524"/>
      <c r="AF1" s="524"/>
      <c r="AG1" s="524"/>
      <c r="AH1" s="524"/>
      <c r="AI1" s="524"/>
    </row>
    <row r="2" spans="1:35" ht="15" customHeight="1">
      <c r="A2" s="729"/>
      <c r="B2" s="729"/>
      <c r="D2" s="710"/>
      <c r="E2" s="710"/>
      <c r="F2" s="710"/>
      <c r="G2" s="710"/>
      <c r="H2" s="710"/>
      <c r="I2" s="710"/>
      <c r="J2" s="710"/>
      <c r="K2" s="710"/>
      <c r="L2" s="710"/>
      <c r="M2" s="710"/>
      <c r="N2" s="710"/>
      <c r="O2" s="710"/>
      <c r="P2" s="710"/>
      <c r="Q2" s="710"/>
      <c r="R2" s="710"/>
      <c r="S2" s="710"/>
      <c r="T2" s="710"/>
      <c r="U2" s="710"/>
      <c r="V2" s="710"/>
      <c r="W2" s="710"/>
      <c r="X2" s="524"/>
      <c r="Y2" s="524"/>
      <c r="Z2" s="524"/>
      <c r="AA2" s="524"/>
      <c r="AB2" s="524"/>
      <c r="AC2" s="524"/>
      <c r="AD2" s="524"/>
      <c r="AE2" s="524"/>
      <c r="AF2" s="524"/>
      <c r="AG2" s="524"/>
      <c r="AH2" s="524"/>
      <c r="AI2" s="524"/>
    </row>
    <row r="3" spans="1:35" ht="36.75" customHeight="1">
      <c r="A3" s="729"/>
      <c r="B3" s="729"/>
      <c r="D3" s="710"/>
      <c r="E3" s="710"/>
      <c r="F3" s="710"/>
      <c r="G3" s="710"/>
      <c r="H3" s="710"/>
      <c r="I3" s="710"/>
      <c r="J3" s="710"/>
      <c r="K3" s="710"/>
      <c r="L3" s="710"/>
      <c r="M3" s="710"/>
      <c r="N3" s="710"/>
      <c r="O3" s="710"/>
      <c r="P3" s="710"/>
      <c r="Q3" s="710"/>
      <c r="R3" s="710"/>
      <c r="S3" s="710"/>
      <c r="T3" s="710"/>
      <c r="U3" s="710"/>
      <c r="V3" s="710"/>
      <c r="W3" s="710"/>
      <c r="X3" s="524"/>
      <c r="Y3" s="524"/>
      <c r="Z3" s="524"/>
      <c r="AA3" s="524"/>
      <c r="AB3" s="524"/>
      <c r="AC3" s="524"/>
      <c r="AD3" s="524"/>
      <c r="AE3" s="524"/>
      <c r="AF3" s="524"/>
      <c r="AG3" s="524"/>
      <c r="AH3" s="524"/>
      <c r="AI3" s="524"/>
    </row>
    <row r="4" spans="1:35" ht="36.75" customHeight="1">
      <c r="A4" s="202"/>
      <c r="B4" s="202"/>
      <c r="D4" s="710"/>
      <c r="E4" s="710"/>
      <c r="F4" s="710"/>
      <c r="G4" s="710"/>
      <c r="H4" s="710"/>
      <c r="I4" s="710"/>
      <c r="J4" s="710"/>
      <c r="K4" s="710"/>
      <c r="L4" s="710"/>
      <c r="M4" s="710"/>
      <c r="N4" s="710"/>
      <c r="O4" s="710"/>
      <c r="P4" s="710"/>
      <c r="Q4" s="710"/>
      <c r="R4" s="710"/>
      <c r="S4" s="710"/>
      <c r="T4" s="710"/>
      <c r="U4" s="710"/>
      <c r="V4" s="710"/>
      <c r="W4" s="710"/>
      <c r="X4" s="524"/>
      <c r="Y4" s="524"/>
      <c r="Z4" s="524"/>
      <c r="AA4" s="524"/>
      <c r="AB4" s="524"/>
      <c r="AC4" s="524"/>
      <c r="AD4" s="524"/>
      <c r="AE4" s="524"/>
      <c r="AF4" s="524"/>
      <c r="AG4" s="524"/>
      <c r="AH4" s="524"/>
      <c r="AI4" s="524"/>
    </row>
    <row r="5" spans="1:35" ht="36.75" customHeight="1">
      <c r="A5" s="202"/>
      <c r="B5" s="202"/>
      <c r="D5" s="710"/>
      <c r="E5" s="710"/>
      <c r="F5" s="710"/>
      <c r="G5" s="710"/>
      <c r="H5" s="710"/>
      <c r="I5" s="710"/>
      <c r="J5" s="710"/>
      <c r="K5" s="710"/>
      <c r="L5" s="710"/>
      <c r="M5" s="710"/>
      <c r="N5" s="710"/>
      <c r="O5" s="710"/>
      <c r="P5" s="710"/>
      <c r="Q5" s="710"/>
      <c r="R5" s="710"/>
      <c r="S5" s="710"/>
      <c r="T5" s="710"/>
      <c r="U5" s="710"/>
      <c r="V5" s="710"/>
      <c r="W5" s="710"/>
      <c r="X5" s="524"/>
      <c r="Y5" s="524"/>
      <c r="Z5" s="524"/>
      <c r="AA5" s="524"/>
      <c r="AB5" s="524"/>
      <c r="AC5" s="524"/>
      <c r="AD5" s="524"/>
      <c r="AE5" s="524"/>
      <c r="AF5" s="524"/>
      <c r="AG5" s="524"/>
      <c r="AH5" s="524"/>
      <c r="AI5" s="524"/>
    </row>
    <row r="7" spans="1:35" ht="24.75" customHeight="1" thickBot="1">
      <c r="A7" s="728" t="s">
        <v>302</v>
      </c>
      <c r="B7" s="728"/>
      <c r="C7" s="728"/>
      <c r="D7" s="728"/>
      <c r="E7" s="728"/>
      <c r="F7" s="728"/>
      <c r="G7" s="728"/>
      <c r="H7" s="728"/>
      <c r="I7" s="728"/>
      <c r="J7" s="728"/>
      <c r="K7" s="728"/>
      <c r="L7" s="728"/>
      <c r="M7" s="728"/>
      <c r="N7" s="728"/>
      <c r="O7" s="728"/>
      <c r="P7" s="728"/>
      <c r="Q7" s="728"/>
      <c r="R7" s="728"/>
      <c r="S7" s="728"/>
      <c r="T7" s="728"/>
      <c r="U7" s="728"/>
      <c r="V7" s="728"/>
      <c r="W7" s="728"/>
      <c r="X7" s="525"/>
      <c r="Y7" s="525"/>
      <c r="Z7" s="525"/>
      <c r="AA7" s="525"/>
      <c r="AB7" s="525"/>
      <c r="AC7" s="525"/>
      <c r="AD7" s="525"/>
      <c r="AE7" s="525"/>
      <c r="AF7" s="525"/>
      <c r="AG7" s="525"/>
      <c r="AH7" s="525"/>
      <c r="AI7" s="525"/>
    </row>
    <row r="8" spans="1:35">
      <c r="A8" s="2" t="s">
        <v>64</v>
      </c>
      <c r="B8" s="2"/>
      <c r="C8" s="2"/>
      <c r="D8" s="2" t="s">
        <v>63</v>
      </c>
      <c r="E8" s="2"/>
      <c r="F8" s="2"/>
      <c r="G8" s="158"/>
      <c r="H8" s="159"/>
      <c r="I8" s="159" t="s">
        <v>352</v>
      </c>
      <c r="J8" s="159"/>
      <c r="K8" s="160"/>
      <c r="L8" s="2"/>
      <c r="M8" s="158"/>
      <c r="N8" s="159"/>
      <c r="O8" s="159" t="s">
        <v>353</v>
      </c>
      <c r="P8" s="159"/>
      <c r="Q8" s="160"/>
      <c r="R8" s="2"/>
      <c r="S8" s="158"/>
      <c r="T8" s="159"/>
      <c r="U8" s="159" t="s">
        <v>354</v>
      </c>
      <c r="V8" s="159"/>
      <c r="W8" s="160"/>
      <c r="X8" s="2"/>
      <c r="Y8" s="158"/>
      <c r="Z8" s="159"/>
      <c r="AA8" s="159" t="s">
        <v>635</v>
      </c>
      <c r="AB8" s="159"/>
      <c r="AC8" s="160"/>
      <c r="AD8" s="2"/>
      <c r="AE8" s="158"/>
      <c r="AF8" s="159"/>
      <c r="AG8" s="159" t="s">
        <v>636</v>
      </c>
      <c r="AH8" s="159"/>
      <c r="AI8" s="160"/>
    </row>
    <row r="9" spans="1:35">
      <c r="A9" s="2"/>
      <c r="B9" s="2"/>
      <c r="C9" s="2"/>
      <c r="D9" s="2"/>
      <c r="E9" s="2"/>
      <c r="F9" s="2"/>
      <c r="G9" s="161"/>
      <c r="H9" s="162"/>
      <c r="I9" s="162"/>
      <c r="J9" s="162"/>
      <c r="K9" s="163"/>
      <c r="L9" s="2"/>
      <c r="M9" s="161"/>
      <c r="N9" s="162"/>
      <c r="O9" s="162"/>
      <c r="P9" s="162"/>
      <c r="Q9" s="163"/>
      <c r="R9" s="2"/>
      <c r="S9" s="161"/>
      <c r="T9" s="162"/>
      <c r="U9" s="162"/>
      <c r="V9" s="162"/>
      <c r="W9" s="163"/>
      <c r="X9" s="2"/>
      <c r="Y9" s="161"/>
      <c r="Z9" s="162"/>
      <c r="AA9" s="162"/>
      <c r="AB9" s="162"/>
      <c r="AC9" s="163"/>
      <c r="AD9" s="2"/>
      <c r="AE9" s="161"/>
      <c r="AF9" s="162"/>
      <c r="AG9" s="162"/>
      <c r="AH9" s="162"/>
      <c r="AI9" s="163"/>
    </row>
    <row r="10" spans="1:35">
      <c r="A10" s="2" t="s">
        <v>172</v>
      </c>
      <c r="B10" s="2"/>
      <c r="C10" s="2"/>
      <c r="D10" s="164">
        <f>COUNTIF($D$24:$D$40,"Planning/Discovery")</f>
        <v>4</v>
      </c>
      <c r="E10" s="2"/>
      <c r="F10" s="2"/>
      <c r="G10" s="161"/>
      <c r="H10" s="162"/>
      <c r="I10" s="164">
        <f>COUNTIF($I$24:$I$40,"Planning/Discovery")+COUNTIF(I43:I57,"Planning/Discovery")</f>
        <v>0</v>
      </c>
      <c r="J10" s="162"/>
      <c r="K10" s="163"/>
      <c r="L10" s="2"/>
      <c r="M10" s="161"/>
      <c r="N10" s="162"/>
      <c r="O10" s="164">
        <f>COUNTIF($O$24:$O$40,"Planning/Discovery")+COUNTIF(O43:O57,"Planning/Discovery")</f>
        <v>0</v>
      </c>
      <c r="P10" s="162"/>
      <c r="Q10" s="163"/>
      <c r="R10" s="2"/>
      <c r="S10" s="161"/>
      <c r="T10" s="162"/>
      <c r="U10" s="164">
        <f>COUNTIF($U$24:$U$40,"Planning/Discovery")+COUNTIF(U43:U57,"Planning/Discovery")</f>
        <v>0</v>
      </c>
      <c r="V10" s="162"/>
      <c r="W10" s="163"/>
      <c r="X10" s="2"/>
      <c r="Y10" s="161"/>
      <c r="Z10" s="162"/>
      <c r="AA10" s="164">
        <f>COUNTIF($AA$24:$AA$40,"Planning/Discovery")+COUNTIF(AA43:AA57,"Planning/Discovery")</f>
        <v>0</v>
      </c>
      <c r="AB10" s="162"/>
      <c r="AC10" s="163"/>
      <c r="AD10" s="2"/>
      <c r="AE10" s="161"/>
      <c r="AF10" s="162"/>
      <c r="AG10" s="164">
        <f>COUNTIF($AG$24:$AG$40,"Planning/Discovery")+COUNTIF(AG43:AG57,"Planning/Discovery")</f>
        <v>0</v>
      </c>
      <c r="AH10" s="162"/>
      <c r="AI10" s="163"/>
    </row>
    <row r="11" spans="1:35">
      <c r="A11" s="2"/>
      <c r="B11" s="2"/>
      <c r="C11" s="2"/>
      <c r="D11" s="2"/>
      <c r="E11" s="2"/>
      <c r="F11" s="2"/>
      <c r="G11" s="161"/>
      <c r="H11" s="162"/>
      <c r="I11" s="162"/>
      <c r="J11" s="162"/>
      <c r="K11" s="163"/>
      <c r="L11" s="2"/>
      <c r="M11" s="161"/>
      <c r="N11" s="162"/>
      <c r="O11" s="162"/>
      <c r="P11" s="162"/>
      <c r="Q11" s="163"/>
      <c r="R11" s="2"/>
      <c r="S11" s="161"/>
      <c r="T11" s="162"/>
      <c r="U11" s="162"/>
      <c r="V11" s="162"/>
      <c r="W11" s="163"/>
      <c r="X11" s="2"/>
      <c r="Y11" s="161"/>
      <c r="Z11" s="162"/>
      <c r="AA11" s="162"/>
      <c r="AB11" s="162"/>
      <c r="AC11" s="163"/>
      <c r="AD11" s="2"/>
      <c r="AE11" s="161"/>
      <c r="AF11" s="162"/>
      <c r="AG11" s="162"/>
      <c r="AH11" s="162"/>
      <c r="AI11" s="163"/>
    </row>
    <row r="12" spans="1:35">
      <c r="A12" s="2" t="s">
        <v>62</v>
      </c>
      <c r="B12" s="2"/>
      <c r="C12" s="2"/>
      <c r="D12" s="164">
        <f>COUNTIF($D$24:$D$40,"Onboarding")</f>
        <v>0</v>
      </c>
      <c r="E12" s="2"/>
      <c r="F12" s="2"/>
      <c r="G12" s="161"/>
      <c r="H12" s="162"/>
      <c r="I12" s="164">
        <f>COUNTIF($I$24:$I$40,"Onboarding")+COUNTIF(I43:I57,"Onboarding")</f>
        <v>0</v>
      </c>
      <c r="J12" s="162"/>
      <c r="K12" s="163"/>
      <c r="L12" s="2"/>
      <c r="M12" s="161"/>
      <c r="N12" s="162"/>
      <c r="O12" s="164">
        <f>COUNTIF($O$24:$O$40,"Onboarding")+COUNTIF(O43:O57,"Onboarding")</f>
        <v>0</v>
      </c>
      <c r="P12" s="162"/>
      <c r="Q12" s="163"/>
      <c r="R12" s="2"/>
      <c r="S12" s="161"/>
      <c r="T12" s="162"/>
      <c r="U12" s="164">
        <f>COUNTIF($U$24:$U$40,"Onboarding")+COUNTIF(U43:U57,"Onboarding")</f>
        <v>0</v>
      </c>
      <c r="V12" s="162"/>
      <c r="W12" s="163"/>
      <c r="X12" s="2"/>
      <c r="Y12" s="161"/>
      <c r="Z12" s="162"/>
      <c r="AA12" s="164">
        <f>COUNTIF($AA$24:$AA$40,"Onboarding")+COUNTIF(AA43:AA57,"Onboarding")</f>
        <v>0</v>
      </c>
      <c r="AB12" s="162"/>
      <c r="AC12" s="163"/>
      <c r="AD12" s="2"/>
      <c r="AE12" s="161"/>
      <c r="AF12" s="162"/>
      <c r="AG12" s="164">
        <f>COUNTIF($AG$24:$AG$40,"Onboarding")+COUNTIF(AG43:AG57,"Onboarding")</f>
        <v>0</v>
      </c>
      <c r="AH12" s="162"/>
      <c r="AI12" s="163"/>
    </row>
    <row r="13" spans="1:35">
      <c r="A13" s="2"/>
      <c r="B13" s="2"/>
      <c r="C13" s="2"/>
      <c r="D13" s="2"/>
      <c r="E13" s="2"/>
      <c r="F13" s="2"/>
      <c r="G13" s="161"/>
      <c r="H13" s="162"/>
      <c r="I13" s="162"/>
      <c r="J13" s="162"/>
      <c r="K13" s="163"/>
      <c r="L13" s="2"/>
      <c r="M13" s="161"/>
      <c r="N13" s="162"/>
      <c r="O13" s="162"/>
      <c r="P13" s="162"/>
      <c r="Q13" s="163"/>
      <c r="R13" s="2"/>
      <c r="S13" s="161"/>
      <c r="T13" s="162"/>
      <c r="U13" s="162"/>
      <c r="V13" s="162"/>
      <c r="W13" s="163"/>
      <c r="X13" s="2"/>
      <c r="Y13" s="161"/>
      <c r="Z13" s="162"/>
      <c r="AA13" s="162"/>
      <c r="AB13" s="162"/>
      <c r="AC13" s="163"/>
      <c r="AD13" s="2"/>
      <c r="AE13" s="161"/>
      <c r="AF13" s="162"/>
      <c r="AG13" s="162"/>
      <c r="AH13" s="162"/>
      <c r="AI13" s="163"/>
    </row>
    <row r="14" spans="1:35">
      <c r="A14" s="2" t="s">
        <v>61</v>
      </c>
      <c r="B14" s="2"/>
      <c r="C14" s="2"/>
      <c r="D14" s="164">
        <f>COUNTIF($D$24:$D$40,"Active")</f>
        <v>9</v>
      </c>
      <c r="E14" s="2"/>
      <c r="F14" s="2"/>
      <c r="G14" s="161"/>
      <c r="H14" s="162"/>
      <c r="I14" s="164">
        <f>COUNTIF($I$24:$I$40,"Active")+COUNTIF(I43:I57,"Active")</f>
        <v>10</v>
      </c>
      <c r="J14" s="162"/>
      <c r="K14" s="163"/>
      <c r="L14" s="2"/>
      <c r="M14" s="161"/>
      <c r="N14" s="162"/>
      <c r="O14" s="164">
        <f>COUNTIF($O$24:$O$40,"Active")+COUNTIF(O43:O57,"Active")</f>
        <v>10</v>
      </c>
      <c r="P14" s="162"/>
      <c r="Q14" s="163"/>
      <c r="R14" s="2"/>
      <c r="S14" s="161"/>
      <c r="T14" s="162"/>
      <c r="U14" s="164">
        <f>COUNTIF($U$24:$U$40,"Active")+COUNTIF(U42:U57,"Active")</f>
        <v>10</v>
      </c>
      <c r="V14" s="162"/>
      <c r="W14" s="163"/>
      <c r="X14" s="2"/>
      <c r="Y14" s="161"/>
      <c r="Z14" s="162"/>
      <c r="AA14" s="164">
        <f>COUNTIF($AA$24:$AA$40,"Active")+COUNTIF(AA42:AA57,"Active")</f>
        <v>10</v>
      </c>
      <c r="AB14" s="162"/>
      <c r="AC14" s="163"/>
      <c r="AD14" s="2"/>
      <c r="AE14" s="161"/>
      <c r="AF14" s="162"/>
      <c r="AG14" s="164">
        <f>COUNTIF($AG$24:$AG$40,"Active")+COUNTIF(AG42:AG57,"Active")</f>
        <v>10</v>
      </c>
      <c r="AH14" s="162"/>
      <c r="AI14" s="163"/>
    </row>
    <row r="15" spans="1:35">
      <c r="A15" s="2"/>
      <c r="B15" s="2"/>
      <c r="C15" s="2"/>
      <c r="D15" s="2"/>
      <c r="E15" s="2"/>
      <c r="F15" s="2"/>
      <c r="G15" s="161"/>
      <c r="H15" s="162"/>
      <c r="I15" s="162"/>
      <c r="J15" s="162"/>
      <c r="K15" s="163"/>
      <c r="L15" s="2"/>
      <c r="M15" s="161"/>
      <c r="N15" s="162"/>
      <c r="O15" s="162"/>
      <c r="P15" s="162"/>
      <c r="Q15" s="163"/>
      <c r="R15" s="2"/>
      <c r="S15" s="161"/>
      <c r="T15" s="162"/>
      <c r="U15" s="162"/>
      <c r="V15" s="162"/>
      <c r="W15" s="163"/>
      <c r="X15" s="2"/>
      <c r="Y15" s="161"/>
      <c r="Z15" s="162"/>
      <c r="AA15" s="162"/>
      <c r="AB15" s="162"/>
      <c r="AC15" s="163"/>
      <c r="AD15" s="2"/>
      <c r="AE15" s="161"/>
      <c r="AF15" s="162"/>
      <c r="AG15" s="162"/>
      <c r="AH15" s="162"/>
      <c r="AI15" s="163"/>
    </row>
    <row r="16" spans="1:35">
      <c r="A16" s="2" t="s">
        <v>173</v>
      </c>
      <c r="B16" s="2"/>
      <c r="C16" s="2"/>
      <c r="D16" s="164">
        <f>COUNTIF($D$24:$D$40,"Export/Retirement")</f>
        <v>0</v>
      </c>
      <c r="E16" s="2"/>
      <c r="F16" s="2"/>
      <c r="G16" s="161"/>
      <c r="H16" s="162"/>
      <c r="I16" s="164">
        <f>COUNTIF($I$24:$I$40,"Export/Retirement")+COUNTIF(I43:I57,"Export/Retirement")</f>
        <v>0</v>
      </c>
      <c r="J16" s="162"/>
      <c r="K16" s="163"/>
      <c r="L16" s="2"/>
      <c r="M16" s="161"/>
      <c r="N16" s="162"/>
      <c r="O16" s="164">
        <f>COUNTIF($O$24:$O$40,"Export/Retirement")+COUNTIF(O43:O57,"Export/Retirement")</f>
        <v>0</v>
      </c>
      <c r="P16" s="162"/>
      <c r="Q16" s="163"/>
      <c r="R16" s="2"/>
      <c r="S16" s="161"/>
      <c r="T16" s="162"/>
      <c r="U16" s="164">
        <f>COUNTIF($U$24:$U$40,"Export/Retirement")+COUNTIF(U43:U57,"Export/Retirement")</f>
        <v>0</v>
      </c>
      <c r="V16" s="162"/>
      <c r="W16" s="163"/>
      <c r="X16" s="2"/>
      <c r="Y16" s="161"/>
      <c r="Z16" s="162"/>
      <c r="AA16" s="164">
        <f>COUNTIF($AA$24:$AA$40,"Export/Retirement")+COUNTIF(AA43:AA57,"Export/Retirement")</f>
        <v>0</v>
      </c>
      <c r="AB16" s="162"/>
      <c r="AC16" s="163"/>
      <c r="AD16" s="2"/>
      <c r="AE16" s="161"/>
      <c r="AF16" s="162"/>
      <c r="AG16" s="164">
        <f>COUNTIF($AG$24:$AG$40,"Export/Retirement")+COUNTIF(AG43:AG57,"Export/Retirement")</f>
        <v>0</v>
      </c>
      <c r="AH16" s="162"/>
      <c r="AI16" s="163"/>
    </row>
    <row r="17" spans="1:35">
      <c r="A17" s="2"/>
      <c r="B17" s="2"/>
      <c r="C17" s="2"/>
      <c r="D17" s="2"/>
      <c r="E17" s="2"/>
      <c r="F17" s="2"/>
      <c r="G17" s="161"/>
      <c r="H17" s="162"/>
      <c r="I17" s="162"/>
      <c r="J17" s="162"/>
      <c r="K17" s="163"/>
      <c r="L17" s="2"/>
      <c r="M17" s="161"/>
      <c r="N17" s="162"/>
      <c r="O17" s="162"/>
      <c r="P17" s="162"/>
      <c r="Q17" s="163"/>
      <c r="R17" s="2"/>
      <c r="S17" s="161"/>
      <c r="T17" s="162"/>
      <c r="U17" s="162"/>
      <c r="V17" s="162"/>
      <c r="W17" s="163"/>
      <c r="X17" s="2"/>
      <c r="Y17" s="161"/>
      <c r="Z17" s="162"/>
      <c r="AA17" s="162"/>
      <c r="AB17" s="162"/>
      <c r="AC17" s="163"/>
      <c r="AD17" s="2"/>
      <c r="AE17" s="161"/>
      <c r="AF17" s="162"/>
      <c r="AG17" s="162"/>
      <c r="AH17" s="162"/>
      <c r="AI17" s="163"/>
    </row>
    <row r="18" spans="1:35">
      <c r="A18" s="2" t="s">
        <v>185</v>
      </c>
      <c r="B18" s="2"/>
      <c r="C18" s="2"/>
      <c r="D18" s="2" t="s">
        <v>22</v>
      </c>
      <c r="E18" s="2"/>
      <c r="F18" s="2"/>
      <c r="G18" s="161"/>
      <c r="H18" s="162"/>
      <c r="I18" s="162" t="s">
        <v>306</v>
      </c>
      <c r="J18" s="162"/>
      <c r="K18" s="163"/>
      <c r="L18" s="2"/>
      <c r="M18" s="161"/>
      <c r="N18" s="162"/>
      <c r="O18" s="162" t="s">
        <v>306</v>
      </c>
      <c r="P18" s="162"/>
      <c r="Q18" s="163"/>
      <c r="R18" s="2"/>
      <c r="S18" s="161"/>
      <c r="T18" s="162"/>
      <c r="U18" s="162" t="s">
        <v>306</v>
      </c>
      <c r="V18" s="162"/>
      <c r="W18" s="163"/>
      <c r="X18" s="2"/>
      <c r="Y18" s="161"/>
      <c r="Z18" s="162"/>
      <c r="AA18" s="162" t="s">
        <v>306</v>
      </c>
      <c r="AB18" s="162"/>
      <c r="AC18" s="163"/>
      <c r="AD18" s="2"/>
      <c r="AE18" s="161"/>
      <c r="AF18" s="162"/>
      <c r="AG18" s="162" t="s">
        <v>306</v>
      </c>
      <c r="AH18" s="162"/>
      <c r="AI18" s="163"/>
    </row>
    <row r="19" spans="1:35">
      <c r="A19" s="2" t="s">
        <v>293</v>
      </c>
      <c r="B19" s="2"/>
      <c r="C19" s="2"/>
      <c r="D19" s="135">
        <f>'Platform Overhead C '!B24</f>
        <v>1.5</v>
      </c>
      <c r="E19" s="2" t="s">
        <v>295</v>
      </c>
      <c r="F19" s="2"/>
      <c r="G19" s="161"/>
      <c r="H19" s="162"/>
      <c r="I19" s="42">
        <v>1.5</v>
      </c>
      <c r="J19" s="162" t="s">
        <v>295</v>
      </c>
      <c r="K19" s="163"/>
      <c r="L19" s="2"/>
      <c r="M19" s="161"/>
      <c r="N19" s="162"/>
      <c r="O19" s="42">
        <v>1.5</v>
      </c>
      <c r="P19" s="162" t="s">
        <v>295</v>
      </c>
      <c r="Q19" s="163"/>
      <c r="R19" s="2"/>
      <c r="S19" s="161"/>
      <c r="T19" s="162"/>
      <c r="U19" s="42">
        <v>1.5</v>
      </c>
      <c r="V19" s="162" t="s">
        <v>295</v>
      </c>
      <c r="W19" s="163"/>
      <c r="X19" s="2"/>
      <c r="Y19" s="161"/>
      <c r="Z19" s="162"/>
      <c r="AA19" s="42">
        <v>1.5</v>
      </c>
      <c r="AB19" s="162" t="s">
        <v>295</v>
      </c>
      <c r="AC19" s="163"/>
      <c r="AD19" s="2"/>
      <c r="AE19" s="161"/>
      <c r="AF19" s="162"/>
      <c r="AG19" s="42">
        <v>1.5</v>
      </c>
      <c r="AH19" s="162" t="s">
        <v>295</v>
      </c>
      <c r="AI19" s="163"/>
    </row>
    <row r="20" spans="1:35">
      <c r="A20" s="2" t="s">
        <v>294</v>
      </c>
      <c r="B20" s="2"/>
      <c r="C20" s="2"/>
      <c r="D20" s="135">
        <f>'Platform Overhead C '!B25</f>
        <v>1.5</v>
      </c>
      <c r="E20" s="2" t="s">
        <v>295</v>
      </c>
      <c r="F20" s="2"/>
      <c r="G20" s="161"/>
      <c r="H20" s="162"/>
      <c r="I20" s="42">
        <v>1.5</v>
      </c>
      <c r="J20" s="162" t="s">
        <v>295</v>
      </c>
      <c r="K20" s="163"/>
      <c r="L20" s="2"/>
      <c r="M20" s="161"/>
      <c r="N20" s="162"/>
      <c r="O20" s="42">
        <v>1.5</v>
      </c>
      <c r="P20" s="162" t="s">
        <v>295</v>
      </c>
      <c r="Q20" s="163"/>
      <c r="R20" s="2"/>
      <c r="S20" s="161"/>
      <c r="T20" s="162"/>
      <c r="U20" s="42">
        <v>1.5</v>
      </c>
      <c r="V20" s="162" t="s">
        <v>295</v>
      </c>
      <c r="W20" s="163"/>
      <c r="X20" s="2"/>
      <c r="Y20" s="161"/>
      <c r="Z20" s="162"/>
      <c r="AA20" s="42">
        <v>1.5</v>
      </c>
      <c r="AB20" s="162" t="s">
        <v>295</v>
      </c>
      <c r="AC20" s="163"/>
      <c r="AD20" s="2"/>
      <c r="AE20" s="161"/>
      <c r="AF20" s="162"/>
      <c r="AG20" s="42">
        <v>1.5</v>
      </c>
      <c r="AH20" s="162" t="s">
        <v>295</v>
      </c>
      <c r="AI20" s="163"/>
    </row>
    <row r="21" spans="1:35">
      <c r="A21" s="2" t="s">
        <v>643</v>
      </c>
      <c r="B21" s="2"/>
      <c r="C21" s="2"/>
      <c r="D21" s="606"/>
      <c r="E21" s="2"/>
      <c r="F21" s="606"/>
      <c r="G21" s="161"/>
      <c r="H21" s="162"/>
      <c r="I21" s="606"/>
      <c r="J21" s="606"/>
      <c r="K21" s="163"/>
      <c r="L21" s="2"/>
      <c r="M21" s="161"/>
      <c r="N21" s="162"/>
      <c r="O21" s="42">
        <v>10</v>
      </c>
      <c r="P21" s="162" t="s">
        <v>642</v>
      </c>
      <c r="Q21" s="163"/>
      <c r="R21" s="2"/>
      <c r="S21" s="161"/>
      <c r="T21" s="162"/>
      <c r="U21" s="42">
        <v>10</v>
      </c>
      <c r="V21" s="162" t="s">
        <v>642</v>
      </c>
      <c r="W21" s="163"/>
      <c r="X21" s="2"/>
      <c r="Y21" s="161"/>
      <c r="Z21" s="162"/>
      <c r="AA21" s="42">
        <v>10</v>
      </c>
      <c r="AB21" s="162" t="s">
        <v>642</v>
      </c>
      <c r="AC21" s="163"/>
      <c r="AD21" s="2"/>
      <c r="AE21" s="161"/>
      <c r="AF21" s="162"/>
      <c r="AG21" s="42">
        <v>10</v>
      </c>
      <c r="AH21" s="162" t="s">
        <v>642</v>
      </c>
      <c r="AI21" s="163"/>
    </row>
    <row r="22" spans="1:35">
      <c r="A22" s="2"/>
      <c r="B22" s="2"/>
      <c r="C22" s="2"/>
      <c r="D22" s="2"/>
      <c r="E22" s="2"/>
      <c r="F22" s="2"/>
      <c r="G22" s="161"/>
      <c r="H22" s="162"/>
      <c r="I22" s="162"/>
      <c r="J22" s="162"/>
      <c r="K22" s="163"/>
      <c r="L22" s="2"/>
      <c r="M22" s="161"/>
      <c r="N22" s="162"/>
      <c r="O22" s="162"/>
      <c r="P22" s="162"/>
      <c r="Q22" s="163"/>
      <c r="R22" s="2"/>
      <c r="S22" s="161"/>
      <c r="T22" s="162"/>
      <c r="U22" s="162"/>
      <c r="V22" s="162"/>
      <c r="W22" s="163"/>
      <c r="X22" s="2"/>
      <c r="Y22" s="161"/>
      <c r="Z22" s="162"/>
      <c r="AA22" s="162"/>
      <c r="AB22" s="162"/>
      <c r="AC22" s="163"/>
      <c r="AD22" s="2"/>
      <c r="AE22" s="161"/>
      <c r="AF22" s="162"/>
      <c r="AG22" s="162"/>
      <c r="AH22" s="162"/>
      <c r="AI22" s="163"/>
    </row>
    <row r="23" spans="1:35">
      <c r="A23" s="2" t="s">
        <v>300</v>
      </c>
      <c r="B23" s="2"/>
      <c r="C23" s="2"/>
      <c r="D23" s="2" t="s">
        <v>22</v>
      </c>
      <c r="E23" s="2"/>
      <c r="F23" s="2"/>
      <c r="G23" s="161" t="s">
        <v>304</v>
      </c>
      <c r="H23" s="162"/>
      <c r="I23" s="162" t="s">
        <v>305</v>
      </c>
      <c r="J23" s="162"/>
      <c r="K23" s="163" t="s">
        <v>310</v>
      </c>
      <c r="L23" s="2"/>
      <c r="M23" s="161" t="s">
        <v>304</v>
      </c>
      <c r="N23" s="162"/>
      <c r="O23" s="162" t="s">
        <v>305</v>
      </c>
      <c r="P23" s="162"/>
      <c r="Q23" s="163" t="s">
        <v>310</v>
      </c>
      <c r="R23" s="2"/>
      <c r="S23" s="161" t="s">
        <v>304</v>
      </c>
      <c r="T23" s="162"/>
      <c r="U23" s="162" t="s">
        <v>305</v>
      </c>
      <c r="V23" s="162"/>
      <c r="W23" s="163" t="s">
        <v>310</v>
      </c>
      <c r="X23" s="2"/>
      <c r="Y23" s="161" t="s">
        <v>304</v>
      </c>
      <c r="Z23" s="162"/>
      <c r="AA23" s="162" t="s">
        <v>305</v>
      </c>
      <c r="AB23" s="162"/>
      <c r="AC23" s="163" t="s">
        <v>310</v>
      </c>
      <c r="AD23" s="2"/>
      <c r="AE23" s="161" t="s">
        <v>304</v>
      </c>
      <c r="AF23" s="162"/>
      <c r="AG23" s="162" t="s">
        <v>305</v>
      </c>
      <c r="AH23" s="162"/>
      <c r="AI23" s="163" t="s">
        <v>310</v>
      </c>
    </row>
    <row r="24" spans="1:35">
      <c r="A24" s="2" t="str">
        <f t="shared" ref="A24:A40" si="0">A78</f>
        <v>CVP-NYC</v>
      </c>
      <c r="B24" s="2"/>
      <c r="C24" s="2"/>
      <c r="D24" s="134" t="str">
        <f>Inputs!C14</f>
        <v>Planning/Discovery</v>
      </c>
      <c r="E24" s="2"/>
      <c r="F24" s="2"/>
      <c r="G24" s="165" t="s">
        <v>192</v>
      </c>
      <c r="H24" s="162"/>
      <c r="I24" s="42" t="s">
        <v>8</v>
      </c>
      <c r="J24" s="162"/>
      <c r="K24" s="166"/>
      <c r="L24" s="2" t="s">
        <v>309</v>
      </c>
      <c r="M24" s="165" t="s">
        <v>192</v>
      </c>
      <c r="N24" s="162"/>
      <c r="O24" s="42" t="s">
        <v>8</v>
      </c>
      <c r="P24" s="162"/>
      <c r="Q24" s="166"/>
      <c r="R24" s="2"/>
      <c r="S24" s="165" t="str">
        <f>M24</f>
        <v>None</v>
      </c>
      <c r="T24" s="162"/>
      <c r="U24" s="42" t="str">
        <f>O24</f>
        <v>Active</v>
      </c>
      <c r="V24" s="162"/>
      <c r="W24" s="166"/>
      <c r="X24" s="2"/>
      <c r="Y24" s="165" t="str">
        <f>S24</f>
        <v>None</v>
      </c>
      <c r="Z24" s="162"/>
      <c r="AA24" s="42" t="str">
        <f>U24</f>
        <v>Active</v>
      </c>
      <c r="AB24" s="162"/>
      <c r="AC24" s="166"/>
      <c r="AD24" s="2"/>
      <c r="AE24" s="165" t="str">
        <f>Y24</f>
        <v>None</v>
      </c>
      <c r="AF24" s="162"/>
      <c r="AG24" s="42" t="str">
        <f>AA24</f>
        <v>Active</v>
      </c>
      <c r="AH24" s="162"/>
      <c r="AI24" s="166"/>
    </row>
    <row r="25" spans="1:35">
      <c r="A25" s="2" t="str">
        <f t="shared" si="0"/>
        <v>CVP-THEA</v>
      </c>
      <c r="B25" s="2"/>
      <c r="C25" s="2"/>
      <c r="D25" s="134" t="str">
        <f>Inputs!C15</f>
        <v>Active</v>
      </c>
      <c r="E25" s="2"/>
      <c r="F25" s="2"/>
      <c r="G25" s="165" t="s">
        <v>192</v>
      </c>
      <c r="H25" s="162"/>
      <c r="I25" s="42" t="s">
        <v>8</v>
      </c>
      <c r="J25" s="162"/>
      <c r="K25" s="166"/>
      <c r="L25" s="2"/>
      <c r="M25" s="165" t="str">
        <f t="shared" ref="M25:M57" si="1">G25</f>
        <v>None</v>
      </c>
      <c r="N25" s="162"/>
      <c r="O25" s="42" t="str">
        <f t="shared" ref="O25:O57" si="2">I25</f>
        <v>Active</v>
      </c>
      <c r="P25" s="162"/>
      <c r="Q25" s="166"/>
      <c r="R25" s="2"/>
      <c r="S25" s="165" t="str">
        <f t="shared" ref="S25:S57" si="3">M25</f>
        <v>None</v>
      </c>
      <c r="T25" s="162"/>
      <c r="U25" s="42" t="str">
        <f t="shared" ref="U25:U57" si="4">O25</f>
        <v>Active</v>
      </c>
      <c r="V25" s="162"/>
      <c r="W25" s="166"/>
      <c r="X25" s="2"/>
      <c r="Y25" s="165" t="str">
        <f t="shared" ref="Y25:Y40" si="5">S25</f>
        <v>None</v>
      </c>
      <c r="Z25" s="162"/>
      <c r="AA25" s="42" t="str">
        <f t="shared" ref="AA25:AA40" si="6">U25</f>
        <v>Active</v>
      </c>
      <c r="AB25" s="162"/>
      <c r="AC25" s="166"/>
      <c r="AD25" s="2"/>
      <c r="AE25" s="165" t="str">
        <f t="shared" ref="AE25:AE40" si="7">Y25</f>
        <v>None</v>
      </c>
      <c r="AF25" s="162"/>
      <c r="AG25" s="42" t="str">
        <f t="shared" ref="AG25:AG40" si="8">AA25</f>
        <v>Active</v>
      </c>
      <c r="AH25" s="162"/>
      <c r="AI25" s="166"/>
    </row>
    <row r="26" spans="1:35">
      <c r="A26" s="2" t="str">
        <f t="shared" si="0"/>
        <v>CVP-WYDOT</v>
      </c>
      <c r="B26" s="2"/>
      <c r="C26" s="2"/>
      <c r="D26" s="134" t="str">
        <f>Inputs!C16</f>
        <v>Active</v>
      </c>
      <c r="E26" s="2"/>
      <c r="F26" s="2"/>
      <c r="G26" s="165" t="s">
        <v>192</v>
      </c>
      <c r="H26" s="162"/>
      <c r="I26" s="42" t="s">
        <v>8</v>
      </c>
      <c r="J26" s="162"/>
      <c r="K26" s="166"/>
      <c r="L26" s="2"/>
      <c r="M26" s="165" t="str">
        <f t="shared" si="1"/>
        <v>None</v>
      </c>
      <c r="N26" s="162"/>
      <c r="O26" s="42" t="str">
        <f t="shared" si="2"/>
        <v>Active</v>
      </c>
      <c r="P26" s="162"/>
      <c r="Q26" s="166"/>
      <c r="R26" s="2"/>
      <c r="S26" s="165" t="str">
        <f t="shared" si="3"/>
        <v>None</v>
      </c>
      <c r="T26" s="162"/>
      <c r="U26" s="42" t="str">
        <f t="shared" si="4"/>
        <v>Active</v>
      </c>
      <c r="V26" s="162"/>
      <c r="W26" s="166"/>
      <c r="X26" s="2"/>
      <c r="Y26" s="165" t="str">
        <f t="shared" si="5"/>
        <v>None</v>
      </c>
      <c r="Z26" s="162"/>
      <c r="AA26" s="42" t="str">
        <f t="shared" si="6"/>
        <v>Active</v>
      </c>
      <c r="AB26" s="162"/>
      <c r="AC26" s="166"/>
      <c r="AD26" s="2"/>
      <c r="AE26" s="165" t="str">
        <f t="shared" si="7"/>
        <v>None</v>
      </c>
      <c r="AF26" s="162"/>
      <c r="AG26" s="42" t="str">
        <f t="shared" si="8"/>
        <v>Active</v>
      </c>
      <c r="AH26" s="162"/>
      <c r="AI26" s="166"/>
    </row>
    <row r="27" spans="1:35">
      <c r="A27" s="2" t="str">
        <f t="shared" si="0"/>
        <v>CVP-Volpe-IE</v>
      </c>
      <c r="B27" s="2"/>
      <c r="C27" s="2"/>
      <c r="D27" s="134" t="str">
        <f>Inputs!C17</f>
        <v>Active</v>
      </c>
      <c r="E27" s="2"/>
      <c r="F27" s="2"/>
      <c r="G27" s="165" t="s">
        <v>192</v>
      </c>
      <c r="H27" s="162"/>
      <c r="I27" s="42" t="str">
        <f t="shared" ref="I27:I37" si="9">D27</f>
        <v>Active</v>
      </c>
      <c r="J27" s="162"/>
      <c r="K27" s="166"/>
      <c r="L27" s="2"/>
      <c r="M27" s="165" t="str">
        <f t="shared" si="1"/>
        <v>None</v>
      </c>
      <c r="N27" s="162"/>
      <c r="O27" s="42" t="str">
        <f t="shared" si="2"/>
        <v>Active</v>
      </c>
      <c r="P27" s="162"/>
      <c r="Q27" s="166"/>
      <c r="R27" s="2"/>
      <c r="S27" s="165" t="str">
        <f t="shared" si="3"/>
        <v>None</v>
      </c>
      <c r="T27" s="162"/>
      <c r="U27" s="42" t="str">
        <f t="shared" si="4"/>
        <v>Active</v>
      </c>
      <c r="V27" s="162"/>
      <c r="W27" s="166"/>
      <c r="X27" s="2"/>
      <c r="Y27" s="165" t="str">
        <f t="shared" si="5"/>
        <v>None</v>
      </c>
      <c r="Z27" s="162"/>
      <c r="AA27" s="42" t="str">
        <f t="shared" si="6"/>
        <v>Active</v>
      </c>
      <c r="AB27" s="162"/>
      <c r="AC27" s="166"/>
      <c r="AD27" s="2"/>
      <c r="AE27" s="165" t="str">
        <f t="shared" si="7"/>
        <v>None</v>
      </c>
      <c r="AF27" s="162"/>
      <c r="AG27" s="42" t="str">
        <f t="shared" si="8"/>
        <v>Active</v>
      </c>
      <c r="AH27" s="162"/>
      <c r="AI27" s="166"/>
    </row>
    <row r="28" spans="1:35">
      <c r="A28" s="2" t="str">
        <f t="shared" si="0"/>
        <v>CVP-TTI-IE</v>
      </c>
      <c r="B28" s="2"/>
      <c r="C28" s="2"/>
      <c r="D28" s="134" t="str">
        <f>Inputs!C18</f>
        <v>Active</v>
      </c>
      <c r="E28" s="2"/>
      <c r="F28" s="2"/>
      <c r="G28" s="165" t="s">
        <v>192</v>
      </c>
      <c r="H28" s="162"/>
      <c r="I28" s="42" t="str">
        <f t="shared" si="9"/>
        <v>Active</v>
      </c>
      <c r="J28" s="162"/>
      <c r="K28" s="166"/>
      <c r="L28" s="2"/>
      <c r="M28" s="165" t="str">
        <f t="shared" si="1"/>
        <v>None</v>
      </c>
      <c r="N28" s="162"/>
      <c r="O28" s="42" t="str">
        <f t="shared" si="2"/>
        <v>Active</v>
      </c>
      <c r="P28" s="162"/>
      <c r="Q28" s="166"/>
      <c r="R28" s="2"/>
      <c r="S28" s="165" t="str">
        <f t="shared" si="3"/>
        <v>None</v>
      </c>
      <c r="T28" s="162"/>
      <c r="U28" s="42" t="str">
        <f t="shared" si="4"/>
        <v>Active</v>
      </c>
      <c r="V28" s="162"/>
      <c r="W28" s="166"/>
      <c r="X28" s="2"/>
      <c r="Y28" s="165" t="str">
        <f t="shared" si="5"/>
        <v>None</v>
      </c>
      <c r="Z28" s="162"/>
      <c r="AA28" s="42" t="str">
        <f t="shared" si="6"/>
        <v>Active</v>
      </c>
      <c r="AB28" s="162"/>
      <c r="AC28" s="166"/>
      <c r="AD28" s="2"/>
      <c r="AE28" s="165" t="str">
        <f t="shared" si="7"/>
        <v>None</v>
      </c>
      <c r="AF28" s="162"/>
      <c r="AG28" s="42" t="str">
        <f t="shared" si="8"/>
        <v>Active</v>
      </c>
      <c r="AH28" s="162"/>
      <c r="AI28" s="166"/>
    </row>
    <row r="29" spans="1:35">
      <c r="A29" s="2" t="str">
        <f t="shared" si="0"/>
        <v>CARMA3-FMCSA</v>
      </c>
      <c r="B29" s="2"/>
      <c r="C29" s="2"/>
      <c r="D29" s="134" t="str">
        <f>Inputs!C19</f>
        <v>Planning/Discovery</v>
      </c>
      <c r="E29" s="2"/>
      <c r="F29" s="2"/>
      <c r="G29" s="165" t="s">
        <v>192</v>
      </c>
      <c r="H29" s="162"/>
      <c r="I29" s="42" t="s">
        <v>67</v>
      </c>
      <c r="J29" s="162"/>
      <c r="K29" s="166"/>
      <c r="L29" s="2"/>
      <c r="M29" s="165" t="s">
        <v>192</v>
      </c>
      <c r="N29" s="162"/>
      <c r="O29" s="42" t="s">
        <v>67</v>
      </c>
      <c r="P29" s="162"/>
      <c r="Q29" s="166"/>
      <c r="R29" s="2"/>
      <c r="S29" s="165" t="str">
        <f t="shared" si="3"/>
        <v>None</v>
      </c>
      <c r="T29" s="162"/>
      <c r="U29" s="42" t="str">
        <f t="shared" si="4"/>
        <v>Prospective</v>
      </c>
      <c r="V29" s="162"/>
      <c r="W29" s="166"/>
      <c r="X29" s="2"/>
      <c r="Y29" s="165" t="str">
        <f t="shared" si="5"/>
        <v>None</v>
      </c>
      <c r="Z29" s="162"/>
      <c r="AA29" s="42" t="str">
        <f t="shared" si="6"/>
        <v>Prospective</v>
      </c>
      <c r="AB29" s="162"/>
      <c r="AC29" s="166"/>
      <c r="AD29" s="2"/>
      <c r="AE29" s="165" t="str">
        <f t="shared" si="7"/>
        <v>None</v>
      </c>
      <c r="AF29" s="162"/>
      <c r="AG29" s="42" t="str">
        <f t="shared" si="8"/>
        <v>Prospective</v>
      </c>
      <c r="AH29" s="162"/>
      <c r="AI29" s="166"/>
    </row>
    <row r="30" spans="1:35">
      <c r="A30" s="2" t="str">
        <f t="shared" si="0"/>
        <v>CARMA-FHWA</v>
      </c>
      <c r="B30" s="2"/>
      <c r="C30" s="2"/>
      <c r="D30" s="134" t="str">
        <f>Inputs!C20</f>
        <v>Planning/Discovery</v>
      </c>
      <c r="E30" s="2"/>
      <c r="F30" s="2"/>
      <c r="G30" s="165" t="s">
        <v>192</v>
      </c>
      <c r="H30" s="162"/>
      <c r="I30" s="42" t="s">
        <v>67</v>
      </c>
      <c r="J30" s="162"/>
      <c r="K30" s="166"/>
      <c r="L30" s="2"/>
      <c r="M30" s="165" t="str">
        <f t="shared" si="1"/>
        <v>None</v>
      </c>
      <c r="N30" s="162"/>
      <c r="O30" s="42" t="str">
        <f t="shared" si="2"/>
        <v>Prospective</v>
      </c>
      <c r="P30" s="162"/>
      <c r="Q30" s="166"/>
      <c r="R30" s="2"/>
      <c r="S30" s="165" t="str">
        <f t="shared" si="3"/>
        <v>None</v>
      </c>
      <c r="T30" s="162"/>
      <c r="U30" s="42" t="str">
        <f t="shared" si="4"/>
        <v>Prospective</v>
      </c>
      <c r="V30" s="162"/>
      <c r="W30" s="166"/>
      <c r="X30" s="2"/>
      <c r="Y30" s="165" t="str">
        <f t="shared" si="5"/>
        <v>None</v>
      </c>
      <c r="Z30" s="162"/>
      <c r="AA30" s="42" t="str">
        <f t="shared" si="6"/>
        <v>Prospective</v>
      </c>
      <c r="AB30" s="162"/>
      <c r="AC30" s="166"/>
      <c r="AD30" s="2"/>
      <c r="AE30" s="165" t="str">
        <f t="shared" si="7"/>
        <v>None</v>
      </c>
      <c r="AF30" s="162"/>
      <c r="AG30" s="42" t="str">
        <f t="shared" si="8"/>
        <v>Prospective</v>
      </c>
      <c r="AH30" s="162"/>
      <c r="AI30" s="166"/>
    </row>
    <row r="31" spans="1:35">
      <c r="A31" s="2" t="str">
        <f t="shared" si="0"/>
        <v>FMI-ATRI</v>
      </c>
      <c r="B31" s="2"/>
      <c r="C31" s="2"/>
      <c r="D31" s="134" t="str">
        <f>Inputs!C21</f>
        <v>Active</v>
      </c>
      <c r="E31" s="2"/>
      <c r="F31" s="2"/>
      <c r="G31" s="165" t="s">
        <v>192</v>
      </c>
      <c r="H31" s="162"/>
      <c r="I31" s="42" t="str">
        <f t="shared" si="9"/>
        <v>Active</v>
      </c>
      <c r="J31" s="162"/>
      <c r="K31" s="166"/>
      <c r="L31" s="2"/>
      <c r="M31" s="165" t="str">
        <f t="shared" si="1"/>
        <v>None</v>
      </c>
      <c r="N31" s="162"/>
      <c r="O31" s="42" t="str">
        <f t="shared" si="2"/>
        <v>Active</v>
      </c>
      <c r="P31" s="162"/>
      <c r="Q31" s="166"/>
      <c r="R31" s="2"/>
      <c r="S31" s="165" t="str">
        <f t="shared" si="3"/>
        <v>None</v>
      </c>
      <c r="T31" s="162"/>
      <c r="U31" s="42" t="str">
        <f t="shared" si="4"/>
        <v>Active</v>
      </c>
      <c r="V31" s="162"/>
      <c r="W31" s="166"/>
      <c r="X31" s="2"/>
      <c r="Y31" s="165" t="str">
        <f t="shared" si="5"/>
        <v>None</v>
      </c>
      <c r="Z31" s="162"/>
      <c r="AA31" s="42" t="str">
        <f t="shared" si="6"/>
        <v>Active</v>
      </c>
      <c r="AB31" s="162"/>
      <c r="AC31" s="166"/>
      <c r="AD31" s="2"/>
      <c r="AE31" s="165" t="str">
        <f t="shared" si="7"/>
        <v>None</v>
      </c>
      <c r="AF31" s="162"/>
      <c r="AG31" s="42" t="str">
        <f t="shared" si="8"/>
        <v>Active</v>
      </c>
      <c r="AH31" s="162"/>
      <c r="AI31" s="166"/>
    </row>
    <row r="32" spans="1:35">
      <c r="A32" s="2" t="str">
        <f t="shared" si="0"/>
        <v>FMI-BTS</v>
      </c>
      <c r="B32" s="2"/>
      <c r="C32" s="2"/>
      <c r="D32" s="134" t="str">
        <f>Inputs!C22</f>
        <v>Active</v>
      </c>
      <c r="E32" s="2"/>
      <c r="F32" s="2"/>
      <c r="G32" s="165" t="s">
        <v>192</v>
      </c>
      <c r="H32" s="162"/>
      <c r="I32" s="42" t="str">
        <f t="shared" si="9"/>
        <v>Active</v>
      </c>
      <c r="J32" s="162"/>
      <c r="K32" s="166"/>
      <c r="L32" s="2"/>
      <c r="M32" s="165" t="str">
        <f t="shared" si="1"/>
        <v>None</v>
      </c>
      <c r="N32" s="162"/>
      <c r="O32" s="42" t="str">
        <f t="shared" si="2"/>
        <v>Active</v>
      </c>
      <c r="P32" s="162"/>
      <c r="Q32" s="166"/>
      <c r="R32" s="2"/>
      <c r="S32" s="165" t="str">
        <f t="shared" si="3"/>
        <v>None</v>
      </c>
      <c r="T32" s="162"/>
      <c r="U32" s="42" t="str">
        <f t="shared" si="4"/>
        <v>Active</v>
      </c>
      <c r="V32" s="162"/>
      <c r="W32" s="166"/>
      <c r="X32" s="2"/>
      <c r="Y32" s="165" t="str">
        <f t="shared" si="5"/>
        <v>None</v>
      </c>
      <c r="Z32" s="162"/>
      <c r="AA32" s="42" t="str">
        <f t="shared" si="6"/>
        <v>Active</v>
      </c>
      <c r="AB32" s="162"/>
      <c r="AC32" s="166"/>
      <c r="AD32" s="2"/>
      <c r="AE32" s="165" t="str">
        <f t="shared" si="7"/>
        <v>None</v>
      </c>
      <c r="AF32" s="162"/>
      <c r="AG32" s="42" t="str">
        <f t="shared" si="8"/>
        <v>Active</v>
      </c>
      <c r="AH32" s="162"/>
      <c r="AI32" s="166"/>
    </row>
    <row r="33" spans="1:35">
      <c r="A33" s="2" t="str">
        <f t="shared" si="0"/>
        <v>FTA-DA</v>
      </c>
      <c r="B33" s="2"/>
      <c r="C33" s="2"/>
      <c r="D33" s="134" t="str">
        <f>Inputs!C23</f>
        <v>Active</v>
      </c>
      <c r="E33" s="2"/>
      <c r="F33" s="2"/>
      <c r="G33" s="165" t="s">
        <v>192</v>
      </c>
      <c r="H33" s="162"/>
      <c r="I33" s="42" t="s">
        <v>8</v>
      </c>
      <c r="J33" s="162"/>
      <c r="K33" s="166"/>
      <c r="L33" s="2"/>
      <c r="M33" s="165" t="str">
        <f t="shared" si="1"/>
        <v>None</v>
      </c>
      <c r="N33" s="162"/>
      <c r="O33" s="42" t="str">
        <f t="shared" si="2"/>
        <v>Active</v>
      </c>
      <c r="P33" s="162"/>
      <c r="Q33" s="166"/>
      <c r="R33" s="2"/>
      <c r="S33" s="165" t="str">
        <f t="shared" si="3"/>
        <v>None</v>
      </c>
      <c r="T33" s="162"/>
      <c r="U33" s="42" t="str">
        <f t="shared" si="4"/>
        <v>Active</v>
      </c>
      <c r="V33" s="162"/>
      <c r="W33" s="166"/>
      <c r="X33" s="2"/>
      <c r="Y33" s="165" t="str">
        <f t="shared" si="5"/>
        <v>None</v>
      </c>
      <c r="Z33" s="162"/>
      <c r="AA33" s="42" t="str">
        <f t="shared" si="6"/>
        <v>Active</v>
      </c>
      <c r="AB33" s="162"/>
      <c r="AC33" s="166"/>
      <c r="AD33" s="2"/>
      <c r="AE33" s="165" t="str">
        <f t="shared" si="7"/>
        <v>None</v>
      </c>
      <c r="AF33" s="162"/>
      <c r="AG33" s="42" t="str">
        <f t="shared" si="8"/>
        <v>Active</v>
      </c>
      <c r="AH33" s="162"/>
      <c r="AI33" s="166"/>
    </row>
    <row r="34" spans="1:35">
      <c r="A34" s="2" t="str">
        <f t="shared" si="0"/>
        <v>MOD 2.0</v>
      </c>
      <c r="B34" s="2"/>
      <c r="C34" s="2"/>
      <c r="D34" s="134" t="str">
        <f>Inputs!C24</f>
        <v>Prospective</v>
      </c>
      <c r="E34" s="2"/>
      <c r="F34" s="2"/>
      <c r="G34" s="165" t="s">
        <v>192</v>
      </c>
      <c r="H34" s="162"/>
      <c r="I34" s="42" t="s">
        <v>67</v>
      </c>
      <c r="J34" s="162"/>
      <c r="K34" s="166"/>
      <c r="L34" s="2"/>
      <c r="M34" s="165" t="str">
        <f t="shared" si="1"/>
        <v>None</v>
      </c>
      <c r="N34" s="162"/>
      <c r="O34" s="42" t="str">
        <f t="shared" si="2"/>
        <v>Prospective</v>
      </c>
      <c r="P34" s="162"/>
      <c r="Q34" s="166"/>
      <c r="R34" s="2"/>
      <c r="S34" s="165" t="str">
        <f t="shared" si="3"/>
        <v>None</v>
      </c>
      <c r="T34" s="162"/>
      <c r="U34" s="42" t="str">
        <f t="shared" si="4"/>
        <v>Prospective</v>
      </c>
      <c r="V34" s="162"/>
      <c r="W34" s="166"/>
      <c r="X34" s="2"/>
      <c r="Y34" s="165" t="str">
        <f t="shared" si="5"/>
        <v>None</v>
      </c>
      <c r="Z34" s="162"/>
      <c r="AA34" s="42" t="str">
        <f t="shared" si="6"/>
        <v>Prospective</v>
      </c>
      <c r="AB34" s="162"/>
      <c r="AC34" s="166"/>
      <c r="AD34" s="2"/>
      <c r="AE34" s="165" t="str">
        <f t="shared" si="7"/>
        <v>None</v>
      </c>
      <c r="AF34" s="162"/>
      <c r="AG34" s="42" t="str">
        <f t="shared" si="8"/>
        <v>Prospective</v>
      </c>
      <c r="AH34" s="162"/>
      <c r="AI34" s="166"/>
    </row>
    <row r="35" spans="1:35">
      <c r="A35" s="2" t="str">
        <f t="shared" si="0"/>
        <v xml:space="preserve">MPI </v>
      </c>
      <c r="B35" s="2"/>
      <c r="C35" s="2"/>
      <c r="D35" s="134" t="str">
        <f>Inputs!C25</f>
        <v>Prospective</v>
      </c>
      <c r="E35" s="2"/>
      <c r="F35" s="2"/>
      <c r="G35" s="165" t="s">
        <v>192</v>
      </c>
      <c r="H35" s="162"/>
      <c r="I35" s="42" t="s">
        <v>67</v>
      </c>
      <c r="J35" s="162"/>
      <c r="K35" s="166"/>
      <c r="L35" s="2"/>
      <c r="M35" s="165" t="str">
        <f t="shared" si="1"/>
        <v>None</v>
      </c>
      <c r="N35" s="162"/>
      <c r="O35" s="42" t="str">
        <f t="shared" si="2"/>
        <v>Prospective</v>
      </c>
      <c r="P35" s="162"/>
      <c r="Q35" s="166"/>
      <c r="R35" s="2"/>
      <c r="S35" s="165" t="str">
        <f t="shared" si="3"/>
        <v>None</v>
      </c>
      <c r="T35" s="162"/>
      <c r="U35" s="42" t="str">
        <f t="shared" si="4"/>
        <v>Prospective</v>
      </c>
      <c r="V35" s="162"/>
      <c r="W35" s="166"/>
      <c r="X35" s="2"/>
      <c r="Y35" s="165" t="str">
        <f t="shared" si="5"/>
        <v>None</v>
      </c>
      <c r="Z35" s="162"/>
      <c r="AA35" s="42" t="str">
        <f t="shared" si="6"/>
        <v>Prospective</v>
      </c>
      <c r="AB35" s="162"/>
      <c r="AC35" s="166"/>
      <c r="AD35" s="2"/>
      <c r="AE35" s="165" t="str">
        <f t="shared" si="7"/>
        <v>None</v>
      </c>
      <c r="AF35" s="162"/>
      <c r="AG35" s="42" t="str">
        <f t="shared" si="8"/>
        <v>Prospective</v>
      </c>
      <c r="AH35" s="162"/>
      <c r="AI35" s="166"/>
    </row>
    <row r="36" spans="1:35">
      <c r="A36" s="2" t="str">
        <f t="shared" si="0"/>
        <v>WAZE-WAZE</v>
      </c>
      <c r="B36" s="2"/>
      <c r="C36" s="2"/>
      <c r="D36" s="134" t="str">
        <f>Inputs!C26</f>
        <v>Active</v>
      </c>
      <c r="E36" s="2"/>
      <c r="F36" s="2"/>
      <c r="G36" s="165" t="s">
        <v>192</v>
      </c>
      <c r="H36" s="162"/>
      <c r="I36" s="42" t="str">
        <f t="shared" si="9"/>
        <v>Active</v>
      </c>
      <c r="J36" s="162"/>
      <c r="K36" s="166"/>
      <c r="L36" s="2"/>
      <c r="M36" s="165" t="str">
        <f t="shared" si="1"/>
        <v>None</v>
      </c>
      <c r="N36" s="162"/>
      <c r="O36" s="42" t="str">
        <f t="shared" si="2"/>
        <v>Active</v>
      </c>
      <c r="P36" s="162"/>
      <c r="Q36" s="166"/>
      <c r="R36" s="2"/>
      <c r="S36" s="165" t="str">
        <f t="shared" si="3"/>
        <v>None</v>
      </c>
      <c r="T36" s="162"/>
      <c r="U36" s="42" t="str">
        <f t="shared" si="4"/>
        <v>Active</v>
      </c>
      <c r="V36" s="162"/>
      <c r="W36" s="166"/>
      <c r="X36" s="2"/>
      <c r="Y36" s="165" t="str">
        <f t="shared" si="5"/>
        <v>None</v>
      </c>
      <c r="Z36" s="162"/>
      <c r="AA36" s="42" t="str">
        <f t="shared" si="6"/>
        <v>Active</v>
      </c>
      <c r="AB36" s="162"/>
      <c r="AC36" s="166"/>
      <c r="AD36" s="2"/>
      <c r="AE36" s="165" t="str">
        <f t="shared" si="7"/>
        <v>None</v>
      </c>
      <c r="AF36" s="162"/>
      <c r="AG36" s="42" t="str">
        <f t="shared" si="8"/>
        <v>Active</v>
      </c>
      <c r="AH36" s="162"/>
      <c r="AI36" s="166"/>
    </row>
    <row r="37" spans="1:35">
      <c r="A37" s="2" t="str">
        <f t="shared" si="0"/>
        <v>WAZE-SDI</v>
      </c>
      <c r="B37" s="2"/>
      <c r="C37" s="2"/>
      <c r="D37" s="134" t="str">
        <f>Inputs!C27</f>
        <v>Active</v>
      </c>
      <c r="E37" s="2"/>
      <c r="F37" s="2"/>
      <c r="G37" s="165" t="s">
        <v>192</v>
      </c>
      <c r="H37" s="162"/>
      <c r="I37" s="42" t="str">
        <f t="shared" si="9"/>
        <v>Active</v>
      </c>
      <c r="J37" s="162"/>
      <c r="K37" s="166"/>
      <c r="L37" s="2"/>
      <c r="M37" s="165" t="str">
        <f t="shared" si="1"/>
        <v>None</v>
      </c>
      <c r="N37" s="162"/>
      <c r="O37" s="42" t="str">
        <f t="shared" si="2"/>
        <v>Active</v>
      </c>
      <c r="P37" s="162"/>
      <c r="Q37" s="166"/>
      <c r="R37" s="2"/>
      <c r="S37" s="165" t="str">
        <f t="shared" si="3"/>
        <v>None</v>
      </c>
      <c r="T37" s="162"/>
      <c r="U37" s="42" t="str">
        <f t="shared" si="4"/>
        <v>Active</v>
      </c>
      <c r="V37" s="162"/>
      <c r="W37" s="166"/>
      <c r="X37" s="2"/>
      <c r="Y37" s="165" t="str">
        <f t="shared" si="5"/>
        <v>None</v>
      </c>
      <c r="Z37" s="162"/>
      <c r="AA37" s="42" t="str">
        <f t="shared" si="6"/>
        <v>Active</v>
      </c>
      <c r="AB37" s="162"/>
      <c r="AC37" s="166"/>
      <c r="AD37" s="2"/>
      <c r="AE37" s="165" t="str">
        <f t="shared" si="7"/>
        <v>None</v>
      </c>
      <c r="AF37" s="162"/>
      <c r="AG37" s="42" t="str">
        <f t="shared" si="8"/>
        <v>Active</v>
      </c>
      <c r="AH37" s="162"/>
      <c r="AI37" s="166"/>
    </row>
    <row r="38" spans="1:35">
      <c r="A38" s="2" t="str">
        <f t="shared" si="0"/>
        <v>Smart Columbus Evaluation</v>
      </c>
      <c r="B38" s="2"/>
      <c r="C38" s="2"/>
      <c r="D38" s="134" t="str">
        <f>Inputs!C28</f>
        <v>Planning/Discovery</v>
      </c>
      <c r="E38" s="2"/>
      <c r="F38" s="2"/>
      <c r="G38" s="165" t="s">
        <v>192</v>
      </c>
      <c r="H38" s="162"/>
      <c r="I38" s="42" t="s">
        <v>67</v>
      </c>
      <c r="J38" s="162"/>
      <c r="K38" s="166"/>
      <c r="L38" s="2"/>
      <c r="M38" s="165" t="str">
        <f t="shared" si="1"/>
        <v>None</v>
      </c>
      <c r="N38" s="162"/>
      <c r="O38" s="42" t="str">
        <f t="shared" si="2"/>
        <v>Prospective</v>
      </c>
      <c r="P38" s="162"/>
      <c r="Q38" s="166"/>
      <c r="R38" s="2"/>
      <c r="S38" s="165" t="str">
        <f t="shared" si="3"/>
        <v>None</v>
      </c>
      <c r="T38" s="162"/>
      <c r="U38" s="42" t="str">
        <f t="shared" si="4"/>
        <v>Prospective</v>
      </c>
      <c r="V38" s="162"/>
      <c r="W38" s="166"/>
      <c r="X38" s="2"/>
      <c r="Y38" s="165" t="str">
        <f t="shared" si="5"/>
        <v>None</v>
      </c>
      <c r="Z38" s="162"/>
      <c r="AA38" s="42" t="str">
        <f t="shared" si="6"/>
        <v>Prospective</v>
      </c>
      <c r="AB38" s="162"/>
      <c r="AC38" s="166"/>
      <c r="AD38" s="2"/>
      <c r="AE38" s="165" t="str">
        <f t="shared" si="7"/>
        <v>None</v>
      </c>
      <c r="AF38" s="162"/>
      <c r="AG38" s="42" t="str">
        <f t="shared" si="8"/>
        <v>Prospective</v>
      </c>
      <c r="AH38" s="162"/>
      <c r="AI38" s="166"/>
    </row>
    <row r="39" spans="1:35" s="501" customFormat="1">
      <c r="A39" s="162" t="str">
        <f t="shared" si="0"/>
        <v>STAR</v>
      </c>
      <c r="B39" s="162"/>
      <c r="C39" s="162"/>
      <c r="D39" s="164" t="str">
        <f>Inputs!C29</f>
        <v>Prospective</v>
      </c>
      <c r="E39" s="162"/>
      <c r="F39" s="162"/>
      <c r="G39" s="165" t="s">
        <v>192</v>
      </c>
      <c r="H39" s="162"/>
      <c r="I39" s="42" t="s">
        <v>67</v>
      </c>
      <c r="J39" s="162"/>
      <c r="K39" s="166"/>
      <c r="L39" s="162"/>
      <c r="M39" s="165" t="str">
        <f t="shared" si="1"/>
        <v>None</v>
      </c>
      <c r="N39" s="162"/>
      <c r="O39" s="42" t="str">
        <f t="shared" si="2"/>
        <v>Prospective</v>
      </c>
      <c r="P39" s="162"/>
      <c r="Q39" s="166"/>
      <c r="R39" s="162"/>
      <c r="S39" s="599" t="str">
        <f t="shared" si="3"/>
        <v>None</v>
      </c>
      <c r="T39" s="162"/>
      <c r="U39" s="42" t="str">
        <f t="shared" si="4"/>
        <v>Prospective</v>
      </c>
      <c r="V39" s="162"/>
      <c r="W39" s="599"/>
      <c r="X39" s="162"/>
      <c r="Y39" s="165" t="str">
        <f t="shared" si="5"/>
        <v>None</v>
      </c>
      <c r="Z39" s="162"/>
      <c r="AA39" s="42" t="str">
        <f t="shared" si="6"/>
        <v>Prospective</v>
      </c>
      <c r="AB39" s="162"/>
      <c r="AC39" s="166"/>
      <c r="AD39" s="162"/>
      <c r="AE39" s="165" t="str">
        <f t="shared" si="7"/>
        <v>None</v>
      </c>
      <c r="AF39" s="162"/>
      <c r="AG39" s="42" t="str">
        <f t="shared" si="8"/>
        <v>Prospective</v>
      </c>
      <c r="AH39" s="162"/>
      <c r="AI39" s="166"/>
    </row>
    <row r="40" spans="1:35" s="508" customFormat="1" ht="14.65" thickBot="1">
      <c r="A40" s="168" t="str">
        <f t="shared" si="0"/>
        <v>T-PLAT</v>
      </c>
      <c r="B40" s="168"/>
      <c r="C40" s="168"/>
      <c r="D40" s="502" t="str">
        <f>Inputs!C30</f>
        <v>Prospective</v>
      </c>
      <c r="E40" s="168"/>
      <c r="F40" s="168"/>
      <c r="G40" s="503" t="s">
        <v>192</v>
      </c>
      <c r="H40" s="168"/>
      <c r="I40" s="504" t="s">
        <v>67</v>
      </c>
      <c r="J40" s="168"/>
      <c r="K40" s="505"/>
      <c r="L40" s="168"/>
      <c r="M40" s="503" t="str">
        <f t="shared" si="1"/>
        <v>None</v>
      </c>
      <c r="N40" s="168"/>
      <c r="O40" s="504" t="s">
        <v>67</v>
      </c>
      <c r="P40" s="168"/>
      <c r="Q40" s="505"/>
      <c r="R40" s="168"/>
      <c r="S40" s="503" t="str">
        <f t="shared" si="3"/>
        <v>None</v>
      </c>
      <c r="T40" s="168"/>
      <c r="U40" s="504" t="str">
        <f t="shared" si="4"/>
        <v>Prospective</v>
      </c>
      <c r="V40" s="168"/>
      <c r="W40" s="505"/>
      <c r="X40" s="168"/>
      <c r="Y40" s="503" t="str">
        <f t="shared" si="5"/>
        <v>None</v>
      </c>
      <c r="Z40" s="168"/>
      <c r="AA40" s="504" t="str">
        <f t="shared" si="6"/>
        <v>Prospective</v>
      </c>
      <c r="AB40" s="168"/>
      <c r="AC40" s="505"/>
      <c r="AD40" s="168"/>
      <c r="AE40" s="503" t="str">
        <f t="shared" si="7"/>
        <v>None</v>
      </c>
      <c r="AF40" s="168"/>
      <c r="AG40" s="504" t="str">
        <f t="shared" si="8"/>
        <v>Prospective</v>
      </c>
      <c r="AH40" s="168"/>
      <c r="AI40" s="505"/>
    </row>
    <row r="41" spans="1:35" ht="14.65" thickBot="1">
      <c r="A41" s="561"/>
      <c r="B41" s="561"/>
      <c r="C41" s="561"/>
      <c r="D41" s="561"/>
      <c r="E41" s="561"/>
      <c r="F41" s="561"/>
      <c r="G41" s="561"/>
      <c r="H41" s="561"/>
      <c r="I41" s="561"/>
      <c r="J41" s="561"/>
      <c r="K41" s="561"/>
      <c r="L41" s="561"/>
      <c r="M41" s="561"/>
      <c r="N41" s="561"/>
      <c r="O41" s="562"/>
      <c r="P41" s="562"/>
      <c r="Q41" s="562"/>
      <c r="R41" s="562"/>
      <c r="S41" s="562"/>
      <c r="T41" s="562"/>
      <c r="U41" s="562"/>
      <c r="V41" s="562"/>
      <c r="W41" s="562"/>
      <c r="X41" s="562"/>
      <c r="Y41" s="562"/>
      <c r="Z41" s="562"/>
      <c r="AA41" s="562"/>
      <c r="AB41" s="562"/>
      <c r="AC41" s="562"/>
      <c r="AD41" s="562"/>
      <c r="AE41" s="562"/>
      <c r="AF41" s="562"/>
      <c r="AG41" s="562"/>
      <c r="AH41" s="562"/>
      <c r="AI41" s="562"/>
    </row>
    <row r="42" spans="1:35" s="267" customFormat="1" ht="28.5">
      <c r="A42" s="509"/>
      <c r="B42" s="510"/>
      <c r="C42" s="510"/>
      <c r="D42" s="510" t="s">
        <v>2</v>
      </c>
      <c r="E42" s="510"/>
      <c r="F42" s="511" t="s">
        <v>627</v>
      </c>
      <c r="G42" s="509" t="s">
        <v>26</v>
      </c>
      <c r="H42" s="510"/>
      <c r="I42" s="510" t="s">
        <v>626</v>
      </c>
      <c r="J42" s="510"/>
      <c r="K42" s="512" t="s">
        <v>310</v>
      </c>
      <c r="L42" s="510"/>
      <c r="M42" s="509" t="s">
        <v>304</v>
      </c>
      <c r="N42" s="510"/>
      <c r="O42" s="510" t="s">
        <v>305</v>
      </c>
      <c r="P42" s="510"/>
      <c r="Q42" s="512" t="s">
        <v>310</v>
      </c>
      <c r="R42" s="513"/>
      <c r="S42" s="509" t="s">
        <v>304</v>
      </c>
      <c r="T42" s="510"/>
      <c r="U42" s="510" t="s">
        <v>305</v>
      </c>
      <c r="V42" s="510"/>
      <c r="W42" s="512" t="s">
        <v>310</v>
      </c>
      <c r="X42" s="513"/>
      <c r="Y42" s="509" t="s">
        <v>304</v>
      </c>
      <c r="Z42" s="510"/>
      <c r="AA42" s="510" t="s">
        <v>305</v>
      </c>
      <c r="AB42" s="510"/>
      <c r="AC42" s="512" t="s">
        <v>310</v>
      </c>
      <c r="AD42" s="513"/>
      <c r="AE42" s="509" t="s">
        <v>304</v>
      </c>
      <c r="AF42" s="510"/>
      <c r="AG42" s="510" t="s">
        <v>305</v>
      </c>
      <c r="AH42" s="510"/>
      <c r="AI42" s="512" t="s">
        <v>310</v>
      </c>
    </row>
    <row r="43" spans="1:35">
      <c r="A43" s="161"/>
      <c r="B43" s="162"/>
      <c r="C43" s="162"/>
      <c r="D43" s="514" t="str">
        <f>Inputs!A31</f>
        <v>New Project 1</v>
      </c>
      <c r="E43" s="162"/>
      <c r="F43" s="42" t="s">
        <v>33</v>
      </c>
      <c r="G43" s="165" t="s">
        <v>192</v>
      </c>
      <c r="H43" s="162"/>
      <c r="I43" s="42" t="s">
        <v>67</v>
      </c>
      <c r="J43" s="162"/>
      <c r="K43" s="166"/>
      <c r="L43" s="162"/>
      <c r="M43" s="165" t="s">
        <v>192</v>
      </c>
      <c r="N43" s="162"/>
      <c r="O43" s="42" t="s">
        <v>67</v>
      </c>
      <c r="P43" s="162"/>
      <c r="Q43" s="166"/>
      <c r="R43" s="162"/>
      <c r="S43" s="165" t="s">
        <v>192</v>
      </c>
      <c r="T43" s="162"/>
      <c r="U43" s="42" t="s">
        <v>67</v>
      </c>
      <c r="V43" s="162"/>
      <c r="W43" s="166"/>
      <c r="X43" s="162"/>
      <c r="Y43" s="165" t="s">
        <v>192</v>
      </c>
      <c r="Z43" s="162"/>
      <c r="AA43" s="42" t="s">
        <v>67</v>
      </c>
      <c r="AB43" s="162"/>
      <c r="AC43" s="166"/>
      <c r="AD43" s="162"/>
      <c r="AE43" s="165" t="s">
        <v>192</v>
      </c>
      <c r="AF43" s="162"/>
      <c r="AG43" s="42" t="s">
        <v>67</v>
      </c>
      <c r="AH43" s="162"/>
      <c r="AI43" s="166"/>
    </row>
    <row r="44" spans="1:35">
      <c r="A44" s="161"/>
      <c r="B44" s="162"/>
      <c r="C44" s="162"/>
      <c r="D44" s="514" t="str">
        <f>Inputs!A32</f>
        <v>New Project 2</v>
      </c>
      <c r="E44" s="162"/>
      <c r="F44" s="42" t="s">
        <v>33</v>
      </c>
      <c r="G44" s="165" t="s">
        <v>192</v>
      </c>
      <c r="H44" s="162"/>
      <c r="I44" s="42" t="s">
        <v>67</v>
      </c>
      <c r="J44" s="162"/>
      <c r="K44" s="166"/>
      <c r="L44" s="162"/>
      <c r="M44" s="165" t="s">
        <v>192</v>
      </c>
      <c r="N44" s="162"/>
      <c r="O44" s="42" t="s">
        <v>67</v>
      </c>
      <c r="P44" s="162"/>
      <c r="Q44" s="166"/>
      <c r="R44" s="162"/>
      <c r="S44" s="165" t="s">
        <v>192</v>
      </c>
      <c r="T44" s="162"/>
      <c r="U44" s="42" t="str">
        <f t="shared" si="4"/>
        <v>Prospective</v>
      </c>
      <c r="V44" s="162"/>
      <c r="W44" s="166"/>
      <c r="X44" s="162"/>
      <c r="Y44" s="165" t="s">
        <v>192</v>
      </c>
      <c r="Z44" s="162"/>
      <c r="AA44" s="42" t="str">
        <f t="shared" ref="AA44:AA57" si="10">U44</f>
        <v>Prospective</v>
      </c>
      <c r="AB44" s="162"/>
      <c r="AC44" s="166"/>
      <c r="AD44" s="162"/>
      <c r="AE44" s="165" t="str">
        <f t="shared" ref="AE44:AE57" si="11">Y44</f>
        <v>None</v>
      </c>
      <c r="AF44" s="162"/>
      <c r="AG44" s="42" t="s">
        <v>67</v>
      </c>
      <c r="AH44" s="162"/>
      <c r="AI44" s="166"/>
    </row>
    <row r="45" spans="1:35">
      <c r="A45" s="161"/>
      <c r="B45" s="162"/>
      <c r="C45" s="162"/>
      <c r="D45" s="514" t="str">
        <f>Inputs!A33</f>
        <v>New Project 3</v>
      </c>
      <c r="E45" s="162"/>
      <c r="F45" s="42" t="s">
        <v>33</v>
      </c>
      <c r="G45" s="165" t="s">
        <v>192</v>
      </c>
      <c r="H45" s="162"/>
      <c r="I45" s="42" t="s">
        <v>67</v>
      </c>
      <c r="J45" s="162"/>
      <c r="K45" s="166"/>
      <c r="L45" s="162"/>
      <c r="M45" s="165" t="str">
        <f t="shared" si="1"/>
        <v>None</v>
      </c>
      <c r="N45" s="162"/>
      <c r="O45" s="42" t="s">
        <v>67</v>
      </c>
      <c r="P45" s="162"/>
      <c r="Q45" s="166"/>
      <c r="R45" s="162"/>
      <c r="S45" s="165" t="str">
        <f t="shared" si="3"/>
        <v>None</v>
      </c>
      <c r="T45" s="162"/>
      <c r="U45" s="42" t="str">
        <f t="shared" si="4"/>
        <v>Prospective</v>
      </c>
      <c r="V45" s="162"/>
      <c r="W45" s="166"/>
      <c r="X45" s="162"/>
      <c r="Y45" s="165" t="s">
        <v>192</v>
      </c>
      <c r="Z45" s="162"/>
      <c r="AA45" s="42" t="str">
        <f t="shared" si="10"/>
        <v>Prospective</v>
      </c>
      <c r="AB45" s="162"/>
      <c r="AC45" s="166"/>
      <c r="AD45" s="162"/>
      <c r="AE45" s="165" t="str">
        <f t="shared" si="11"/>
        <v>None</v>
      </c>
      <c r="AF45" s="162"/>
      <c r="AG45" s="42" t="str">
        <f t="shared" ref="AG45:AG57" si="12">AA45</f>
        <v>Prospective</v>
      </c>
      <c r="AH45" s="162"/>
      <c r="AI45" s="166"/>
    </row>
    <row r="46" spans="1:35">
      <c r="A46" s="161"/>
      <c r="B46" s="162"/>
      <c r="C46" s="162"/>
      <c r="D46" s="514" t="str">
        <f>Inputs!A34</f>
        <v>New Project 4</v>
      </c>
      <c r="E46" s="162"/>
      <c r="F46" s="42" t="s">
        <v>33</v>
      </c>
      <c r="G46" s="165" t="s">
        <v>192</v>
      </c>
      <c r="H46" s="162"/>
      <c r="I46" s="42" t="s">
        <v>67</v>
      </c>
      <c r="J46" s="162"/>
      <c r="K46" s="166"/>
      <c r="L46" s="162"/>
      <c r="M46" s="165" t="s">
        <v>192</v>
      </c>
      <c r="N46" s="162"/>
      <c r="O46" s="42" t="s">
        <v>67</v>
      </c>
      <c r="P46" s="162"/>
      <c r="Q46" s="166"/>
      <c r="R46" s="162"/>
      <c r="S46" s="165" t="s">
        <v>192</v>
      </c>
      <c r="T46" s="162"/>
      <c r="U46" s="42" t="s">
        <v>67</v>
      </c>
      <c r="V46" s="162"/>
      <c r="W46" s="166"/>
      <c r="X46" s="162"/>
      <c r="Y46" s="165" t="s">
        <v>192</v>
      </c>
      <c r="Z46" s="162"/>
      <c r="AA46" s="42" t="s">
        <v>67</v>
      </c>
      <c r="AB46" s="162"/>
      <c r="AC46" s="166"/>
      <c r="AD46" s="162"/>
      <c r="AE46" s="165" t="str">
        <f t="shared" si="11"/>
        <v>None</v>
      </c>
      <c r="AF46" s="162"/>
      <c r="AG46" s="42" t="s">
        <v>67</v>
      </c>
      <c r="AH46" s="162"/>
      <c r="AI46" s="166"/>
    </row>
    <row r="47" spans="1:35">
      <c r="A47" s="161"/>
      <c r="B47" s="730" t="s">
        <v>597</v>
      </c>
      <c r="C47" s="162"/>
      <c r="D47" s="514" t="str">
        <f>Inputs!A35</f>
        <v>New Project 5</v>
      </c>
      <c r="E47" s="162"/>
      <c r="F47" s="42" t="s">
        <v>33</v>
      </c>
      <c r="G47" s="165" t="s">
        <v>192</v>
      </c>
      <c r="H47" s="162"/>
      <c r="I47" s="42" t="s">
        <v>67</v>
      </c>
      <c r="J47" s="162"/>
      <c r="K47" s="166"/>
      <c r="L47" s="162"/>
      <c r="M47" s="165" t="s">
        <v>192</v>
      </c>
      <c r="N47" s="162"/>
      <c r="O47" s="42" t="s">
        <v>67</v>
      </c>
      <c r="P47" s="162"/>
      <c r="Q47" s="166"/>
      <c r="R47" s="162"/>
      <c r="S47" s="165" t="s">
        <v>192</v>
      </c>
      <c r="T47" s="162"/>
      <c r="U47" s="42" t="s">
        <v>67</v>
      </c>
      <c r="V47" s="162"/>
      <c r="W47" s="166"/>
      <c r="X47" s="162"/>
      <c r="Y47" s="165" t="s">
        <v>192</v>
      </c>
      <c r="Z47" s="162"/>
      <c r="AA47" s="42" t="s">
        <v>67</v>
      </c>
      <c r="AB47" s="162"/>
      <c r="AC47" s="166"/>
      <c r="AD47" s="162"/>
      <c r="AE47" s="165" t="str">
        <f t="shared" si="11"/>
        <v>None</v>
      </c>
      <c r="AF47" s="162"/>
      <c r="AG47" s="42" t="s">
        <v>67</v>
      </c>
      <c r="AH47" s="162"/>
      <c r="AI47" s="166"/>
    </row>
    <row r="48" spans="1:35">
      <c r="A48" s="161"/>
      <c r="B48" s="730"/>
      <c r="C48" s="162"/>
      <c r="D48" s="515" t="str">
        <f>Inputs!A36</f>
        <v>New Project 6</v>
      </c>
      <c r="E48" s="162"/>
      <c r="F48" s="42" t="s">
        <v>33</v>
      </c>
      <c r="G48" s="165" t="s">
        <v>192</v>
      </c>
      <c r="H48" s="162"/>
      <c r="I48" s="42" t="s">
        <v>67</v>
      </c>
      <c r="J48" s="162"/>
      <c r="K48" s="166"/>
      <c r="L48" s="162"/>
      <c r="M48" s="165" t="s">
        <v>192</v>
      </c>
      <c r="N48" s="162"/>
      <c r="O48" s="42" t="s">
        <v>67</v>
      </c>
      <c r="P48" s="162"/>
      <c r="Q48" s="166"/>
      <c r="R48" s="162"/>
      <c r="S48" s="165" t="s">
        <v>192</v>
      </c>
      <c r="T48" s="162"/>
      <c r="U48" s="42" t="s">
        <v>67</v>
      </c>
      <c r="V48" s="162"/>
      <c r="W48" s="166"/>
      <c r="X48" s="162"/>
      <c r="Y48" s="165" t="str">
        <f t="shared" ref="Y48:Y57" si="13">S48</f>
        <v>None</v>
      </c>
      <c r="Z48" s="162"/>
      <c r="AA48" s="42" t="s">
        <v>67</v>
      </c>
      <c r="AB48" s="162"/>
      <c r="AC48" s="166"/>
      <c r="AD48" s="162"/>
      <c r="AE48" s="165" t="str">
        <f t="shared" si="11"/>
        <v>None</v>
      </c>
      <c r="AF48" s="162"/>
      <c r="AG48" s="42" t="s">
        <v>67</v>
      </c>
      <c r="AH48" s="162"/>
      <c r="AI48" s="166"/>
    </row>
    <row r="49" spans="1:35">
      <c r="A49" s="161"/>
      <c r="B49" s="730"/>
      <c r="C49" s="162"/>
      <c r="D49" s="515" t="str">
        <f>Inputs!A37</f>
        <v>New Project 7</v>
      </c>
      <c r="E49" s="162"/>
      <c r="F49" s="42" t="s">
        <v>33</v>
      </c>
      <c r="G49" s="165" t="s">
        <v>192</v>
      </c>
      <c r="H49" s="162"/>
      <c r="I49" s="42" t="s">
        <v>67</v>
      </c>
      <c r="J49" s="162"/>
      <c r="K49" s="166"/>
      <c r="L49" s="162"/>
      <c r="M49" s="165" t="str">
        <f t="shared" si="1"/>
        <v>None</v>
      </c>
      <c r="N49" s="162"/>
      <c r="O49" s="42" t="str">
        <f t="shared" si="2"/>
        <v>Prospective</v>
      </c>
      <c r="P49" s="162"/>
      <c r="Q49" s="166"/>
      <c r="R49" s="162"/>
      <c r="S49" s="165" t="s">
        <v>192</v>
      </c>
      <c r="T49" s="162"/>
      <c r="U49" s="42" t="s">
        <v>67</v>
      </c>
      <c r="V49" s="162"/>
      <c r="W49" s="166"/>
      <c r="X49" s="162"/>
      <c r="Y49" s="165" t="s">
        <v>192</v>
      </c>
      <c r="Z49" s="162"/>
      <c r="AA49" s="42" t="s">
        <v>67</v>
      </c>
      <c r="AB49" s="162"/>
      <c r="AC49" s="166"/>
      <c r="AD49" s="162"/>
      <c r="AE49" s="165" t="str">
        <f t="shared" si="11"/>
        <v>None</v>
      </c>
      <c r="AF49" s="162"/>
      <c r="AG49" s="42" t="s">
        <v>67</v>
      </c>
      <c r="AH49" s="162"/>
      <c r="AI49" s="166"/>
    </row>
    <row r="50" spans="1:35">
      <c r="A50" s="161"/>
      <c r="B50" s="730"/>
      <c r="C50" s="162"/>
      <c r="D50" s="515" t="str">
        <f>Inputs!A38</f>
        <v>New Project 8</v>
      </c>
      <c r="E50" s="162"/>
      <c r="F50" s="42" t="s">
        <v>33</v>
      </c>
      <c r="G50" s="165" t="s">
        <v>192</v>
      </c>
      <c r="H50" s="162"/>
      <c r="I50" s="42" t="s">
        <v>67</v>
      </c>
      <c r="J50" s="162"/>
      <c r="K50" s="166"/>
      <c r="L50" s="162"/>
      <c r="M50" s="165" t="str">
        <f t="shared" si="1"/>
        <v>None</v>
      </c>
      <c r="N50" s="162"/>
      <c r="O50" s="42" t="str">
        <f t="shared" si="2"/>
        <v>Prospective</v>
      </c>
      <c r="P50" s="162"/>
      <c r="Q50" s="166"/>
      <c r="R50" s="162"/>
      <c r="S50" s="165" t="s">
        <v>192</v>
      </c>
      <c r="T50" s="162"/>
      <c r="U50" s="42" t="s">
        <v>67</v>
      </c>
      <c r="V50" s="162"/>
      <c r="W50" s="166"/>
      <c r="X50" s="162"/>
      <c r="Y50" s="165" t="s">
        <v>192</v>
      </c>
      <c r="Z50" s="162"/>
      <c r="AA50" s="42" t="s">
        <v>67</v>
      </c>
      <c r="AB50" s="162"/>
      <c r="AC50" s="166"/>
      <c r="AD50" s="162"/>
      <c r="AE50" s="165" t="str">
        <f t="shared" si="11"/>
        <v>None</v>
      </c>
      <c r="AF50" s="162"/>
      <c r="AG50" s="42" t="s">
        <v>67</v>
      </c>
      <c r="AH50" s="162"/>
      <c r="AI50" s="166"/>
    </row>
    <row r="51" spans="1:35">
      <c r="A51" s="161"/>
      <c r="B51" s="730"/>
      <c r="C51" s="162"/>
      <c r="D51" s="515" t="str">
        <f>Inputs!A39</f>
        <v>New Project 9</v>
      </c>
      <c r="E51" s="162"/>
      <c r="F51" s="42" t="s">
        <v>33</v>
      </c>
      <c r="G51" s="165" t="s">
        <v>192</v>
      </c>
      <c r="H51" s="162"/>
      <c r="I51" s="42" t="s">
        <v>67</v>
      </c>
      <c r="J51" s="162"/>
      <c r="K51" s="166"/>
      <c r="L51" s="162"/>
      <c r="M51" s="165" t="str">
        <f t="shared" si="1"/>
        <v>None</v>
      </c>
      <c r="N51" s="162"/>
      <c r="O51" s="42" t="str">
        <f t="shared" si="2"/>
        <v>Prospective</v>
      </c>
      <c r="P51" s="162"/>
      <c r="Q51" s="166"/>
      <c r="R51" s="162"/>
      <c r="S51" s="165" t="str">
        <f t="shared" si="3"/>
        <v>None</v>
      </c>
      <c r="T51" s="162"/>
      <c r="U51" s="42" t="str">
        <f t="shared" si="4"/>
        <v>Prospective</v>
      </c>
      <c r="V51" s="162"/>
      <c r="W51" s="166"/>
      <c r="X51" s="162"/>
      <c r="Y51" s="165" t="str">
        <f t="shared" si="13"/>
        <v>None</v>
      </c>
      <c r="Z51" s="162"/>
      <c r="AA51" s="42" t="str">
        <f t="shared" si="10"/>
        <v>Prospective</v>
      </c>
      <c r="AB51" s="162"/>
      <c r="AC51" s="166"/>
      <c r="AD51" s="162"/>
      <c r="AE51" s="165" t="s">
        <v>192</v>
      </c>
      <c r="AF51" s="162"/>
      <c r="AG51" s="42" t="s">
        <v>67</v>
      </c>
      <c r="AH51" s="162"/>
      <c r="AI51" s="166"/>
    </row>
    <row r="52" spans="1:35">
      <c r="A52" s="161"/>
      <c r="B52" s="730"/>
      <c r="C52" s="162"/>
      <c r="D52" s="515" t="str">
        <f>Inputs!A40</f>
        <v>New Project 10</v>
      </c>
      <c r="E52" s="162"/>
      <c r="F52" s="42" t="s">
        <v>33</v>
      </c>
      <c r="G52" s="165" t="s">
        <v>192</v>
      </c>
      <c r="H52" s="162"/>
      <c r="I52" s="42" t="s">
        <v>67</v>
      </c>
      <c r="J52" s="162"/>
      <c r="K52" s="166"/>
      <c r="L52" s="162"/>
      <c r="M52" s="165" t="str">
        <f t="shared" si="1"/>
        <v>None</v>
      </c>
      <c r="N52" s="162"/>
      <c r="O52" s="42" t="str">
        <f t="shared" si="2"/>
        <v>Prospective</v>
      </c>
      <c r="P52" s="162"/>
      <c r="Q52" s="166"/>
      <c r="R52" s="162"/>
      <c r="S52" s="165" t="str">
        <f t="shared" si="3"/>
        <v>None</v>
      </c>
      <c r="T52" s="162"/>
      <c r="U52" s="42" t="str">
        <f t="shared" si="4"/>
        <v>Prospective</v>
      </c>
      <c r="V52" s="162"/>
      <c r="W52" s="166"/>
      <c r="X52" s="162"/>
      <c r="Y52" s="165" t="str">
        <f t="shared" si="13"/>
        <v>None</v>
      </c>
      <c r="Z52" s="162"/>
      <c r="AA52" s="42" t="str">
        <f t="shared" si="10"/>
        <v>Prospective</v>
      </c>
      <c r="AB52" s="162"/>
      <c r="AC52" s="166"/>
      <c r="AD52" s="162"/>
      <c r="AE52" s="165" t="str">
        <f t="shared" si="11"/>
        <v>None</v>
      </c>
      <c r="AF52" s="162"/>
      <c r="AG52" s="42" t="str">
        <f t="shared" si="12"/>
        <v>Prospective</v>
      </c>
      <c r="AH52" s="162"/>
      <c r="AI52" s="166"/>
    </row>
    <row r="53" spans="1:35">
      <c r="A53" s="161"/>
      <c r="B53" s="730"/>
      <c r="C53" s="162"/>
      <c r="D53" s="164" t="str">
        <f>Inputs!A41</f>
        <v>New Project 11</v>
      </c>
      <c r="E53" s="162"/>
      <c r="F53" s="42" t="s">
        <v>33</v>
      </c>
      <c r="G53" s="165" t="s">
        <v>192</v>
      </c>
      <c r="H53" s="162"/>
      <c r="I53" s="42" t="s">
        <v>67</v>
      </c>
      <c r="J53" s="162"/>
      <c r="K53" s="166"/>
      <c r="L53" s="162"/>
      <c r="M53" s="165" t="str">
        <f t="shared" si="1"/>
        <v>None</v>
      </c>
      <c r="N53" s="162"/>
      <c r="O53" s="42" t="str">
        <f t="shared" si="2"/>
        <v>Prospective</v>
      </c>
      <c r="P53" s="162"/>
      <c r="Q53" s="166"/>
      <c r="R53" s="162"/>
      <c r="S53" s="165" t="str">
        <f t="shared" si="3"/>
        <v>None</v>
      </c>
      <c r="T53" s="162"/>
      <c r="U53" s="42" t="str">
        <f t="shared" si="4"/>
        <v>Prospective</v>
      </c>
      <c r="V53" s="162"/>
      <c r="W53" s="166"/>
      <c r="X53" s="162"/>
      <c r="Y53" s="165" t="str">
        <f t="shared" si="13"/>
        <v>None</v>
      </c>
      <c r="Z53" s="162"/>
      <c r="AA53" s="42" t="str">
        <f t="shared" si="10"/>
        <v>Prospective</v>
      </c>
      <c r="AB53" s="162"/>
      <c r="AC53" s="166"/>
      <c r="AD53" s="162"/>
      <c r="AE53" s="165" t="str">
        <f t="shared" si="11"/>
        <v>None</v>
      </c>
      <c r="AF53" s="162"/>
      <c r="AG53" s="42" t="str">
        <f t="shared" si="12"/>
        <v>Prospective</v>
      </c>
      <c r="AH53" s="162"/>
      <c r="AI53" s="166"/>
    </row>
    <row r="54" spans="1:35">
      <c r="A54" s="161"/>
      <c r="B54" s="162"/>
      <c r="C54" s="162"/>
      <c r="D54" s="164" t="str">
        <f>Inputs!A42</f>
        <v>New Project 12</v>
      </c>
      <c r="E54" s="162"/>
      <c r="F54" s="42" t="s">
        <v>33</v>
      </c>
      <c r="G54" s="165" t="s">
        <v>192</v>
      </c>
      <c r="H54" s="162"/>
      <c r="I54" s="42" t="s">
        <v>67</v>
      </c>
      <c r="J54" s="162"/>
      <c r="K54" s="166"/>
      <c r="L54" s="162"/>
      <c r="M54" s="165" t="str">
        <f t="shared" si="1"/>
        <v>None</v>
      </c>
      <c r="N54" s="162"/>
      <c r="O54" s="42" t="str">
        <f t="shared" si="2"/>
        <v>Prospective</v>
      </c>
      <c r="P54" s="162"/>
      <c r="Q54" s="166"/>
      <c r="R54" s="162"/>
      <c r="S54" s="165" t="str">
        <f t="shared" si="3"/>
        <v>None</v>
      </c>
      <c r="T54" s="162"/>
      <c r="U54" s="42" t="str">
        <f t="shared" si="4"/>
        <v>Prospective</v>
      </c>
      <c r="V54" s="162"/>
      <c r="W54" s="166"/>
      <c r="X54" s="162"/>
      <c r="Y54" s="165" t="str">
        <f t="shared" si="13"/>
        <v>None</v>
      </c>
      <c r="Z54" s="162"/>
      <c r="AA54" s="42" t="str">
        <f t="shared" si="10"/>
        <v>Prospective</v>
      </c>
      <c r="AB54" s="162"/>
      <c r="AC54" s="166"/>
      <c r="AD54" s="162"/>
      <c r="AE54" s="165" t="str">
        <f t="shared" si="11"/>
        <v>None</v>
      </c>
      <c r="AF54" s="162"/>
      <c r="AG54" s="42" t="s">
        <v>67</v>
      </c>
      <c r="AH54" s="162"/>
      <c r="AI54" s="166"/>
    </row>
    <row r="55" spans="1:35">
      <c r="A55" s="161"/>
      <c r="B55" s="162"/>
      <c r="C55" s="162"/>
      <c r="D55" s="164" t="str">
        <f>Inputs!A43</f>
        <v>New Project 13</v>
      </c>
      <c r="E55" s="162"/>
      <c r="F55" s="42" t="s">
        <v>33</v>
      </c>
      <c r="G55" s="165" t="s">
        <v>192</v>
      </c>
      <c r="H55" s="162"/>
      <c r="I55" s="42" t="s">
        <v>67</v>
      </c>
      <c r="J55" s="162"/>
      <c r="K55" s="166"/>
      <c r="L55" s="162"/>
      <c r="M55" s="165" t="str">
        <f t="shared" si="1"/>
        <v>None</v>
      </c>
      <c r="N55" s="162"/>
      <c r="O55" s="42" t="str">
        <f t="shared" si="2"/>
        <v>Prospective</v>
      </c>
      <c r="P55" s="162"/>
      <c r="Q55" s="166"/>
      <c r="R55" s="162"/>
      <c r="S55" s="165" t="str">
        <f t="shared" si="3"/>
        <v>None</v>
      </c>
      <c r="T55" s="162"/>
      <c r="U55" s="42" t="str">
        <f t="shared" si="4"/>
        <v>Prospective</v>
      </c>
      <c r="V55" s="162"/>
      <c r="W55" s="166"/>
      <c r="X55" s="162"/>
      <c r="Y55" s="165" t="str">
        <f t="shared" si="13"/>
        <v>None</v>
      </c>
      <c r="Z55" s="162"/>
      <c r="AA55" s="42" t="str">
        <f t="shared" si="10"/>
        <v>Prospective</v>
      </c>
      <c r="AB55" s="162"/>
      <c r="AC55" s="166"/>
      <c r="AD55" s="162"/>
      <c r="AE55" s="165" t="str">
        <f t="shared" si="11"/>
        <v>None</v>
      </c>
      <c r="AF55" s="162"/>
      <c r="AG55" s="42" t="str">
        <f t="shared" si="12"/>
        <v>Prospective</v>
      </c>
      <c r="AH55" s="162"/>
      <c r="AI55" s="166"/>
    </row>
    <row r="56" spans="1:35">
      <c r="A56" s="161"/>
      <c r="B56" s="162"/>
      <c r="C56" s="162"/>
      <c r="D56" s="164" t="str">
        <f>Inputs!A44</f>
        <v>New Project 14</v>
      </c>
      <c r="E56" s="162"/>
      <c r="F56" s="42" t="s">
        <v>33</v>
      </c>
      <c r="G56" s="165" t="s">
        <v>192</v>
      </c>
      <c r="H56" s="162"/>
      <c r="I56" s="42" t="s">
        <v>67</v>
      </c>
      <c r="J56" s="162"/>
      <c r="K56" s="166"/>
      <c r="L56" s="162"/>
      <c r="M56" s="165" t="str">
        <f t="shared" si="1"/>
        <v>None</v>
      </c>
      <c r="N56" s="162"/>
      <c r="O56" s="42" t="str">
        <f t="shared" si="2"/>
        <v>Prospective</v>
      </c>
      <c r="P56" s="162"/>
      <c r="Q56" s="166"/>
      <c r="R56" s="162"/>
      <c r="S56" s="165" t="str">
        <f t="shared" si="3"/>
        <v>None</v>
      </c>
      <c r="T56" s="162"/>
      <c r="U56" s="42" t="str">
        <f t="shared" si="4"/>
        <v>Prospective</v>
      </c>
      <c r="V56" s="162"/>
      <c r="W56" s="166"/>
      <c r="X56" s="162"/>
      <c r="Y56" s="165" t="str">
        <f t="shared" si="13"/>
        <v>None</v>
      </c>
      <c r="Z56" s="162"/>
      <c r="AA56" s="42" t="str">
        <f t="shared" si="10"/>
        <v>Prospective</v>
      </c>
      <c r="AB56" s="162"/>
      <c r="AC56" s="166"/>
      <c r="AD56" s="162"/>
      <c r="AE56" s="165" t="str">
        <f t="shared" si="11"/>
        <v>None</v>
      </c>
      <c r="AF56" s="162"/>
      <c r="AG56" s="42" t="str">
        <f t="shared" si="12"/>
        <v>Prospective</v>
      </c>
      <c r="AH56" s="162"/>
      <c r="AI56" s="166"/>
    </row>
    <row r="57" spans="1:35" ht="14.65" thickBot="1">
      <c r="A57" s="167"/>
      <c r="B57" s="168"/>
      <c r="C57" s="168"/>
      <c r="D57" s="502" t="str">
        <f>Inputs!A45</f>
        <v>New Project 15</v>
      </c>
      <c r="E57" s="168"/>
      <c r="F57" s="504" t="s">
        <v>33</v>
      </c>
      <c r="G57" s="503" t="s">
        <v>192</v>
      </c>
      <c r="H57" s="168"/>
      <c r="I57" s="504" t="s">
        <v>67</v>
      </c>
      <c r="J57" s="168"/>
      <c r="K57" s="505"/>
      <c r="L57" s="168"/>
      <c r="M57" s="503" t="str">
        <f t="shared" si="1"/>
        <v>None</v>
      </c>
      <c r="N57" s="168"/>
      <c r="O57" s="504" t="str">
        <f t="shared" si="2"/>
        <v>Prospective</v>
      </c>
      <c r="P57" s="168"/>
      <c r="Q57" s="505"/>
      <c r="R57" s="168"/>
      <c r="S57" s="503" t="str">
        <f t="shared" si="3"/>
        <v>None</v>
      </c>
      <c r="T57" s="168"/>
      <c r="U57" s="504" t="str">
        <f t="shared" si="4"/>
        <v>Prospective</v>
      </c>
      <c r="V57" s="168"/>
      <c r="W57" s="505"/>
      <c r="X57" s="168"/>
      <c r="Y57" s="503" t="str">
        <f t="shared" si="13"/>
        <v>None</v>
      </c>
      <c r="Z57" s="168"/>
      <c r="AA57" s="504" t="str">
        <f t="shared" si="10"/>
        <v>Prospective</v>
      </c>
      <c r="AB57" s="168"/>
      <c r="AC57" s="505"/>
      <c r="AD57" s="168"/>
      <c r="AE57" s="503" t="str">
        <f t="shared" si="11"/>
        <v>None</v>
      </c>
      <c r="AF57" s="168"/>
      <c r="AG57" s="504" t="str">
        <f t="shared" si="12"/>
        <v>Prospective</v>
      </c>
      <c r="AH57" s="168"/>
      <c r="AI57" s="505"/>
    </row>
    <row r="61" spans="1:35" ht="23.25">
      <c r="A61" s="728" t="s">
        <v>21</v>
      </c>
      <c r="B61" s="728"/>
      <c r="C61" s="728"/>
      <c r="D61" s="728"/>
      <c r="E61" s="728"/>
      <c r="F61" s="728"/>
      <c r="G61" s="728"/>
      <c r="H61" s="728"/>
      <c r="I61" s="728"/>
      <c r="J61" s="728"/>
      <c r="K61" s="728"/>
      <c r="L61" s="728"/>
      <c r="M61" s="728"/>
      <c r="N61" s="728"/>
      <c r="O61" s="728"/>
      <c r="P61" s="728"/>
      <c r="Q61" s="728"/>
      <c r="R61" s="728"/>
      <c r="S61" s="728"/>
      <c r="T61" s="728"/>
      <c r="U61" s="728"/>
      <c r="V61" s="728"/>
      <c r="W61" s="728"/>
      <c r="X61" s="525"/>
      <c r="Y61" s="525"/>
      <c r="Z61" s="525"/>
      <c r="AA61" s="525"/>
      <c r="AB61" s="525"/>
      <c r="AC61" s="525"/>
      <c r="AD61" s="525"/>
      <c r="AE61" s="525"/>
      <c r="AF61" s="525"/>
      <c r="AG61" s="525"/>
      <c r="AH61" s="525"/>
      <c r="AI61" s="525"/>
    </row>
    <row r="62" spans="1:35">
      <c r="A62" s="5"/>
      <c r="B62" s="5"/>
      <c r="C62" s="5"/>
      <c r="D62" s="5"/>
      <c r="E62" s="5"/>
      <c r="F62" s="5"/>
      <c r="G62" s="5"/>
      <c r="H62" s="5"/>
      <c r="I62" s="7"/>
      <c r="J62" s="7"/>
      <c r="K62" s="7"/>
      <c r="L62" s="7"/>
      <c r="M62" s="7"/>
      <c r="N62" s="7"/>
      <c r="O62" s="7"/>
      <c r="P62" s="7"/>
      <c r="Q62" s="5"/>
      <c r="R62" s="5"/>
      <c r="S62" s="5"/>
      <c r="T62" s="5"/>
      <c r="U62" s="5"/>
      <c r="V62" s="5"/>
      <c r="W62" s="5"/>
      <c r="X62" s="5"/>
      <c r="Y62" s="5"/>
      <c r="Z62" s="5"/>
      <c r="AA62" s="5"/>
      <c r="AB62" s="5"/>
      <c r="AC62" s="5"/>
      <c r="AD62" s="5"/>
      <c r="AE62" s="5"/>
      <c r="AF62" s="5"/>
      <c r="AG62" s="5"/>
      <c r="AH62" s="5"/>
      <c r="AI62" s="5"/>
    </row>
    <row r="63" spans="1:35">
      <c r="A63" s="5"/>
      <c r="B63" s="5"/>
      <c r="C63" s="5"/>
      <c r="D63" s="5"/>
      <c r="E63" s="5"/>
      <c r="F63" s="5"/>
      <c r="G63" s="5"/>
      <c r="H63" s="5"/>
      <c r="I63" s="5"/>
      <c r="J63" s="5"/>
      <c r="K63" s="5"/>
      <c r="L63" s="5"/>
      <c r="M63" s="7"/>
      <c r="N63" s="5"/>
      <c r="O63" s="5"/>
      <c r="P63" s="5"/>
      <c r="Q63" s="5"/>
      <c r="R63" s="5"/>
      <c r="S63" s="5"/>
      <c r="T63" s="5"/>
      <c r="U63" s="5"/>
      <c r="V63" s="5"/>
      <c r="W63" s="5"/>
      <c r="X63" s="5"/>
      <c r="Y63" s="5"/>
      <c r="Z63" s="5"/>
      <c r="AA63" s="5"/>
      <c r="AB63" s="5"/>
      <c r="AC63" s="5"/>
      <c r="AD63" s="5"/>
      <c r="AE63" s="5"/>
      <c r="AF63" s="5"/>
      <c r="AG63" s="5"/>
      <c r="AH63" s="5"/>
      <c r="AI63" s="5"/>
    </row>
    <row r="64" spans="1:35">
      <c r="A64" s="6" t="s">
        <v>292</v>
      </c>
      <c r="B64" s="5"/>
      <c r="C64" s="5"/>
      <c r="D64" s="7" t="s">
        <v>290</v>
      </c>
      <c r="E64" s="5"/>
      <c r="F64" s="5"/>
      <c r="G64" s="5"/>
      <c r="H64" s="5"/>
      <c r="I64" s="7" t="s">
        <v>352</v>
      </c>
      <c r="J64" s="5"/>
      <c r="K64" s="5"/>
      <c r="L64" s="5"/>
      <c r="M64" s="7"/>
      <c r="N64" s="5"/>
      <c r="O64" s="7" t="s">
        <v>355</v>
      </c>
      <c r="P64" s="5"/>
      <c r="Q64" s="133"/>
      <c r="R64" s="5"/>
      <c r="S64" s="147"/>
      <c r="T64" s="5"/>
      <c r="U64" s="5" t="s">
        <v>354</v>
      </c>
      <c r="V64" s="5"/>
      <c r="W64" s="5"/>
      <c r="X64" s="5"/>
      <c r="Y64" s="147"/>
      <c r="Z64" s="5"/>
      <c r="AA64" s="5" t="s">
        <v>635</v>
      </c>
      <c r="AB64" s="5"/>
      <c r="AC64" s="5"/>
      <c r="AD64" s="5"/>
      <c r="AE64" s="147"/>
      <c r="AF64" s="5"/>
      <c r="AG64" s="5" t="s">
        <v>636</v>
      </c>
      <c r="AH64" s="5"/>
      <c r="AI64" s="5"/>
    </row>
    <row r="65" spans="1:35">
      <c r="A65" s="5" t="s">
        <v>254</v>
      </c>
      <c r="B65" s="5"/>
      <c r="C65" s="5"/>
      <c r="D65" s="126">
        <f>SUM(Inputs!D14:D30)*12</f>
        <v>0</v>
      </c>
      <c r="E65" s="5"/>
      <c r="F65" s="5"/>
      <c r="G65" s="5"/>
      <c r="H65" s="5"/>
      <c r="I65" s="127">
        <f>'Sys Admin Calculation'!Y37</f>
        <v>0</v>
      </c>
      <c r="J65" s="5"/>
      <c r="K65" s="5"/>
      <c r="L65" s="5"/>
      <c r="M65" s="7"/>
      <c r="N65" s="5"/>
      <c r="O65" s="127">
        <f>'Sys Admin Calculation Y2'!Y37</f>
        <v>0</v>
      </c>
      <c r="P65" s="5"/>
      <c r="Q65" s="5"/>
      <c r="R65" s="5"/>
      <c r="S65" s="147"/>
      <c r="T65" s="5"/>
      <c r="U65" s="127">
        <f>'Sys Admin Calculation Y3'!Y37</f>
        <v>0</v>
      </c>
      <c r="V65" s="5"/>
      <c r="W65" s="5"/>
      <c r="X65" s="5"/>
      <c r="Y65" s="147"/>
      <c r="Z65" s="5"/>
      <c r="AA65" s="127">
        <f>'Sys Admin Calculation Y4'!Y37</f>
        <v>0</v>
      </c>
      <c r="AB65" s="5"/>
      <c r="AC65" s="5"/>
      <c r="AD65" s="5"/>
      <c r="AE65" s="147"/>
      <c r="AF65" s="5"/>
      <c r="AG65" s="127">
        <f>'Sys Admin Calculation Y5'!Y37</f>
        <v>0</v>
      </c>
      <c r="AH65" s="5"/>
      <c r="AI65" s="5"/>
    </row>
    <row r="66" spans="1:35">
      <c r="A66" s="5"/>
      <c r="B66" s="5"/>
      <c r="C66" s="5"/>
      <c r="D66" s="7"/>
      <c r="E66" s="5"/>
      <c r="F66" s="5"/>
      <c r="G66" s="5"/>
      <c r="H66" s="5"/>
      <c r="I66" s="147"/>
      <c r="J66" s="5"/>
      <c r="K66" s="5"/>
      <c r="L66" s="5"/>
      <c r="M66" s="7"/>
      <c r="N66" s="5"/>
      <c r="O66" s="147"/>
      <c r="P66" s="5"/>
      <c r="Q66" s="133"/>
      <c r="R66" s="5"/>
      <c r="S66" s="147"/>
      <c r="T66" s="5"/>
      <c r="U66" s="147"/>
      <c r="V66" s="5"/>
      <c r="W66" s="5"/>
      <c r="X66" s="5"/>
      <c r="Y66" s="147"/>
      <c r="Z66" s="5"/>
      <c r="AA66" s="147"/>
      <c r="AB66" s="5"/>
      <c r="AC66" s="5"/>
      <c r="AD66" s="5"/>
      <c r="AE66" s="147"/>
      <c r="AF66" s="5"/>
      <c r="AG66" s="147"/>
      <c r="AH66" s="5"/>
      <c r="AI66" s="5"/>
    </row>
    <row r="67" spans="1:35">
      <c r="A67" s="5" t="s">
        <v>50</v>
      </c>
      <c r="B67" s="5"/>
      <c r="C67" s="5"/>
      <c r="D67" s="126">
        <f>SUM(Inputs!E14:F30)*12</f>
        <v>21400.800000000003</v>
      </c>
      <c r="E67" s="5"/>
      <c r="F67" s="5"/>
      <c r="G67" s="5"/>
      <c r="H67" s="5"/>
      <c r="I67" s="127">
        <f>SUM('Sys Admin Calculation'!Z37:AA37)</f>
        <v>57698.16</v>
      </c>
      <c r="J67" s="5"/>
      <c r="K67" s="5"/>
      <c r="L67" s="5"/>
      <c r="M67" s="7"/>
      <c r="N67" s="5"/>
      <c r="O67" s="127">
        <f>SUM('Sys Admin Calculation Y2'!Z37:AA37)</f>
        <v>60549.455999999998</v>
      </c>
      <c r="P67" s="5"/>
      <c r="Q67" s="5"/>
      <c r="R67" s="5"/>
      <c r="S67" s="147"/>
      <c r="T67" s="5"/>
      <c r="U67" s="127">
        <f>SUM('Sys Admin Calculation Y3'!Z37:AA37)</f>
        <v>63685.881600000008</v>
      </c>
      <c r="V67" s="5"/>
      <c r="W67" s="5"/>
      <c r="X67" s="5"/>
      <c r="Y67" s="147"/>
      <c r="Z67" s="5"/>
      <c r="AA67" s="127">
        <f>SUM('Sys Admin Calculation Y4'!Z37:AA37)</f>
        <v>67135.949760000018</v>
      </c>
      <c r="AB67" s="5"/>
      <c r="AC67" s="5"/>
      <c r="AD67" s="5"/>
      <c r="AE67" s="147"/>
      <c r="AF67" s="5"/>
      <c r="AG67" s="544">
        <f>SUM('Sys Admin Calculation Y5'!Z37:AA37)</f>
        <v>70931.024736000021</v>
      </c>
      <c r="AH67" s="5"/>
      <c r="AI67" s="5"/>
    </row>
    <row r="68" spans="1:35">
      <c r="A68" s="5"/>
      <c r="B68" s="5"/>
      <c r="C68" s="5"/>
      <c r="D68" s="7"/>
      <c r="E68" s="5"/>
      <c r="F68" s="5"/>
      <c r="G68" s="5"/>
      <c r="H68" s="5"/>
      <c r="I68" s="147"/>
      <c r="J68" s="5"/>
      <c r="K68" s="5"/>
      <c r="L68" s="5"/>
      <c r="M68" s="7"/>
      <c r="N68" s="5"/>
      <c r="O68" s="147"/>
      <c r="P68" s="5"/>
      <c r="Q68" s="133"/>
      <c r="R68" s="5"/>
      <c r="S68" s="147"/>
      <c r="T68" s="5"/>
      <c r="U68" s="147"/>
      <c r="V68" s="5"/>
      <c r="W68" s="5"/>
      <c r="X68" s="5"/>
      <c r="Y68" s="147"/>
      <c r="Z68" s="5"/>
      <c r="AA68" s="147"/>
      <c r="AB68" s="5"/>
      <c r="AC68" s="5"/>
      <c r="AD68" s="5"/>
      <c r="AE68" s="147"/>
      <c r="AF68" s="5"/>
      <c r="AG68" s="147"/>
      <c r="AH68" s="5"/>
      <c r="AI68" s="5"/>
    </row>
    <row r="69" spans="1:35">
      <c r="A69" s="5" t="s">
        <v>640</v>
      </c>
      <c r="B69" s="5"/>
      <c r="C69" s="5"/>
      <c r="D69" s="545">
        <f>'Platform Overhead C '!F20+'Platform Overhead C '!F27</f>
        <v>1125456</v>
      </c>
      <c r="E69" s="5"/>
      <c r="F69" s="5"/>
      <c r="G69" s="5"/>
      <c r="H69" s="5"/>
      <c r="I69" s="127">
        <f>'Sys Admin Calculation'!F50+'Sys Admin Calculation'!F52</f>
        <v>1989456</v>
      </c>
      <c r="J69" s="7"/>
      <c r="K69" s="7"/>
      <c r="L69" s="5"/>
      <c r="M69" s="7"/>
      <c r="N69" s="5"/>
      <c r="O69" s="127">
        <f>'Sys Admin Calculation Y2'!F50+'Sys Admin Calculation Y2'!F52</f>
        <v>1419219.68</v>
      </c>
      <c r="P69" s="5"/>
      <c r="Q69" s="5"/>
      <c r="R69" s="5"/>
      <c r="S69" s="147"/>
      <c r="T69" s="5"/>
      <c r="U69" s="127">
        <f>'Sys Admin Calculation Y3'!F50+'Sys Admin Calculation Y3'!F52</f>
        <v>1452983.36</v>
      </c>
      <c r="V69" s="5"/>
      <c r="W69" s="5"/>
      <c r="X69" s="5"/>
      <c r="Y69" s="147"/>
      <c r="Z69" s="5"/>
      <c r="AA69" s="127">
        <f>'Sys Admin Calculation Y4'!F50+'Sys Admin Calculation Y4'!F52</f>
        <v>1486747.04</v>
      </c>
      <c r="AB69" s="5"/>
      <c r="AC69" s="5"/>
      <c r="AD69" s="5"/>
      <c r="AE69" s="147"/>
      <c r="AF69" s="5"/>
      <c r="AG69" s="127">
        <f>'Sys Admin Calculation Y5'!F50+'Sys Admin Calculation Y5'!F52</f>
        <v>1520510.7200000002</v>
      </c>
      <c r="AH69" s="5"/>
      <c r="AI69" s="5"/>
    </row>
    <row r="70" spans="1:35">
      <c r="A70" s="5"/>
      <c r="B70" s="7"/>
      <c r="C70" s="5"/>
      <c r="D70" s="7"/>
      <c r="E70" s="5"/>
      <c r="F70" s="5"/>
      <c r="G70" s="5"/>
      <c r="H70" s="5"/>
      <c r="I70" s="147"/>
      <c r="J70" s="7"/>
      <c r="K70" s="7"/>
      <c r="L70" s="5"/>
      <c r="M70" s="7"/>
      <c r="N70" s="5"/>
      <c r="O70" s="147"/>
      <c r="P70" s="5"/>
      <c r="Q70" s="133"/>
      <c r="R70" s="5"/>
      <c r="S70" s="147"/>
      <c r="T70" s="5"/>
      <c r="U70" s="147"/>
      <c r="V70" s="5"/>
      <c r="W70" s="5"/>
      <c r="X70" s="5"/>
      <c r="Y70" s="147"/>
      <c r="Z70" s="5"/>
      <c r="AA70" s="147"/>
      <c r="AB70" s="5"/>
      <c r="AC70" s="5"/>
      <c r="AD70" s="5"/>
      <c r="AE70" s="147"/>
      <c r="AF70" s="5"/>
      <c r="AG70" s="147"/>
      <c r="AH70" s="5"/>
      <c r="AI70" s="5"/>
    </row>
    <row r="71" spans="1:35">
      <c r="A71" s="5" t="s">
        <v>190</v>
      </c>
      <c r="B71" s="7"/>
      <c r="C71" s="5"/>
      <c r="D71" s="127">
        <f>'Platform Overhead C '!M32*12</f>
        <v>162277.788</v>
      </c>
      <c r="E71" s="5"/>
      <c r="F71" s="5"/>
      <c r="G71" s="5"/>
      <c r="H71" s="5"/>
      <c r="I71" s="127">
        <f>'Sys Admin Calculation'!E51*12</f>
        <v>178505.5668</v>
      </c>
      <c r="J71" s="8"/>
      <c r="K71" s="8"/>
      <c r="L71" s="5"/>
      <c r="M71" s="8"/>
      <c r="N71" s="5"/>
      <c r="O71" s="127">
        <f>'Sys Admin Calculation Y2'!E51*12</f>
        <v>194733.34559999997</v>
      </c>
      <c r="P71" s="5"/>
      <c r="Q71" s="5"/>
      <c r="R71" s="5"/>
      <c r="S71" s="148"/>
      <c r="T71" s="5"/>
      <c r="U71" s="127">
        <f>'Sys Admin Calculation Y3'!E51*12</f>
        <v>210961.12440000003</v>
      </c>
      <c r="V71" s="5"/>
      <c r="W71" s="5"/>
      <c r="X71" s="5"/>
      <c r="Y71" s="148"/>
      <c r="Z71" s="5"/>
      <c r="AA71" s="127">
        <f>'Sys Admin Calculation Y4'!E51*12</f>
        <v>227188.9032</v>
      </c>
      <c r="AB71" s="5"/>
      <c r="AC71" s="5"/>
      <c r="AD71" s="5"/>
      <c r="AE71" s="148"/>
      <c r="AF71" s="5"/>
      <c r="AG71" s="127">
        <f>'Sys Admin Calculation Y5'!E51*12</f>
        <v>243416.682</v>
      </c>
      <c r="AH71" s="5"/>
      <c r="AI71" s="5"/>
    </row>
    <row r="72" spans="1:35">
      <c r="A72" s="5"/>
      <c r="B72" s="7"/>
      <c r="C72" s="5"/>
      <c r="D72" s="8"/>
      <c r="E72" s="5"/>
      <c r="F72" s="5"/>
      <c r="G72" s="5"/>
      <c r="H72" s="5"/>
      <c r="I72" s="148"/>
      <c r="J72" s="7"/>
      <c r="K72" s="7"/>
      <c r="L72" s="5"/>
      <c r="M72" s="7"/>
      <c r="N72" s="5"/>
      <c r="O72" s="148"/>
      <c r="P72" s="5"/>
      <c r="Q72" s="5"/>
      <c r="R72" s="5"/>
      <c r="S72" s="148"/>
      <c r="T72" s="5"/>
      <c r="U72" s="148"/>
      <c r="V72" s="5"/>
      <c r="W72" s="5"/>
      <c r="X72" s="5"/>
      <c r="Y72" s="148"/>
      <c r="Z72" s="5"/>
      <c r="AA72" s="148"/>
      <c r="AB72" s="5"/>
      <c r="AC72" s="5"/>
      <c r="AD72" s="5"/>
      <c r="AE72" s="148"/>
      <c r="AF72" s="5"/>
      <c r="AG72" s="148"/>
      <c r="AH72" s="5"/>
      <c r="AI72" s="5"/>
    </row>
    <row r="73" spans="1:35">
      <c r="A73" s="5" t="s">
        <v>291</v>
      </c>
      <c r="B73" s="7"/>
      <c r="C73" s="5"/>
      <c r="D73" s="131">
        <f>SUM(D65:D71)</f>
        <v>1309134.588</v>
      </c>
      <c r="E73" s="5"/>
      <c r="F73" s="5"/>
      <c r="G73" s="5"/>
      <c r="H73" s="5"/>
      <c r="I73" s="148">
        <f>SUM(I65:I71)</f>
        <v>2225659.7267999998</v>
      </c>
      <c r="J73" s="7"/>
      <c r="K73" s="7"/>
      <c r="L73" s="5"/>
      <c r="M73" s="7"/>
      <c r="N73" s="5"/>
      <c r="O73" s="148">
        <f>SUM(O65:O71)</f>
        <v>1674502.4815999998</v>
      </c>
      <c r="P73" s="5"/>
      <c r="Q73" s="5"/>
      <c r="R73" s="5"/>
      <c r="S73" s="147"/>
      <c r="T73" s="5"/>
      <c r="U73" s="148">
        <f>SUM(U65:U71)</f>
        <v>1727630.3660000002</v>
      </c>
      <c r="V73" s="5"/>
      <c r="W73" s="5"/>
      <c r="X73" s="5"/>
      <c r="Y73" s="147"/>
      <c r="Z73" s="5"/>
      <c r="AA73" s="148">
        <f>SUM(AA65:AA71)</f>
        <v>1781071.8929600001</v>
      </c>
      <c r="AB73" s="5"/>
      <c r="AC73" s="5"/>
      <c r="AD73" s="5"/>
      <c r="AE73" s="147"/>
      <c r="AF73" s="5"/>
      <c r="AG73" s="148">
        <f>SUM(AG65:AG71)</f>
        <v>1834858.4267360002</v>
      </c>
      <c r="AH73" s="5"/>
      <c r="AI73" s="5"/>
    </row>
    <row r="74" spans="1:35">
      <c r="A74" s="5"/>
      <c r="B74" s="7"/>
      <c r="C74" s="5"/>
      <c r="D74" s="7"/>
      <c r="E74" s="5"/>
      <c r="F74" s="5"/>
      <c r="G74" s="5"/>
      <c r="H74" s="5"/>
      <c r="I74" s="147"/>
      <c r="J74" s="7"/>
      <c r="K74" s="7"/>
      <c r="L74" s="5"/>
      <c r="M74" s="7"/>
      <c r="N74" s="5"/>
      <c r="O74" s="147"/>
      <c r="P74" s="5"/>
      <c r="Q74" s="5"/>
      <c r="R74" s="5"/>
      <c r="S74" s="139"/>
      <c r="T74" s="5"/>
      <c r="U74" s="147"/>
      <c r="V74" s="5"/>
      <c r="W74" s="5"/>
      <c r="X74" s="5"/>
      <c r="Y74" s="139"/>
      <c r="Z74" s="5"/>
      <c r="AA74" s="147"/>
      <c r="AB74" s="5"/>
      <c r="AC74" s="5"/>
      <c r="AD74" s="5"/>
      <c r="AE74" s="139"/>
      <c r="AF74" s="5"/>
      <c r="AG74" s="147"/>
      <c r="AH74" s="5"/>
      <c r="AI74" s="5"/>
    </row>
    <row r="75" spans="1:35">
      <c r="A75" s="5"/>
      <c r="B75" s="7"/>
      <c r="C75" s="5"/>
      <c r="D75" s="7"/>
      <c r="E75" s="5"/>
      <c r="F75" s="5"/>
      <c r="G75" s="5"/>
      <c r="H75" s="5"/>
      <c r="I75" s="147"/>
      <c r="J75" s="5"/>
      <c r="K75" s="5"/>
      <c r="L75" s="5"/>
      <c r="M75" s="5"/>
      <c r="N75" s="5"/>
      <c r="O75" s="147"/>
      <c r="P75" s="5"/>
      <c r="Q75" s="5"/>
      <c r="R75" s="5"/>
      <c r="S75" s="139"/>
      <c r="T75" s="5"/>
      <c r="U75" s="147"/>
      <c r="V75" s="5"/>
      <c r="W75" s="5"/>
      <c r="X75" s="5"/>
      <c r="Y75" s="139"/>
      <c r="Z75" s="5"/>
      <c r="AA75" s="147"/>
      <c r="AB75" s="5"/>
      <c r="AC75" s="5"/>
      <c r="AD75" s="5"/>
      <c r="AE75" s="139"/>
      <c r="AF75" s="5"/>
      <c r="AG75" s="147"/>
      <c r="AH75" s="5"/>
      <c r="AI75" s="5"/>
    </row>
    <row r="76" spans="1:35">
      <c r="A76" s="5" t="s">
        <v>356</v>
      </c>
      <c r="B76" s="5"/>
      <c r="C76" s="5"/>
      <c r="D76" s="5"/>
      <c r="E76" s="5"/>
      <c r="F76" s="5"/>
      <c r="G76" s="5"/>
      <c r="H76" s="5"/>
      <c r="I76" s="139"/>
      <c r="J76" s="5"/>
      <c r="K76" s="5"/>
      <c r="L76" s="5"/>
      <c r="M76" s="5"/>
      <c r="N76" s="5"/>
      <c r="O76" s="139"/>
      <c r="P76" s="5"/>
      <c r="Q76" s="5"/>
      <c r="R76" s="5"/>
      <c r="S76" s="139"/>
      <c r="T76" s="5"/>
      <c r="U76" s="139"/>
      <c r="V76" s="5"/>
      <c r="W76" s="5"/>
      <c r="X76" s="5"/>
      <c r="Y76" s="139"/>
      <c r="Z76" s="5"/>
      <c r="AA76" s="139"/>
      <c r="AB76" s="5"/>
      <c r="AC76" s="5"/>
      <c r="AD76" s="5"/>
      <c r="AE76" s="139"/>
      <c r="AF76" s="5"/>
      <c r="AG76" s="139"/>
      <c r="AH76" s="5"/>
      <c r="AI76" s="5"/>
    </row>
    <row r="77" spans="1:35">
      <c r="A77" s="5" t="s">
        <v>297</v>
      </c>
      <c r="B77" s="5"/>
      <c r="C77" s="5"/>
      <c r="D77" s="5" t="s">
        <v>298</v>
      </c>
      <c r="E77" s="5"/>
      <c r="F77" s="5"/>
      <c r="G77" s="5"/>
      <c r="H77" s="5"/>
      <c r="I77" s="139" t="s">
        <v>299</v>
      </c>
      <c r="J77" s="5"/>
      <c r="K77" s="5"/>
      <c r="L77" s="5"/>
      <c r="M77" s="5"/>
      <c r="N77" s="5"/>
      <c r="O77" s="139" t="s">
        <v>299</v>
      </c>
      <c r="P77" s="5"/>
      <c r="Q77" s="133"/>
      <c r="R77" s="5"/>
      <c r="S77" s="139"/>
      <c r="T77" s="5"/>
      <c r="U77" s="139" t="s">
        <v>299</v>
      </c>
      <c r="V77" s="5"/>
      <c r="W77" s="5"/>
      <c r="X77" s="5"/>
      <c r="Y77" s="139"/>
      <c r="Z77" s="5"/>
      <c r="AA77" s="139" t="s">
        <v>299</v>
      </c>
      <c r="AB77" s="5"/>
      <c r="AC77" s="5"/>
      <c r="AD77" s="5"/>
      <c r="AE77" s="139"/>
      <c r="AF77" s="5"/>
      <c r="AG77" s="139" t="s">
        <v>299</v>
      </c>
      <c r="AH77" s="5"/>
      <c r="AI77" s="5"/>
    </row>
    <row r="78" spans="1:35">
      <c r="A78" s="5" t="str">
        <f>Inputs!A14</f>
        <v>CVP-NYC</v>
      </c>
      <c r="B78" s="5"/>
      <c r="C78" s="5"/>
      <c r="D78" s="141">
        <f>Inputs!R14</f>
        <v>18206.90235</v>
      </c>
      <c r="E78" s="5"/>
      <c r="F78" s="5"/>
      <c r="G78" s="5"/>
      <c r="H78" s="5"/>
      <c r="I78" s="138">
        <f>'Sys Admin Calculation'!AE5</f>
        <v>184122.109344</v>
      </c>
      <c r="J78" s="5"/>
      <c r="K78" s="5"/>
      <c r="L78" s="5"/>
      <c r="M78" s="5"/>
      <c r="N78" s="5"/>
      <c r="O78" s="138">
        <f>'Sys Admin Calculation Y2'!AE5</f>
        <v>150750.02556799998</v>
      </c>
      <c r="P78" s="5"/>
      <c r="Q78" s="133"/>
      <c r="R78" s="5"/>
      <c r="S78" s="139"/>
      <c r="T78" s="5"/>
      <c r="U78" s="138">
        <f>'Sys Admin Calculation Y3'!AE5</f>
        <v>154377.94179199997</v>
      </c>
      <c r="V78" s="5"/>
      <c r="W78" s="5"/>
      <c r="X78" s="5"/>
      <c r="Y78" s="139"/>
      <c r="Z78" s="5"/>
      <c r="AA78" s="138">
        <f>'Sys Admin Calculation Y4'!AE5</f>
        <v>158005.85801599995</v>
      </c>
      <c r="AB78" s="5"/>
      <c r="AC78" s="5"/>
      <c r="AD78" s="5"/>
      <c r="AE78" s="139"/>
      <c r="AF78" s="5"/>
      <c r="AG78" s="138">
        <f>'Sys Admin Calculation Y5'!AE5</f>
        <v>161633.77424</v>
      </c>
      <c r="AH78" s="5"/>
      <c r="AI78" s="5"/>
    </row>
    <row r="79" spans="1:35">
      <c r="A79" s="5" t="str">
        <f>Inputs!A15</f>
        <v>CVP-THEA</v>
      </c>
      <c r="B79" s="5"/>
      <c r="C79" s="5"/>
      <c r="D79" s="141">
        <f>Inputs!R15</f>
        <v>100961.17226666668</v>
      </c>
      <c r="E79" s="5"/>
      <c r="F79" s="5"/>
      <c r="G79" s="5"/>
      <c r="H79" s="5"/>
      <c r="I79" s="138">
        <f>'Sys Admin Calculation'!AE6</f>
        <v>181439.94934399999</v>
      </c>
      <c r="J79" s="5"/>
      <c r="K79" s="5"/>
      <c r="L79" s="5"/>
      <c r="M79" s="5"/>
      <c r="N79" s="5"/>
      <c r="O79" s="138">
        <f>'Sys Admin Calculation Y2'!AE6</f>
        <v>122118.169568</v>
      </c>
      <c r="P79" s="5"/>
      <c r="Q79" s="133"/>
      <c r="R79" s="5"/>
      <c r="S79" s="139"/>
      <c r="T79" s="5"/>
      <c r="U79" s="138">
        <f>'Sys Admin Calculation Y3'!AE6</f>
        <v>125801.42019199999</v>
      </c>
      <c r="V79" s="5"/>
      <c r="W79" s="5"/>
      <c r="X79" s="5"/>
      <c r="Y79" s="139"/>
      <c r="Z79" s="5"/>
      <c r="AA79" s="138">
        <f>'Sys Admin Calculation Y4'!AE6</f>
        <v>129490.20425599997</v>
      </c>
      <c r="AB79" s="5"/>
      <c r="AC79" s="5"/>
      <c r="AD79" s="5"/>
      <c r="AE79" s="139"/>
      <c r="AF79" s="5"/>
      <c r="AG79" s="138">
        <f>'Sys Admin Calculation Y5'!AE6</f>
        <v>133185.07510399999</v>
      </c>
      <c r="AH79" s="5"/>
      <c r="AI79" s="5"/>
    </row>
    <row r="80" spans="1:35">
      <c r="A80" s="5" t="str">
        <f>Inputs!A16</f>
        <v>CVP-WYDOT</v>
      </c>
      <c r="B80" s="5"/>
      <c r="C80" s="5"/>
      <c r="D80" s="141">
        <f>Inputs!R16</f>
        <v>101454.01226666667</v>
      </c>
      <c r="E80" s="5"/>
      <c r="F80" s="5"/>
      <c r="G80" s="5"/>
      <c r="H80" s="5"/>
      <c r="I80" s="138">
        <f>'Sys Admin Calculation'!AE7</f>
        <v>182425.62934400002</v>
      </c>
      <c r="J80" s="5"/>
      <c r="K80" s="5"/>
      <c r="L80" s="5"/>
      <c r="M80" s="5"/>
      <c r="N80" s="5"/>
      <c r="O80" s="138">
        <f>'Sys Admin Calculation Y2'!AE7</f>
        <v>123202.417568</v>
      </c>
      <c r="P80" s="5"/>
      <c r="Q80" s="133"/>
      <c r="R80" s="5"/>
      <c r="S80" s="139"/>
      <c r="T80" s="5"/>
      <c r="U80" s="138">
        <f>'Sys Admin Calculation Y3'!AE7</f>
        <v>126994.09299199999</v>
      </c>
      <c r="V80" s="5"/>
      <c r="W80" s="5"/>
      <c r="X80" s="5"/>
      <c r="Y80" s="139"/>
      <c r="Z80" s="5"/>
      <c r="AA80" s="138">
        <f>'Sys Admin Calculation Y4'!AE7</f>
        <v>130802.14433599997</v>
      </c>
      <c r="AB80" s="5"/>
      <c r="AC80" s="5"/>
      <c r="AD80" s="5"/>
      <c r="AE80" s="139"/>
      <c r="AF80" s="5"/>
      <c r="AG80" s="138">
        <f>'Sys Admin Calculation Y5'!AE7</f>
        <v>134628.20919200001</v>
      </c>
      <c r="AH80" s="5"/>
      <c r="AI80" s="5"/>
    </row>
    <row r="81" spans="1:35">
      <c r="A81" s="5" t="str">
        <f>Inputs!A17</f>
        <v>CVP-Volpe-IE</v>
      </c>
      <c r="B81" s="5"/>
      <c r="C81" s="5"/>
      <c r="D81" s="141">
        <f>Inputs!R17</f>
        <v>102488.53226666666</v>
      </c>
      <c r="E81" s="5"/>
      <c r="F81" s="5"/>
      <c r="G81" s="5"/>
      <c r="H81" s="5"/>
      <c r="I81" s="138">
        <f>'Sys Admin Calculation'!AE8</f>
        <v>180936.90934399999</v>
      </c>
      <c r="J81" s="5"/>
      <c r="K81" s="5"/>
      <c r="L81" s="5"/>
      <c r="M81" s="5"/>
      <c r="N81" s="5"/>
      <c r="O81" s="138">
        <f>'Sys Admin Calculation Y2'!AE8</f>
        <v>121564.825568</v>
      </c>
      <c r="P81" s="5"/>
      <c r="Q81" s="133"/>
      <c r="R81" s="5"/>
      <c r="S81" s="139"/>
      <c r="T81" s="5"/>
      <c r="U81" s="138">
        <f>'Sys Admin Calculation Y3'!AE8</f>
        <v>125192.74179199999</v>
      </c>
      <c r="V81" s="5"/>
      <c r="W81" s="5"/>
      <c r="X81" s="5"/>
      <c r="Y81" s="139"/>
      <c r="Z81" s="5"/>
      <c r="AA81" s="138">
        <f>'Sys Admin Calculation Y4'!AE8</f>
        <v>128820.65801599997</v>
      </c>
      <c r="AB81" s="5"/>
      <c r="AC81" s="5"/>
      <c r="AD81" s="5"/>
      <c r="AE81" s="139"/>
      <c r="AF81" s="5"/>
      <c r="AG81" s="138">
        <f>'Sys Admin Calculation Y5'!AE8</f>
        <v>132448.57423999999</v>
      </c>
      <c r="AH81" s="5"/>
      <c r="AI81" s="5"/>
    </row>
    <row r="82" spans="1:35">
      <c r="A82" s="5" t="str">
        <f>Inputs!A18</f>
        <v>CVP-TTI-IE</v>
      </c>
      <c r="B82" s="5"/>
      <c r="C82" s="5"/>
      <c r="D82" s="141">
        <f>Inputs!R18</f>
        <v>101833.21226666665</v>
      </c>
      <c r="E82" s="5"/>
      <c r="F82" s="5"/>
      <c r="G82" s="5"/>
      <c r="H82" s="5"/>
      <c r="I82" s="138">
        <f>'Sys Admin Calculation'!AE9</f>
        <v>180936.90934399999</v>
      </c>
      <c r="J82" s="5"/>
      <c r="K82" s="5"/>
      <c r="L82" s="5"/>
      <c r="M82" s="5"/>
      <c r="N82" s="5"/>
      <c r="O82" s="138">
        <f>'Sys Admin Calculation Y2'!AE9</f>
        <v>121564.825568</v>
      </c>
      <c r="P82" s="5"/>
      <c r="Q82" s="133"/>
      <c r="R82" s="5"/>
      <c r="S82" s="139"/>
      <c r="T82" s="5"/>
      <c r="U82" s="138">
        <f>'Sys Admin Calculation Y3'!AE9</f>
        <v>125192.74179199999</v>
      </c>
      <c r="V82" s="5"/>
      <c r="W82" s="5"/>
      <c r="X82" s="5"/>
      <c r="Y82" s="139"/>
      <c r="Z82" s="5"/>
      <c r="AA82" s="138">
        <f>'Sys Admin Calculation Y4'!AE9</f>
        <v>128820.65801599997</v>
      </c>
      <c r="AB82" s="5"/>
      <c r="AC82" s="5"/>
      <c r="AD82" s="5"/>
      <c r="AE82" s="139"/>
      <c r="AF82" s="5"/>
      <c r="AG82" s="138">
        <f>'Sys Admin Calculation Y5'!AE9</f>
        <v>132448.57423999999</v>
      </c>
      <c r="AH82" s="5"/>
      <c r="AI82" s="5"/>
    </row>
    <row r="83" spans="1:35">
      <c r="A83" s="5" t="str">
        <f>Inputs!A19</f>
        <v>CARMA3-FMCSA</v>
      </c>
      <c r="B83" s="5"/>
      <c r="C83" s="5"/>
      <c r="D83" s="141">
        <f>Inputs!R19</f>
        <v>18206.90235</v>
      </c>
      <c r="E83" s="5"/>
      <c r="F83" s="5"/>
      <c r="G83" s="5"/>
      <c r="H83" s="5"/>
      <c r="I83" s="138">
        <f>'Sys Admin Calculation'!AE10</f>
        <v>0</v>
      </c>
      <c r="J83" s="5"/>
      <c r="K83" s="5"/>
      <c r="L83" s="5"/>
      <c r="M83" s="5"/>
      <c r="N83" s="5"/>
      <c r="O83" s="138">
        <f>'Sys Admin Calculation Y2'!AE10</f>
        <v>0</v>
      </c>
      <c r="P83" s="5"/>
      <c r="Q83" s="133"/>
      <c r="R83" s="5"/>
      <c r="S83" s="139"/>
      <c r="T83" s="5"/>
      <c r="U83" s="138">
        <f>'Sys Admin Calculation Y3'!AE10</f>
        <v>0</v>
      </c>
      <c r="V83" s="5"/>
      <c r="W83" s="5"/>
      <c r="X83" s="5"/>
      <c r="Y83" s="139"/>
      <c r="Z83" s="5"/>
      <c r="AA83" s="138">
        <f>'Sys Admin Calculation Y4'!AE10</f>
        <v>0</v>
      </c>
      <c r="AB83" s="5"/>
      <c r="AC83" s="5"/>
      <c r="AD83" s="5"/>
      <c r="AE83" s="139"/>
      <c r="AF83" s="5"/>
      <c r="AG83" s="138">
        <f>'Sys Admin Calculation Y5'!AE10</f>
        <v>0</v>
      </c>
      <c r="AH83" s="5"/>
      <c r="AI83" s="5"/>
    </row>
    <row r="84" spans="1:35">
      <c r="A84" s="5" t="str">
        <f>Inputs!A20</f>
        <v>CARMA-FHWA</v>
      </c>
      <c r="B84" s="5"/>
      <c r="C84" s="5"/>
      <c r="D84" s="141">
        <f>Inputs!R20</f>
        <v>18206.90235</v>
      </c>
      <c r="E84" s="5"/>
      <c r="F84" s="5"/>
      <c r="G84" s="5"/>
      <c r="H84" s="5"/>
      <c r="I84" s="138">
        <f>'Sys Admin Calculation'!AE11</f>
        <v>0</v>
      </c>
      <c r="J84" s="5"/>
      <c r="K84" s="5"/>
      <c r="L84" s="5"/>
      <c r="M84" s="5"/>
      <c r="N84" s="5"/>
      <c r="O84" s="138">
        <f>'Sys Admin Calculation Y2'!AE11</f>
        <v>0</v>
      </c>
      <c r="P84" s="5"/>
      <c r="Q84" s="133"/>
      <c r="R84" s="5"/>
      <c r="S84" s="139"/>
      <c r="T84" s="5"/>
      <c r="U84" s="138">
        <f>'Sys Admin Calculation Y3'!AE11</f>
        <v>0</v>
      </c>
      <c r="V84" s="5"/>
      <c r="W84" s="5"/>
      <c r="X84" s="5"/>
      <c r="Y84" s="139"/>
      <c r="Z84" s="5"/>
      <c r="AA84" s="138">
        <f>'Sys Admin Calculation Y4'!AE11</f>
        <v>0</v>
      </c>
      <c r="AB84" s="5"/>
      <c r="AC84" s="5"/>
      <c r="AD84" s="5"/>
      <c r="AE84" s="139"/>
      <c r="AF84" s="5"/>
      <c r="AG84" s="138">
        <f>'Sys Admin Calculation Y5'!AE11</f>
        <v>0</v>
      </c>
      <c r="AH84" s="5"/>
      <c r="AI84" s="5"/>
    </row>
    <row r="85" spans="1:35">
      <c r="A85" s="5" t="str">
        <f>Inputs!A21</f>
        <v>FMI-ATRI</v>
      </c>
      <c r="B85" s="5"/>
      <c r="C85" s="5"/>
      <c r="D85" s="141">
        <f>Inputs!R21</f>
        <v>102285.85226666667</v>
      </c>
      <c r="E85" s="5"/>
      <c r="F85" s="5"/>
      <c r="G85" s="5"/>
      <c r="H85" s="5"/>
      <c r="I85" s="138">
        <f>'Sys Admin Calculation'!AE12</f>
        <v>184089.30934400001</v>
      </c>
      <c r="J85" s="5"/>
      <c r="K85" s="5"/>
      <c r="L85" s="5"/>
      <c r="M85" s="5"/>
      <c r="N85" s="5"/>
      <c r="O85" s="138">
        <f>'Sys Admin Calculation Y2'!AE12</f>
        <v>125032.465568</v>
      </c>
      <c r="P85" s="5"/>
      <c r="Q85" s="133"/>
      <c r="R85" s="5"/>
      <c r="S85" s="139"/>
      <c r="T85" s="5"/>
      <c r="U85" s="138">
        <f>'Sys Admin Calculation Y3'!AE12</f>
        <v>129007.145792</v>
      </c>
      <c r="V85" s="5"/>
      <c r="W85" s="5"/>
      <c r="X85" s="5"/>
      <c r="Y85" s="139"/>
      <c r="Z85" s="5"/>
      <c r="AA85" s="138">
        <f>'Sys Admin Calculation Y4'!AE12</f>
        <v>133016.50241599997</v>
      </c>
      <c r="AB85" s="5"/>
      <c r="AC85" s="5"/>
      <c r="AD85" s="5"/>
      <c r="AE85" s="139"/>
      <c r="AF85" s="5"/>
      <c r="AG85" s="138">
        <f>'Sys Admin Calculation Y5'!AE12</f>
        <v>137064.00307999999</v>
      </c>
      <c r="AH85" s="5"/>
      <c r="AI85" s="5"/>
    </row>
    <row r="86" spans="1:35">
      <c r="A86" s="5" t="str">
        <f>Inputs!A22</f>
        <v>FMI-BTS</v>
      </c>
      <c r="B86" s="5"/>
      <c r="C86" s="5"/>
      <c r="D86" s="141">
        <f>Inputs!R22</f>
        <v>100709.65226666667</v>
      </c>
      <c r="E86" s="5"/>
      <c r="F86" s="5"/>
      <c r="G86" s="5"/>
      <c r="H86" s="5"/>
      <c r="I86" s="138">
        <f>'Sys Admin Calculation'!AE13</f>
        <v>180936.90934399999</v>
      </c>
      <c r="J86" s="5"/>
      <c r="K86" s="5"/>
      <c r="L86" s="5"/>
      <c r="M86" s="5"/>
      <c r="N86" s="5"/>
      <c r="O86" s="138">
        <f>'Sys Admin Calculation Y2'!AE13</f>
        <v>121564.825568</v>
      </c>
      <c r="P86" s="5"/>
      <c r="Q86" s="133"/>
      <c r="R86" s="5"/>
      <c r="S86" s="139"/>
      <c r="T86" s="5"/>
      <c r="U86" s="138">
        <f>'Sys Admin Calculation Y3'!AE13</f>
        <v>125192.74179199999</v>
      </c>
      <c r="V86" s="5"/>
      <c r="W86" s="5"/>
      <c r="X86" s="5"/>
      <c r="Y86" s="139"/>
      <c r="Z86" s="5"/>
      <c r="AA86" s="138">
        <f>'Sys Admin Calculation Y4'!AE13</f>
        <v>128820.65801599997</v>
      </c>
      <c r="AB86" s="5"/>
      <c r="AC86" s="5"/>
      <c r="AD86" s="5"/>
      <c r="AE86" s="139"/>
      <c r="AF86" s="5"/>
      <c r="AG86" s="138">
        <f>'Sys Admin Calculation Y5'!AE13</f>
        <v>132448.57423999999</v>
      </c>
      <c r="AH86" s="5"/>
      <c r="AI86" s="5"/>
    </row>
    <row r="87" spans="1:35">
      <c r="A87" s="5" t="str">
        <f>Inputs!A23</f>
        <v>FTA-DA</v>
      </c>
      <c r="B87" s="5"/>
      <c r="C87" s="5"/>
      <c r="D87" s="141">
        <f>Inputs!R23</f>
        <v>100709.65226666667</v>
      </c>
      <c r="E87" s="5"/>
      <c r="F87" s="5"/>
      <c r="G87" s="5"/>
      <c r="H87" s="5"/>
      <c r="I87" s="138">
        <f>'Sys Admin Calculation'!AE14</f>
        <v>180936.90934399999</v>
      </c>
      <c r="J87" s="5"/>
      <c r="K87" s="5"/>
      <c r="L87" s="5"/>
      <c r="M87" s="5"/>
      <c r="N87" s="5"/>
      <c r="O87" s="138">
        <f>'Sys Admin Calculation Y2'!AE14</f>
        <v>121564.825568</v>
      </c>
      <c r="P87" s="5"/>
      <c r="Q87" s="133"/>
      <c r="R87" s="5"/>
      <c r="S87" s="139"/>
      <c r="T87" s="5"/>
      <c r="U87" s="138">
        <f>'Sys Admin Calculation Y3'!AE14</f>
        <v>125192.74179199999</v>
      </c>
      <c r="V87" s="5"/>
      <c r="W87" s="5"/>
      <c r="X87" s="5"/>
      <c r="Y87" s="139"/>
      <c r="Z87" s="5"/>
      <c r="AA87" s="138">
        <f>'Sys Admin Calculation Y4'!AE14</f>
        <v>128820.65801599997</v>
      </c>
      <c r="AB87" s="5"/>
      <c r="AC87" s="5"/>
      <c r="AD87" s="5"/>
      <c r="AE87" s="139"/>
      <c r="AF87" s="5"/>
      <c r="AG87" s="138">
        <f>'Sys Admin Calculation Y5'!AE14</f>
        <v>132448.57423999999</v>
      </c>
      <c r="AH87" s="5"/>
      <c r="AI87" s="5"/>
    </row>
    <row r="88" spans="1:35">
      <c r="A88" s="5" t="str">
        <f>Inputs!A24</f>
        <v>MOD 2.0</v>
      </c>
      <c r="B88" s="5"/>
      <c r="C88" s="5"/>
      <c r="D88" s="141">
        <f>Inputs!R24</f>
        <v>0</v>
      </c>
      <c r="E88" s="5"/>
      <c r="F88" s="5"/>
      <c r="G88" s="5"/>
      <c r="H88" s="5"/>
      <c r="I88" s="138">
        <f>'Sys Admin Calculation'!AE15</f>
        <v>0</v>
      </c>
      <c r="J88" s="5"/>
      <c r="K88" s="5"/>
      <c r="L88" s="5"/>
      <c r="M88" s="5"/>
      <c r="N88" s="5"/>
      <c r="O88" s="138">
        <f>'Sys Admin Calculation Y2'!AE15</f>
        <v>0</v>
      </c>
      <c r="P88" s="5"/>
      <c r="Q88" s="133"/>
      <c r="R88" s="5"/>
      <c r="S88" s="139"/>
      <c r="T88" s="5"/>
      <c r="U88" s="138">
        <f>'Sys Admin Calculation Y3'!AE15</f>
        <v>0</v>
      </c>
      <c r="V88" s="5"/>
      <c r="W88" s="5"/>
      <c r="X88" s="5"/>
      <c r="Y88" s="139"/>
      <c r="Z88" s="5"/>
      <c r="AA88" s="138">
        <f>'Sys Admin Calculation Y4'!AE15</f>
        <v>0</v>
      </c>
      <c r="AB88" s="5"/>
      <c r="AC88" s="5"/>
      <c r="AD88" s="5"/>
      <c r="AE88" s="139"/>
      <c r="AF88" s="5"/>
      <c r="AG88" s="138">
        <f>'Sys Admin Calculation Y5'!AE15</f>
        <v>0</v>
      </c>
      <c r="AH88" s="5"/>
      <c r="AI88" s="5"/>
    </row>
    <row r="89" spans="1:35">
      <c r="A89" s="5" t="str">
        <f>Inputs!A25</f>
        <v xml:space="preserve">MPI </v>
      </c>
      <c r="B89" s="5"/>
      <c r="C89" s="5"/>
      <c r="D89" s="141">
        <f>Inputs!R25</f>
        <v>0</v>
      </c>
      <c r="E89" s="5"/>
      <c r="F89" s="5"/>
      <c r="G89" s="5"/>
      <c r="H89" s="5"/>
      <c r="I89" s="138">
        <f>'Sys Admin Calculation'!AE16</f>
        <v>0</v>
      </c>
      <c r="J89" s="5"/>
      <c r="K89" s="5"/>
      <c r="L89" s="5"/>
      <c r="M89" s="5"/>
      <c r="N89" s="5"/>
      <c r="O89" s="138">
        <f>'Sys Admin Calculation Y2'!AE16</f>
        <v>0</v>
      </c>
      <c r="P89" s="5"/>
      <c r="Q89" s="133"/>
      <c r="R89" s="5"/>
      <c r="S89" s="139"/>
      <c r="T89" s="5"/>
      <c r="U89" s="138">
        <f>'Sys Admin Calculation Y3'!AE16</f>
        <v>0</v>
      </c>
      <c r="V89" s="5"/>
      <c r="W89" s="5"/>
      <c r="X89" s="5"/>
      <c r="Y89" s="139"/>
      <c r="Z89" s="5"/>
      <c r="AA89" s="138">
        <f>'Sys Admin Calculation Y4'!AE16</f>
        <v>0</v>
      </c>
      <c r="AB89" s="5"/>
      <c r="AC89" s="5"/>
      <c r="AD89" s="5"/>
      <c r="AE89" s="139"/>
      <c r="AF89" s="5"/>
      <c r="AG89" s="138">
        <f>'Sys Admin Calculation Y5'!AE16</f>
        <v>0</v>
      </c>
      <c r="AH89" s="5"/>
      <c r="AI89" s="5"/>
    </row>
    <row r="90" spans="1:35">
      <c r="A90" s="5" t="str">
        <f>Inputs!A26</f>
        <v>WAZE-WAZE</v>
      </c>
      <c r="B90" s="5"/>
      <c r="C90" s="5"/>
      <c r="D90" s="141">
        <f>Inputs!R26</f>
        <v>112394.05226666665</v>
      </c>
      <c r="E90" s="5"/>
      <c r="F90" s="5"/>
      <c r="G90" s="5"/>
      <c r="H90" s="5"/>
      <c r="I90" s="138">
        <f>'Sys Admin Calculation'!AE17</f>
        <v>204305.709344</v>
      </c>
      <c r="J90" s="5"/>
      <c r="K90" s="5"/>
      <c r="L90" s="5"/>
      <c r="M90" s="5"/>
      <c r="N90" s="5"/>
      <c r="O90" s="138">
        <f>'Sys Admin Calculation Y2'!AE17</f>
        <v>147270.50556800002</v>
      </c>
      <c r="P90" s="5"/>
      <c r="Q90" s="133"/>
      <c r="R90" s="5"/>
      <c r="S90" s="139"/>
      <c r="T90" s="5"/>
      <c r="U90" s="138">
        <f>'Sys Admin Calculation Y3'!AE17</f>
        <v>153468.98979199998</v>
      </c>
      <c r="V90" s="5"/>
      <c r="W90" s="5"/>
      <c r="X90" s="5"/>
      <c r="Y90" s="139"/>
      <c r="Z90" s="5"/>
      <c r="AA90" s="138">
        <f>'Sys Admin Calculation Y4'!AE17</f>
        <v>159924.53081599998</v>
      </c>
      <c r="AB90" s="5"/>
      <c r="AC90" s="5"/>
      <c r="AD90" s="5"/>
      <c r="AE90" s="139"/>
      <c r="AF90" s="5"/>
      <c r="AG90" s="138">
        <f>'Sys Admin Calculation Y5'!AE17</f>
        <v>166662.83432000002</v>
      </c>
      <c r="AH90" s="5"/>
      <c r="AI90" s="5"/>
    </row>
    <row r="91" spans="1:35">
      <c r="A91" s="5" t="str">
        <f>Inputs!A27</f>
        <v>WAZE-SDI</v>
      </c>
      <c r="B91" s="5"/>
      <c r="C91" s="5"/>
      <c r="D91" s="141">
        <f>Inputs!R27</f>
        <v>104951.53226666666</v>
      </c>
      <c r="E91" s="5"/>
      <c r="F91" s="5"/>
      <c r="G91" s="5"/>
      <c r="H91" s="5"/>
      <c r="I91" s="138">
        <f>'Sys Admin Calculation'!AE18</f>
        <v>180936.90934399999</v>
      </c>
      <c r="J91" s="5"/>
      <c r="K91" s="5"/>
      <c r="L91" s="5"/>
      <c r="M91" s="5"/>
      <c r="N91" s="5"/>
      <c r="O91" s="138">
        <f>'Sys Admin Calculation Y2'!AE18</f>
        <v>121564.825568</v>
      </c>
      <c r="P91" s="5"/>
      <c r="Q91" s="133"/>
      <c r="R91" s="5"/>
      <c r="S91" s="139"/>
      <c r="T91" s="5"/>
      <c r="U91" s="138">
        <f>'Sys Admin Calculation Y3'!AE18</f>
        <v>125192.74179199999</v>
      </c>
      <c r="V91" s="5"/>
      <c r="W91" s="5"/>
      <c r="X91" s="5"/>
      <c r="Y91" s="139"/>
      <c r="Z91" s="5"/>
      <c r="AA91" s="138">
        <f>'Sys Admin Calculation Y4'!AE18</f>
        <v>128820.65801599997</v>
      </c>
      <c r="AB91" s="5"/>
      <c r="AC91" s="5"/>
      <c r="AD91" s="5"/>
      <c r="AE91" s="139"/>
      <c r="AF91" s="5"/>
      <c r="AG91" s="138">
        <f>'Sys Admin Calculation Y5'!AE18</f>
        <v>132448.57423999999</v>
      </c>
      <c r="AH91" s="5"/>
      <c r="AI91" s="5"/>
    </row>
    <row r="92" spans="1:35">
      <c r="A92" s="5" t="str">
        <f>Inputs!A28</f>
        <v>Smart Columbus Evaluation</v>
      </c>
      <c r="B92" s="5"/>
      <c r="C92" s="5"/>
      <c r="D92" s="141">
        <f>Inputs!R28</f>
        <v>18206.90235</v>
      </c>
      <c r="E92" s="5"/>
      <c r="F92" s="5"/>
      <c r="G92" s="5"/>
      <c r="H92" s="5"/>
      <c r="I92" s="138">
        <f>'Sys Admin Calculation'!AE19</f>
        <v>0</v>
      </c>
      <c r="J92" s="5"/>
      <c r="K92" s="5"/>
      <c r="L92" s="5"/>
      <c r="M92" s="5"/>
      <c r="N92" s="5"/>
      <c r="O92" s="138">
        <f>'Sys Admin Calculation Y2'!AE19</f>
        <v>0</v>
      </c>
      <c r="P92" s="5"/>
      <c r="Q92" s="133"/>
      <c r="R92" s="5"/>
      <c r="S92" s="139"/>
      <c r="T92" s="5"/>
      <c r="U92" s="138">
        <f>'Sys Admin Calculation Y3'!AE19</f>
        <v>0</v>
      </c>
      <c r="V92" s="5"/>
      <c r="W92" s="5"/>
      <c r="X92" s="5"/>
      <c r="Y92" s="139"/>
      <c r="Z92" s="5"/>
      <c r="AA92" s="138">
        <f>'Sys Admin Calculation Y4'!AE19</f>
        <v>0</v>
      </c>
      <c r="AB92" s="5"/>
      <c r="AC92" s="5"/>
      <c r="AD92" s="5"/>
      <c r="AE92" s="139"/>
      <c r="AF92" s="5"/>
      <c r="AG92" s="138">
        <f>'Sys Admin Calculation Y5'!AE19</f>
        <v>0</v>
      </c>
      <c r="AH92" s="5"/>
      <c r="AI92" s="5"/>
    </row>
    <row r="93" spans="1:35">
      <c r="A93" s="5" t="str">
        <f>Inputs!A29</f>
        <v>STAR</v>
      </c>
      <c r="B93" s="5"/>
      <c r="C93" s="5"/>
      <c r="D93" s="141">
        <f>Inputs!R29</f>
        <v>0</v>
      </c>
      <c r="E93" s="5"/>
      <c r="F93" s="5"/>
      <c r="G93" s="5"/>
      <c r="H93" s="5"/>
      <c r="I93" s="138">
        <f>'Sys Admin Calculation'!AE20</f>
        <v>0</v>
      </c>
      <c r="J93" s="5"/>
      <c r="K93" s="5"/>
      <c r="L93" s="5"/>
      <c r="M93" s="5"/>
      <c r="N93" s="5"/>
      <c r="O93" s="138">
        <f>'Sys Admin Calculation Y2'!AE20</f>
        <v>0</v>
      </c>
      <c r="P93" s="5"/>
      <c r="Q93" s="133"/>
      <c r="R93" s="5"/>
      <c r="S93" s="139"/>
      <c r="T93" s="5"/>
      <c r="U93" s="138">
        <f>'Sys Admin Calculation Y3'!AE20</f>
        <v>0</v>
      </c>
      <c r="V93" s="5"/>
      <c r="W93" s="5"/>
      <c r="X93" s="5"/>
      <c r="Y93" s="139"/>
      <c r="Z93" s="5"/>
      <c r="AA93" s="138">
        <f>'Sys Admin Calculation Y4'!AE20</f>
        <v>0</v>
      </c>
      <c r="AB93" s="5"/>
      <c r="AC93" s="5"/>
      <c r="AD93" s="5"/>
      <c r="AE93" s="139"/>
      <c r="AF93" s="5"/>
      <c r="AG93" s="138">
        <f>'Sys Admin Calculation Y5'!AE20</f>
        <v>0</v>
      </c>
      <c r="AH93" s="5"/>
      <c r="AI93" s="5"/>
    </row>
    <row r="94" spans="1:35">
      <c r="A94" s="5" t="str">
        <f>Inputs!A30</f>
        <v>T-PLAT</v>
      </c>
      <c r="B94" s="5"/>
      <c r="C94" s="5"/>
      <c r="D94" s="141">
        <f>Inputs!R30</f>
        <v>0</v>
      </c>
      <c r="E94" s="5"/>
      <c r="F94" s="5"/>
      <c r="G94" s="5"/>
      <c r="H94" s="5"/>
      <c r="I94" s="138">
        <f>'Sys Admin Calculation'!AE21</f>
        <v>0</v>
      </c>
      <c r="J94" s="5"/>
      <c r="K94" s="5"/>
      <c r="L94" s="5"/>
      <c r="M94" s="5"/>
      <c r="N94" s="5"/>
      <c r="O94" s="138">
        <f>'Sys Admin Calculation Y2'!AE21</f>
        <v>0</v>
      </c>
      <c r="P94" s="5"/>
      <c r="Q94" s="133"/>
      <c r="R94" s="5"/>
      <c r="S94" s="139"/>
      <c r="T94" s="5"/>
      <c r="U94" s="138">
        <f>'Sys Admin Calculation Y3'!AE21</f>
        <v>0</v>
      </c>
      <c r="V94" s="5"/>
      <c r="W94" s="5"/>
      <c r="X94" s="5"/>
      <c r="Y94" s="139"/>
      <c r="Z94" s="5"/>
      <c r="AA94" s="138">
        <f>'Sys Admin Calculation Y4'!AE21</f>
        <v>0</v>
      </c>
      <c r="AB94" s="5"/>
      <c r="AC94" s="5"/>
      <c r="AD94" s="5"/>
      <c r="AE94" s="139"/>
      <c r="AF94" s="5"/>
      <c r="AG94" s="138">
        <f>'Sys Admin Calculation Y5'!AE21</f>
        <v>0</v>
      </c>
      <c r="AH94" s="5"/>
      <c r="AI94" s="5"/>
    </row>
    <row r="95" spans="1:35">
      <c r="A95" s="5" t="str">
        <f>D43</f>
        <v>New Project 1</v>
      </c>
      <c r="B95" s="5"/>
      <c r="C95" s="5"/>
      <c r="D95" s="141">
        <v>0</v>
      </c>
      <c r="E95" s="5"/>
      <c r="F95" s="5"/>
      <c r="G95" s="5"/>
      <c r="H95" s="5"/>
      <c r="I95" s="138">
        <f>'Sys Admin Calculation'!AE22</f>
        <v>0</v>
      </c>
      <c r="J95" s="5"/>
      <c r="K95" s="5"/>
      <c r="L95" s="5"/>
      <c r="M95" s="5"/>
      <c r="N95" s="5"/>
      <c r="O95" s="138">
        <f>'Sys Admin Calculation Y2'!AE22</f>
        <v>0</v>
      </c>
      <c r="P95" s="5"/>
      <c r="Q95" s="133"/>
      <c r="R95" s="5"/>
      <c r="S95" s="139"/>
      <c r="T95" s="5"/>
      <c r="U95" s="138">
        <f>'Sys Admin Calculation Y3'!AE22</f>
        <v>0</v>
      </c>
      <c r="V95" s="5"/>
      <c r="W95" s="5"/>
      <c r="X95" s="5"/>
      <c r="Y95" s="139"/>
      <c r="Z95" s="5"/>
      <c r="AA95" s="138">
        <f>'Sys Admin Calculation Y4'!AE22</f>
        <v>0</v>
      </c>
      <c r="AB95" s="5"/>
      <c r="AC95" s="5"/>
      <c r="AD95" s="5"/>
      <c r="AE95" s="139"/>
      <c r="AF95" s="5"/>
      <c r="AG95" s="138">
        <f>'Sys Admin Calculation Y5'!AE22</f>
        <v>0</v>
      </c>
      <c r="AH95" s="5"/>
      <c r="AI95" s="5"/>
    </row>
    <row r="96" spans="1:35">
      <c r="A96" s="5" t="str">
        <f t="shared" ref="A96:A109" si="14">D44</f>
        <v>New Project 2</v>
      </c>
      <c r="B96" s="5"/>
      <c r="C96" s="5"/>
      <c r="D96" s="141">
        <v>0</v>
      </c>
      <c r="E96" s="5"/>
      <c r="F96" s="5"/>
      <c r="G96" s="5"/>
      <c r="H96" s="5"/>
      <c r="I96" s="138">
        <f>'Sys Admin Calculation'!AE23</f>
        <v>0</v>
      </c>
      <c r="J96" s="5"/>
      <c r="K96" s="5"/>
      <c r="L96" s="5"/>
      <c r="M96" s="5"/>
      <c r="N96" s="5"/>
      <c r="O96" s="138">
        <f>'Sys Admin Calculation Y2'!AE23</f>
        <v>0</v>
      </c>
      <c r="P96" s="5"/>
      <c r="Q96" s="133"/>
      <c r="R96" s="5"/>
      <c r="S96" s="139"/>
      <c r="T96" s="5"/>
      <c r="U96" s="138">
        <f>'Sys Admin Calculation Y3'!AE23</f>
        <v>0</v>
      </c>
      <c r="V96" s="5"/>
      <c r="W96" s="5"/>
      <c r="X96" s="5"/>
      <c r="Y96" s="139"/>
      <c r="Z96" s="5"/>
      <c r="AA96" s="138">
        <f>'Sys Admin Calculation Y4'!AE23</f>
        <v>0</v>
      </c>
      <c r="AB96" s="5"/>
      <c r="AC96" s="5"/>
      <c r="AD96" s="5"/>
      <c r="AE96" s="139"/>
      <c r="AF96" s="5"/>
      <c r="AG96" s="138">
        <f>'Sys Admin Calculation Y5'!AE23</f>
        <v>0</v>
      </c>
      <c r="AH96" s="5"/>
      <c r="AI96" s="5"/>
    </row>
    <row r="97" spans="1:35">
      <c r="A97" s="5" t="str">
        <f t="shared" si="14"/>
        <v>New Project 3</v>
      </c>
      <c r="B97" s="5"/>
      <c r="C97" s="5"/>
      <c r="D97" s="141">
        <v>0</v>
      </c>
      <c r="E97" s="5"/>
      <c r="F97" s="5"/>
      <c r="G97" s="5"/>
      <c r="H97" s="5"/>
      <c r="I97" s="138">
        <f>'Sys Admin Calculation'!AE24</f>
        <v>0</v>
      </c>
      <c r="J97" s="5"/>
      <c r="K97" s="5"/>
      <c r="L97" s="5"/>
      <c r="M97" s="5"/>
      <c r="N97" s="5"/>
      <c r="O97" s="138">
        <f>'Sys Admin Calculation Y2'!AE24</f>
        <v>0</v>
      </c>
      <c r="P97" s="5"/>
      <c r="Q97" s="133"/>
      <c r="R97" s="5"/>
      <c r="S97" s="139"/>
      <c r="T97" s="5"/>
      <c r="U97" s="138">
        <f>'Sys Admin Calculation Y3'!AE24</f>
        <v>0</v>
      </c>
      <c r="V97" s="5"/>
      <c r="W97" s="5"/>
      <c r="X97" s="5"/>
      <c r="Y97" s="139"/>
      <c r="Z97" s="5"/>
      <c r="AA97" s="138">
        <f>'Sys Admin Calculation Y4'!AE24</f>
        <v>0</v>
      </c>
      <c r="AB97" s="5"/>
      <c r="AC97" s="5"/>
      <c r="AD97" s="5"/>
      <c r="AE97" s="139"/>
      <c r="AF97" s="5"/>
      <c r="AG97" s="138">
        <f>'Sys Admin Calculation Y5'!AE24</f>
        <v>0</v>
      </c>
      <c r="AH97" s="5"/>
      <c r="AI97" s="5"/>
    </row>
    <row r="98" spans="1:35">
      <c r="A98" s="5" t="str">
        <f t="shared" si="14"/>
        <v>New Project 4</v>
      </c>
      <c r="B98" s="5"/>
      <c r="C98" s="5"/>
      <c r="D98" s="141">
        <v>0</v>
      </c>
      <c r="E98" s="5"/>
      <c r="F98" s="5"/>
      <c r="G98" s="5"/>
      <c r="H98" s="5"/>
      <c r="I98" s="138">
        <f>'Sys Admin Calculation'!AE25</f>
        <v>0</v>
      </c>
      <c r="J98" s="5"/>
      <c r="K98" s="5"/>
      <c r="L98" s="5"/>
      <c r="M98" s="5"/>
      <c r="N98" s="5"/>
      <c r="O98" s="138">
        <f>'Sys Admin Calculation Y2'!AE25</f>
        <v>0</v>
      </c>
      <c r="P98" s="5"/>
      <c r="Q98" s="133"/>
      <c r="R98" s="5"/>
      <c r="S98" s="139"/>
      <c r="T98" s="5"/>
      <c r="U98" s="138">
        <f>'Sys Admin Calculation Y3'!AE25</f>
        <v>0</v>
      </c>
      <c r="V98" s="5"/>
      <c r="W98" s="5"/>
      <c r="X98" s="5"/>
      <c r="Y98" s="139"/>
      <c r="Z98" s="5"/>
      <c r="AA98" s="138">
        <f>'Sys Admin Calculation Y4'!AE25</f>
        <v>0</v>
      </c>
      <c r="AB98" s="5"/>
      <c r="AC98" s="5"/>
      <c r="AD98" s="5"/>
      <c r="AE98" s="139"/>
      <c r="AF98" s="5"/>
      <c r="AG98" s="138">
        <f>'Sys Admin Calculation Y5'!AE25</f>
        <v>0</v>
      </c>
      <c r="AH98" s="5"/>
      <c r="AI98" s="5"/>
    </row>
    <row r="99" spans="1:35">
      <c r="A99" s="5" t="str">
        <f t="shared" si="14"/>
        <v>New Project 5</v>
      </c>
      <c r="B99" s="5"/>
      <c r="C99" s="5"/>
      <c r="D99" s="141">
        <v>0</v>
      </c>
      <c r="E99" s="5"/>
      <c r="F99" s="5"/>
      <c r="G99" s="5"/>
      <c r="H99" s="5"/>
      <c r="I99" s="138">
        <f>'Sys Admin Calculation'!AE26</f>
        <v>0</v>
      </c>
      <c r="J99" s="5"/>
      <c r="K99" s="5"/>
      <c r="L99" s="5"/>
      <c r="M99" s="5"/>
      <c r="N99" s="5"/>
      <c r="O99" s="138">
        <f>'Sys Admin Calculation Y2'!AE26</f>
        <v>0</v>
      </c>
      <c r="P99" s="5"/>
      <c r="Q99" s="133"/>
      <c r="R99" s="5"/>
      <c r="S99" s="139"/>
      <c r="T99" s="5"/>
      <c r="U99" s="138">
        <f>'Sys Admin Calculation Y3'!AE26</f>
        <v>0</v>
      </c>
      <c r="V99" s="5"/>
      <c r="W99" s="5"/>
      <c r="X99" s="5"/>
      <c r="Y99" s="139"/>
      <c r="Z99" s="5"/>
      <c r="AA99" s="138">
        <f>'Sys Admin Calculation Y4'!AE26</f>
        <v>0</v>
      </c>
      <c r="AB99" s="5"/>
      <c r="AC99" s="5"/>
      <c r="AD99" s="5"/>
      <c r="AE99" s="139"/>
      <c r="AF99" s="5"/>
      <c r="AG99" s="138">
        <f>'Sys Admin Calculation Y5'!AE26</f>
        <v>0</v>
      </c>
      <c r="AH99" s="5"/>
      <c r="AI99" s="5"/>
    </row>
    <row r="100" spans="1:35">
      <c r="A100" s="5" t="str">
        <f t="shared" si="14"/>
        <v>New Project 6</v>
      </c>
      <c r="B100" s="5"/>
      <c r="C100" s="5"/>
      <c r="D100" s="141">
        <v>0</v>
      </c>
      <c r="E100" s="5"/>
      <c r="F100" s="5"/>
      <c r="G100" s="5"/>
      <c r="H100" s="5"/>
      <c r="I100" s="138">
        <f>'Sys Admin Calculation'!AE27</f>
        <v>0</v>
      </c>
      <c r="J100" s="5"/>
      <c r="K100" s="5"/>
      <c r="L100" s="5"/>
      <c r="M100" s="5"/>
      <c r="N100" s="5"/>
      <c r="O100" s="138">
        <f>'Sys Admin Calculation Y2'!AE27</f>
        <v>0</v>
      </c>
      <c r="P100" s="5"/>
      <c r="Q100" s="133"/>
      <c r="R100" s="5"/>
      <c r="S100" s="139"/>
      <c r="T100" s="5"/>
      <c r="U100" s="138">
        <f>'Sys Admin Calculation Y3'!AE27</f>
        <v>0</v>
      </c>
      <c r="V100" s="5"/>
      <c r="W100" s="5"/>
      <c r="X100" s="5"/>
      <c r="Y100" s="139"/>
      <c r="Z100" s="5"/>
      <c r="AA100" s="138">
        <f>'Sys Admin Calculation Y4'!AE27</f>
        <v>0</v>
      </c>
      <c r="AB100" s="5"/>
      <c r="AC100" s="5"/>
      <c r="AD100" s="5"/>
      <c r="AE100" s="139"/>
      <c r="AF100" s="5"/>
      <c r="AG100" s="138">
        <f>'Sys Admin Calculation Y5'!AE27</f>
        <v>0</v>
      </c>
      <c r="AH100" s="5"/>
      <c r="AI100" s="5"/>
    </row>
    <row r="101" spans="1:35">
      <c r="A101" s="5" t="str">
        <f t="shared" si="14"/>
        <v>New Project 7</v>
      </c>
      <c r="B101" s="5"/>
      <c r="C101" s="5"/>
      <c r="D101" s="141">
        <v>0</v>
      </c>
      <c r="E101" s="5"/>
      <c r="F101" s="5"/>
      <c r="G101" s="5"/>
      <c r="H101" s="5"/>
      <c r="I101" s="138">
        <f>'Sys Admin Calculation'!AE28</f>
        <v>0</v>
      </c>
      <c r="J101" s="5"/>
      <c r="K101" s="5"/>
      <c r="L101" s="5"/>
      <c r="M101" s="5"/>
      <c r="N101" s="5"/>
      <c r="O101" s="138">
        <f>'Sys Admin Calculation Y2'!AE28</f>
        <v>0</v>
      </c>
      <c r="P101" s="5"/>
      <c r="Q101" s="133"/>
      <c r="R101" s="5"/>
      <c r="S101" s="139"/>
      <c r="T101" s="5"/>
      <c r="U101" s="138">
        <f>'Sys Admin Calculation Y3'!AE28</f>
        <v>0</v>
      </c>
      <c r="V101" s="5"/>
      <c r="W101" s="5"/>
      <c r="X101" s="5"/>
      <c r="Y101" s="139"/>
      <c r="Z101" s="5"/>
      <c r="AA101" s="138">
        <f>'Sys Admin Calculation Y4'!AE28</f>
        <v>0</v>
      </c>
      <c r="AB101" s="5"/>
      <c r="AC101" s="5"/>
      <c r="AD101" s="5"/>
      <c r="AE101" s="139"/>
      <c r="AF101" s="5"/>
      <c r="AG101" s="138">
        <f>'Sys Admin Calculation Y5'!AE28</f>
        <v>0</v>
      </c>
      <c r="AH101" s="5"/>
      <c r="AI101" s="5"/>
    </row>
    <row r="102" spans="1:35">
      <c r="A102" s="5" t="str">
        <f t="shared" si="14"/>
        <v>New Project 8</v>
      </c>
      <c r="B102" s="5"/>
      <c r="C102" s="5"/>
      <c r="D102" s="141">
        <v>0</v>
      </c>
      <c r="E102" s="5"/>
      <c r="F102" s="5"/>
      <c r="G102" s="5"/>
      <c r="H102" s="5"/>
      <c r="I102" s="138">
        <f>'Sys Admin Calculation'!AE29</f>
        <v>0</v>
      </c>
      <c r="J102" s="5"/>
      <c r="K102" s="5"/>
      <c r="L102" s="5"/>
      <c r="M102" s="5"/>
      <c r="N102" s="5"/>
      <c r="O102" s="138">
        <f>'Sys Admin Calculation Y2'!AE29</f>
        <v>0</v>
      </c>
      <c r="P102" s="5"/>
      <c r="Q102" s="133"/>
      <c r="R102" s="5"/>
      <c r="S102" s="139"/>
      <c r="T102" s="5"/>
      <c r="U102" s="138">
        <f>'Sys Admin Calculation Y3'!AE29</f>
        <v>0</v>
      </c>
      <c r="V102" s="5"/>
      <c r="W102" s="5"/>
      <c r="X102" s="5"/>
      <c r="Y102" s="139"/>
      <c r="Z102" s="5"/>
      <c r="AA102" s="138">
        <f>'Sys Admin Calculation Y4'!AE29</f>
        <v>0</v>
      </c>
      <c r="AB102" s="5"/>
      <c r="AC102" s="5"/>
      <c r="AD102" s="5"/>
      <c r="AE102" s="139"/>
      <c r="AF102" s="5"/>
      <c r="AG102" s="138">
        <f>'Sys Admin Calculation Y5'!AE29</f>
        <v>0</v>
      </c>
      <c r="AH102" s="5"/>
      <c r="AI102" s="5"/>
    </row>
    <row r="103" spans="1:35">
      <c r="A103" s="5" t="str">
        <f t="shared" si="14"/>
        <v>New Project 9</v>
      </c>
      <c r="B103" s="5"/>
      <c r="C103" s="5"/>
      <c r="D103" s="141">
        <v>0</v>
      </c>
      <c r="E103" s="5"/>
      <c r="F103" s="5"/>
      <c r="G103" s="5"/>
      <c r="H103" s="5"/>
      <c r="I103" s="138">
        <f>'Sys Admin Calculation'!AE30</f>
        <v>0</v>
      </c>
      <c r="J103" s="5"/>
      <c r="K103" s="5"/>
      <c r="L103" s="5"/>
      <c r="M103" s="5"/>
      <c r="N103" s="5"/>
      <c r="O103" s="138">
        <f>'Sys Admin Calculation Y2'!AE30</f>
        <v>0</v>
      </c>
      <c r="P103" s="5"/>
      <c r="Q103" s="133"/>
      <c r="R103" s="5"/>
      <c r="S103" s="139"/>
      <c r="T103" s="5"/>
      <c r="U103" s="138">
        <f>'Sys Admin Calculation Y3'!AE30</f>
        <v>0</v>
      </c>
      <c r="V103" s="5"/>
      <c r="W103" s="5"/>
      <c r="X103" s="5"/>
      <c r="Y103" s="139"/>
      <c r="Z103" s="5"/>
      <c r="AA103" s="138">
        <f>'Sys Admin Calculation Y4'!AE30</f>
        <v>0</v>
      </c>
      <c r="AB103" s="5"/>
      <c r="AC103" s="5"/>
      <c r="AD103" s="5"/>
      <c r="AE103" s="139"/>
      <c r="AF103" s="5"/>
      <c r="AG103" s="138">
        <f>'Sys Admin Calculation Y5'!AE30</f>
        <v>0</v>
      </c>
      <c r="AH103" s="5"/>
      <c r="AI103" s="5"/>
    </row>
    <row r="104" spans="1:35">
      <c r="A104" s="5" t="str">
        <f t="shared" si="14"/>
        <v>New Project 10</v>
      </c>
      <c r="B104" s="5"/>
      <c r="C104" s="5"/>
      <c r="D104" s="141">
        <v>0</v>
      </c>
      <c r="E104" s="5"/>
      <c r="F104" s="5"/>
      <c r="G104" s="5"/>
      <c r="H104" s="5"/>
      <c r="I104" s="138">
        <f>'Sys Admin Calculation'!AE31</f>
        <v>0</v>
      </c>
      <c r="J104" s="5"/>
      <c r="K104" s="5"/>
      <c r="L104" s="5"/>
      <c r="M104" s="5"/>
      <c r="N104" s="5"/>
      <c r="O104" s="138">
        <f>'Sys Admin Calculation Y2'!AE31</f>
        <v>0</v>
      </c>
      <c r="P104" s="5"/>
      <c r="Q104" s="133"/>
      <c r="R104" s="5"/>
      <c r="S104" s="139"/>
      <c r="T104" s="5"/>
      <c r="U104" s="138">
        <f>'Sys Admin Calculation Y3'!AE31</f>
        <v>0</v>
      </c>
      <c r="V104" s="5"/>
      <c r="W104" s="5"/>
      <c r="X104" s="5"/>
      <c r="Y104" s="139"/>
      <c r="Z104" s="5"/>
      <c r="AA104" s="138">
        <f>'Sys Admin Calculation Y4'!AE31</f>
        <v>0</v>
      </c>
      <c r="AB104" s="5"/>
      <c r="AC104" s="5"/>
      <c r="AD104" s="5"/>
      <c r="AE104" s="139"/>
      <c r="AF104" s="5"/>
      <c r="AG104" s="138">
        <f>'Sys Admin Calculation Y5'!AE31</f>
        <v>0</v>
      </c>
      <c r="AH104" s="5"/>
      <c r="AI104" s="5"/>
    </row>
    <row r="105" spans="1:35">
      <c r="A105" s="5" t="str">
        <f t="shared" si="14"/>
        <v>New Project 11</v>
      </c>
      <c r="B105" s="5"/>
      <c r="C105" s="5"/>
      <c r="D105" s="141">
        <v>0</v>
      </c>
      <c r="E105" s="5"/>
      <c r="F105" s="5"/>
      <c r="G105" s="5"/>
      <c r="H105" s="5"/>
      <c r="I105" s="138">
        <f>'Sys Admin Calculation'!AE32</f>
        <v>0</v>
      </c>
      <c r="J105" s="5"/>
      <c r="K105" s="5"/>
      <c r="L105" s="5"/>
      <c r="M105" s="5"/>
      <c r="N105" s="5"/>
      <c r="O105" s="138">
        <f>'Sys Admin Calculation Y2'!AE32</f>
        <v>0</v>
      </c>
      <c r="P105" s="5"/>
      <c r="Q105" s="133"/>
      <c r="R105" s="5"/>
      <c r="S105" s="139"/>
      <c r="T105" s="5"/>
      <c r="U105" s="138">
        <f>'Sys Admin Calculation Y3'!AE32</f>
        <v>0</v>
      </c>
      <c r="V105" s="5"/>
      <c r="W105" s="5"/>
      <c r="X105" s="5"/>
      <c r="Y105" s="139"/>
      <c r="Z105" s="5"/>
      <c r="AA105" s="138">
        <f>'Sys Admin Calculation Y4'!AE32</f>
        <v>0</v>
      </c>
      <c r="AB105" s="5"/>
      <c r="AC105" s="5"/>
      <c r="AD105" s="5"/>
      <c r="AE105" s="139"/>
      <c r="AF105" s="5"/>
      <c r="AG105" s="138">
        <f>'Sys Admin Calculation Y5'!AE32</f>
        <v>0</v>
      </c>
      <c r="AH105" s="5"/>
      <c r="AI105" s="5"/>
    </row>
    <row r="106" spans="1:35">
      <c r="A106" s="5" t="str">
        <f t="shared" si="14"/>
        <v>New Project 12</v>
      </c>
      <c r="B106" s="5"/>
      <c r="C106" s="5"/>
      <c r="D106" s="141">
        <v>0</v>
      </c>
      <c r="E106" s="5"/>
      <c r="F106" s="5"/>
      <c r="G106" s="5"/>
      <c r="H106" s="5"/>
      <c r="I106" s="138">
        <f>'Sys Admin Calculation'!AE33</f>
        <v>0</v>
      </c>
      <c r="J106" s="5"/>
      <c r="K106" s="5"/>
      <c r="L106" s="5"/>
      <c r="M106" s="5"/>
      <c r="N106" s="5"/>
      <c r="O106" s="138">
        <f>'Sys Admin Calculation Y2'!AE33</f>
        <v>0</v>
      </c>
      <c r="P106" s="5"/>
      <c r="Q106" s="133"/>
      <c r="R106" s="5"/>
      <c r="S106" s="139"/>
      <c r="T106" s="5"/>
      <c r="U106" s="138">
        <f>'Sys Admin Calculation Y3'!AE33</f>
        <v>0</v>
      </c>
      <c r="V106" s="5"/>
      <c r="W106" s="5"/>
      <c r="X106" s="5"/>
      <c r="Y106" s="139"/>
      <c r="Z106" s="5"/>
      <c r="AA106" s="138">
        <f>'Sys Admin Calculation Y4'!AE33</f>
        <v>0</v>
      </c>
      <c r="AB106" s="5"/>
      <c r="AC106" s="5"/>
      <c r="AD106" s="5"/>
      <c r="AE106" s="139"/>
      <c r="AF106" s="5"/>
      <c r="AG106" s="138">
        <f>'Sys Admin Calculation Y5'!AE33</f>
        <v>0</v>
      </c>
      <c r="AH106" s="5"/>
      <c r="AI106" s="5"/>
    </row>
    <row r="107" spans="1:35">
      <c r="A107" s="5" t="str">
        <f t="shared" si="14"/>
        <v>New Project 13</v>
      </c>
      <c r="B107" s="5"/>
      <c r="C107" s="5"/>
      <c r="D107" s="141">
        <v>0</v>
      </c>
      <c r="E107" s="5"/>
      <c r="F107" s="5"/>
      <c r="G107" s="5"/>
      <c r="H107" s="5"/>
      <c r="I107" s="138">
        <f>'Sys Admin Calculation'!AE34</f>
        <v>0</v>
      </c>
      <c r="J107" s="5"/>
      <c r="K107" s="5"/>
      <c r="L107" s="5"/>
      <c r="M107" s="5"/>
      <c r="N107" s="5"/>
      <c r="O107" s="138">
        <f>'Sys Admin Calculation Y2'!AE34</f>
        <v>0</v>
      </c>
      <c r="P107" s="5"/>
      <c r="Q107" s="133"/>
      <c r="R107" s="5"/>
      <c r="S107" s="139"/>
      <c r="T107" s="5"/>
      <c r="U107" s="138">
        <f>'Sys Admin Calculation Y3'!AE34</f>
        <v>0</v>
      </c>
      <c r="V107" s="5"/>
      <c r="W107" s="5"/>
      <c r="X107" s="5"/>
      <c r="Y107" s="139"/>
      <c r="Z107" s="5"/>
      <c r="AA107" s="138">
        <f>'Sys Admin Calculation Y4'!AE34</f>
        <v>0</v>
      </c>
      <c r="AB107" s="5"/>
      <c r="AC107" s="5"/>
      <c r="AD107" s="5"/>
      <c r="AE107" s="139"/>
      <c r="AF107" s="5"/>
      <c r="AG107" s="138">
        <f>'Sys Admin Calculation Y5'!AE34</f>
        <v>0</v>
      </c>
      <c r="AH107" s="5"/>
      <c r="AI107" s="5"/>
    </row>
    <row r="108" spans="1:35">
      <c r="A108" s="5" t="str">
        <f t="shared" si="14"/>
        <v>New Project 14</v>
      </c>
      <c r="B108" s="5"/>
      <c r="C108" s="5"/>
      <c r="D108" s="141">
        <v>0</v>
      </c>
      <c r="E108" s="5"/>
      <c r="F108" s="5"/>
      <c r="G108" s="5"/>
      <c r="H108" s="5"/>
      <c r="I108" s="138">
        <f>'Sys Admin Calculation'!AE35</f>
        <v>0</v>
      </c>
      <c r="J108" s="5"/>
      <c r="K108" s="5"/>
      <c r="L108" s="5"/>
      <c r="M108" s="5"/>
      <c r="N108" s="5"/>
      <c r="O108" s="138">
        <f>'Sys Admin Calculation Y2'!AE35</f>
        <v>0</v>
      </c>
      <c r="P108" s="5"/>
      <c r="Q108" s="133"/>
      <c r="R108" s="5"/>
      <c r="S108" s="139"/>
      <c r="T108" s="5"/>
      <c r="U108" s="138">
        <f>'Sys Admin Calculation Y3'!AE35</f>
        <v>0</v>
      </c>
      <c r="V108" s="5"/>
      <c r="W108" s="5"/>
      <c r="X108" s="5"/>
      <c r="Y108" s="139"/>
      <c r="Z108" s="5"/>
      <c r="AA108" s="138">
        <f>'Sys Admin Calculation Y4'!AE35</f>
        <v>0</v>
      </c>
      <c r="AB108" s="5"/>
      <c r="AC108" s="5"/>
      <c r="AD108" s="5"/>
      <c r="AE108" s="139"/>
      <c r="AF108" s="5"/>
      <c r="AG108" s="138">
        <f>'Sys Admin Calculation Y5'!AE35</f>
        <v>0</v>
      </c>
      <c r="AH108" s="5"/>
      <c r="AI108" s="5"/>
    </row>
    <row r="109" spans="1:35">
      <c r="A109" s="5" t="str">
        <f t="shared" si="14"/>
        <v>New Project 15</v>
      </c>
      <c r="B109" s="5"/>
      <c r="C109" s="5"/>
      <c r="D109" s="141">
        <v>0</v>
      </c>
      <c r="E109" s="5"/>
      <c r="F109" s="5"/>
      <c r="G109" s="5"/>
      <c r="H109" s="5"/>
      <c r="I109" s="138">
        <f>'Sys Admin Calculation'!AE36</f>
        <v>0</v>
      </c>
      <c r="J109" s="5"/>
      <c r="K109" s="5"/>
      <c r="L109" s="5"/>
      <c r="M109" s="5"/>
      <c r="N109" s="5"/>
      <c r="O109" s="138">
        <f>'Sys Admin Calculation Y2'!AE36</f>
        <v>0</v>
      </c>
      <c r="P109" s="5"/>
      <c r="Q109" s="133"/>
      <c r="R109" s="5"/>
      <c r="S109" s="139"/>
      <c r="T109" s="5"/>
      <c r="U109" s="138">
        <f>'Sys Admin Calculation Y3'!AE36</f>
        <v>0</v>
      </c>
      <c r="V109" s="5"/>
      <c r="W109" s="5"/>
      <c r="X109" s="5"/>
      <c r="Y109" s="139"/>
      <c r="Z109" s="5"/>
      <c r="AA109" s="138">
        <f>'Sys Admin Calculation Y4'!AE36</f>
        <v>0</v>
      </c>
      <c r="AB109" s="5"/>
      <c r="AC109" s="5"/>
      <c r="AD109" s="5"/>
      <c r="AE109" s="139"/>
      <c r="AF109" s="5"/>
      <c r="AG109" s="138">
        <f>'Sys Admin Calculation Y5'!AE36</f>
        <v>0</v>
      </c>
      <c r="AH109" s="5"/>
      <c r="AI109" s="5"/>
    </row>
    <row r="110" spans="1:35">
      <c r="A110" s="5" t="s">
        <v>641</v>
      </c>
      <c r="B110" s="5"/>
      <c r="C110" s="5"/>
      <c r="D110" s="142">
        <f>D69-(SUM('Sys Admin Calculation'!H5:H21)*12)</f>
        <v>284177.64000000013</v>
      </c>
      <c r="E110" s="5"/>
      <c r="F110" s="5"/>
      <c r="G110" s="5"/>
      <c r="H110" s="5"/>
      <c r="I110" s="139">
        <f>I69-'Sys Admin Calculation'!AB37-'Sys Admin Calculation'!AC37</f>
        <v>348891.35999999987</v>
      </c>
      <c r="J110" s="5"/>
      <c r="K110" s="5"/>
      <c r="L110" s="5"/>
      <c r="M110" s="5"/>
      <c r="N110" s="5"/>
      <c r="O110" s="139">
        <f>O69-'Sys Admin Calculation Y2'!AB37-'Sys Admin Calculation Y2'!AC37</f>
        <v>359358.10079999978</v>
      </c>
      <c r="P110" s="5"/>
      <c r="Q110" s="133"/>
      <c r="R110" s="5"/>
      <c r="S110" s="5"/>
      <c r="T110" s="5"/>
      <c r="U110" s="139">
        <f>U69-'Sys Admin Calculation Y3'!AB37-'Sys Admin Calculation Y3'!AC37</f>
        <v>369824.84160000004</v>
      </c>
      <c r="V110" s="5"/>
      <c r="W110" s="5"/>
      <c r="X110" s="5"/>
      <c r="Y110" s="5"/>
      <c r="Z110" s="5"/>
      <c r="AA110" s="139">
        <f>AA69-'Sys Admin Calculation Y4'!AB37-'Sys Admin Calculation Y4'!AC37</f>
        <v>380291.58240000007</v>
      </c>
      <c r="AB110" s="5"/>
      <c r="AC110" s="5"/>
      <c r="AD110" s="5"/>
      <c r="AE110" s="5"/>
      <c r="AF110" s="5"/>
      <c r="AG110" s="139">
        <f>AG69-'Sys Admin Calculation Y5'!AB37-'Sys Admin Calculation Y5'!AC37</f>
        <v>390758.32320000022</v>
      </c>
      <c r="AH110" s="5"/>
      <c r="AI110" s="5"/>
    </row>
    <row r="111" spans="1:35">
      <c r="A111" s="5" t="s">
        <v>467</v>
      </c>
      <c r="B111" s="5"/>
      <c r="C111" s="5"/>
      <c r="D111" s="142">
        <f>D71-(SUM('Sys Admin Calculation'!I5:I21)*12)</f>
        <v>24341.668199999986</v>
      </c>
      <c r="E111" s="5"/>
      <c r="F111" s="5"/>
      <c r="G111" s="5"/>
      <c r="H111" s="5"/>
      <c r="I111" s="139">
        <f>I71-'Sys Admin Calculation'!AD37</f>
        <v>35701.113359999959</v>
      </c>
      <c r="J111" s="5"/>
      <c r="K111" s="5"/>
      <c r="L111" s="5"/>
      <c r="M111" s="5"/>
      <c r="N111" s="5"/>
      <c r="O111" s="139">
        <f>O71-'Sys Admin Calculation Y2'!AD37</f>
        <v>38946.669119999977</v>
      </c>
      <c r="P111" s="5"/>
      <c r="Q111" s="133"/>
      <c r="R111" s="5"/>
      <c r="S111" s="5"/>
      <c r="T111" s="5"/>
      <c r="U111" s="139">
        <f>U71-'Sys Admin Calculation Y3'!AD37</f>
        <v>42192.224880000023</v>
      </c>
      <c r="V111" s="5"/>
      <c r="W111" s="5"/>
      <c r="X111" s="5"/>
      <c r="Y111" s="5"/>
      <c r="Z111" s="5"/>
      <c r="AA111" s="139">
        <f>AA71-'Sys Admin Calculation Y4'!AD37</f>
        <v>45437.780640000041</v>
      </c>
      <c r="AB111" s="5"/>
      <c r="AC111" s="5"/>
      <c r="AD111" s="5"/>
      <c r="AE111" s="5"/>
      <c r="AF111" s="5"/>
      <c r="AG111" s="139">
        <f>AG71-'Sys Admin Calculation Y5'!AD37</f>
        <v>48683.3364</v>
      </c>
      <c r="AH111" s="5"/>
      <c r="AI111" s="5"/>
    </row>
    <row r="112" spans="1:35">
      <c r="A112" s="5"/>
      <c r="B112" s="5"/>
      <c r="C112" s="5"/>
      <c r="D112" s="142"/>
      <c r="E112" s="5"/>
      <c r="F112" s="5"/>
      <c r="G112" s="5"/>
      <c r="H112" s="5"/>
      <c r="I112" s="139"/>
      <c r="J112" s="5"/>
      <c r="K112" s="5"/>
      <c r="L112" s="5"/>
      <c r="M112" s="5"/>
      <c r="N112" s="5"/>
      <c r="O112" s="139"/>
      <c r="P112" s="5"/>
      <c r="Q112" s="133"/>
      <c r="R112" s="5"/>
      <c r="S112" s="5"/>
      <c r="T112" s="5"/>
      <c r="U112" s="139"/>
      <c r="V112" s="5"/>
      <c r="W112" s="5"/>
      <c r="X112" s="5"/>
      <c r="Y112" s="5"/>
      <c r="Z112" s="5"/>
      <c r="AA112" s="139"/>
      <c r="AB112" s="5"/>
      <c r="AC112" s="5"/>
      <c r="AD112" s="5"/>
      <c r="AE112" s="5"/>
      <c r="AF112" s="5"/>
      <c r="AG112" s="139"/>
      <c r="AH112" s="5"/>
      <c r="AI112" s="5"/>
    </row>
    <row r="113" spans="1:35">
      <c r="A113" s="5" t="s">
        <v>40</v>
      </c>
      <c r="B113" s="5"/>
      <c r="C113" s="5"/>
      <c r="D113" s="143">
        <f>SUM(D78:D109)+D110+D111</f>
        <v>1309134.588</v>
      </c>
      <c r="E113" s="5"/>
      <c r="F113" s="5"/>
      <c r="G113" s="5"/>
      <c r="H113" s="5"/>
      <c r="I113" s="140">
        <f>SUM(I78:I109)+I110+I111</f>
        <v>2225659.7267999998</v>
      </c>
      <c r="J113" s="5"/>
      <c r="K113" s="5"/>
      <c r="L113" s="5"/>
      <c r="M113" s="5"/>
      <c r="N113" s="5"/>
      <c r="O113" s="140">
        <f>SUM(O78:O109)+O110+O111</f>
        <v>1674502.4815999998</v>
      </c>
      <c r="P113" s="5"/>
      <c r="Q113" s="5"/>
      <c r="R113" s="5"/>
      <c r="S113" s="5"/>
      <c r="T113" s="5"/>
      <c r="U113" s="140">
        <f>SUM(U78:U109)+U110+U111</f>
        <v>1727630.3659999999</v>
      </c>
      <c r="V113" s="5"/>
      <c r="W113" s="5"/>
      <c r="X113" s="5"/>
      <c r="Y113" s="5"/>
      <c r="Z113" s="5"/>
      <c r="AA113" s="140">
        <f>SUM(AA78:AA109)+AA110+AA111</f>
        <v>1781071.8929599999</v>
      </c>
      <c r="AB113" s="5"/>
      <c r="AC113" s="5"/>
      <c r="AD113" s="5"/>
      <c r="AE113" s="5"/>
      <c r="AF113" s="5"/>
      <c r="AG113" s="140">
        <f>SUM(AG78:AG109)+AG110+AG111</f>
        <v>1834858.4267360002</v>
      </c>
      <c r="AH113" s="5"/>
      <c r="AI113" s="5"/>
    </row>
    <row r="114" spans="1:35">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row>
    <row r="115" spans="1:35">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row>
    <row r="116" spans="1:35">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row>
    <row r="117" spans="1:35">
      <c r="A117" s="181" t="s">
        <v>468</v>
      </c>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row>
    <row r="118" spans="1: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row>
    <row r="119" spans="1: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row>
    <row r="120" spans="1: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row>
    <row r="121" spans="1: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row>
    <row r="122" spans="1: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row>
    <row r="123" spans="1: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row>
  </sheetData>
  <mergeCells count="5">
    <mergeCell ref="A61:W61"/>
    <mergeCell ref="A7:W7"/>
    <mergeCell ref="A1:B3"/>
    <mergeCell ref="D1:W5"/>
    <mergeCell ref="B47:B53"/>
  </mergeCells>
  <phoneticPr fontId="45" type="noConversion"/>
  <dataValidations xWindow="805" yWindow="431" count="11">
    <dataValidation allowBlank="1" showInputMessage="1" showErrorMessage="1" prompt="This value indicates the total Dev Ops support (FTE) for the SDC projects." sqref="D19" xr:uid="{00000000-0002-0000-0400-000000000000}"/>
    <dataValidation allowBlank="1" showInputMessage="1" showErrorMessage="1" prompt="This value indicates the total Operations and Maintenance support (FTE) for the SDC projects." sqref="D20" xr:uid="{00000000-0002-0000-0400-000001000000}"/>
    <dataValidation allowBlank="1" showInputMessage="1" showErrorMessage="1" prompt="This value indicates the current enablement cost for all the project." sqref="D65" xr:uid="{00000000-0002-0000-0400-000002000000}"/>
    <dataValidation allowBlank="1" showInputMessage="1" showErrorMessage="1" prompt="This value indicates the current cloud consumption cost for all the project." sqref="D67" xr:uid="{00000000-0002-0000-0400-000003000000}"/>
    <dataValidation allowBlank="1" showInputMessage="1" showErrorMessage="1" prompt="This value indicates the current overhead cost for all the project." sqref="D69" xr:uid="{00000000-0002-0000-0400-000004000000}"/>
    <dataValidation allowBlank="1" showInputMessage="1" showErrorMessage="1" prompt="This value indicates the current platform cloud cost for all the project." sqref="D71" xr:uid="{00000000-0002-0000-0400-000005000000}"/>
    <dataValidation allowBlank="1" showInputMessage="1" showErrorMessage="1" prompt="This value indicates the total current cost for all the project." sqref="D73" xr:uid="{00000000-0002-0000-0400-000006000000}"/>
    <dataValidation allowBlank="1" showInputMessage="1" showErrorMessage="1" prompt="This value indicates the current status of the SDC projects, with respect to different phases.  " sqref="D24:D40 D43:D57" xr:uid="{00000000-0002-0000-0400-000007000000}"/>
    <dataValidation allowBlank="1" showInputMessage="1" showErrorMessage="1" prompt="Change level of resources available for SDC Platform related tasks as a fraction of FTEs" sqref="I19" xr:uid="{00000000-0002-0000-0400-000008000000}"/>
    <dataValidation type="whole" allowBlank="1" showInputMessage="1" showErrorMessage="1" prompt="For greater accuracy, indicate which month in the year, the project will transition to a new phase" sqref="K24 Q24 W24 AC24 AI24" xr:uid="{00000000-0002-0000-0400-000009000000}">
      <formula1>1</formula1>
      <formula2>11</formula2>
    </dataValidation>
    <dataValidation allowBlank="1" showInputMessage="1" showErrorMessage="1" prompt="This value indicates the data growth factor per year _x000a_" sqref="D21" xr:uid="{0F8BCF87-534C-4BBC-B061-E3C4984FCABB}"/>
  </dataValidations>
  <hyperlinks>
    <hyperlink ref="A1" location="Intro!A1" display="Back to Intro" xr:uid="{00000000-0004-0000-0400-000000000000}"/>
    <hyperlink ref="B47:B53" location="'Custom ESPO Selection'!A1" display="If 'custom' is being selected =&gt; Click here" xr:uid="{00000000-0004-0000-0400-000001000000}"/>
  </hyperlinks>
  <pageMargins left="0.7" right="0.7" top="0.75" bottom="0.75" header="0.3" footer="0.3"/>
  <pageSetup scale="33"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Results">
                <anchor moveWithCells="1" sizeWithCells="1">
                  <from>
                    <xdr:col>0</xdr:col>
                    <xdr:colOff>504825</xdr:colOff>
                    <xdr:row>3</xdr:row>
                    <xdr:rowOff>76200</xdr:rowOff>
                  </from>
                  <to>
                    <xdr:col>1</xdr:col>
                    <xdr:colOff>952500</xdr:colOff>
                    <xdr:row>4</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805" yWindow="431" count="4">
        <x14:dataValidation type="list" allowBlank="1" showInputMessage="1" showErrorMessage="1" xr:uid="{00000000-0002-0000-0400-00000A000000}">
          <x14:formula1>
            <xm:f>Inputs!$G$3:$G$7</xm:f>
          </x14:formula1>
          <xm:sqref>I43:J57 O43:P57 J24:J40 I25:I40 O24:P40 AG24:AH40 U24:V40 AA43:AB57 AA24:AB40 AG43:AH57 U43:V57</xm:sqref>
        </x14:dataValidation>
        <x14:dataValidation type="list" allowBlank="1" showInputMessage="1" showErrorMessage="1" xr:uid="{00000000-0002-0000-0400-00000B000000}">
          <x14:formula1>
            <xm:f>Inputs!$E$3:$E$6</xm:f>
          </x14:formula1>
          <xm:sqref>AE24:AE40 G43:G57 S24:S40 M24:M40 M43:M57 G24:G40 Y43:Y57 Y24:Y40 AE43:AE57 S43:S57</xm:sqref>
        </x14:dataValidation>
        <x14:dataValidation type="list" allowBlank="1" showInputMessage="1" showErrorMessage="1" prompt="Change project phase for selected project/row. " xr:uid="{00000000-0002-0000-0400-00000C000000}">
          <x14:formula1>
            <xm:f>Inputs!$G$3:$G$7</xm:f>
          </x14:formula1>
          <xm:sqref>I24</xm:sqref>
        </x14:dataValidation>
        <x14:dataValidation type="list" allowBlank="1" showInputMessage="1" showErrorMessage="1" xr:uid="{00000000-0002-0000-0400-00000D000000}">
          <x14:formula1>
            <xm:f>Inputs!$D$3:$D$5</xm:f>
          </x14:formula1>
          <xm:sqref>F43:F57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0000"/>
  </sheetPr>
  <dimension ref="A1:U72"/>
  <sheetViews>
    <sheetView topLeftCell="A34" zoomScale="55" zoomScaleNormal="55" workbookViewId="0">
      <selection activeCell="F54" sqref="F54"/>
    </sheetView>
  </sheetViews>
  <sheetFormatPr defaultColWidth="9" defaultRowHeight="14.25"/>
  <cols>
    <col min="1" max="1" width="65.265625" style="451" customWidth="1"/>
    <col min="2" max="2" width="23" style="451" bestFit="1" customWidth="1"/>
    <col min="3" max="3" width="27.86328125" style="451" customWidth="1"/>
    <col min="4" max="4" width="30.1328125" style="451" customWidth="1"/>
    <col min="5" max="5" width="17.86328125" style="451" customWidth="1"/>
    <col min="6" max="6" width="19.73046875" style="451" customWidth="1"/>
    <col min="7" max="7" width="61.265625" style="451" customWidth="1"/>
    <col min="8" max="8" width="16.59765625" style="451" customWidth="1"/>
    <col min="9" max="9" width="9" style="451"/>
    <col min="10" max="10" width="52.86328125" style="451" customWidth="1"/>
    <col min="11" max="15" width="9" style="451"/>
    <col min="16" max="16" width="9.1328125" style="451" customWidth="1"/>
    <col min="17" max="16384" width="9" style="451"/>
  </cols>
  <sheetData>
    <row r="1" spans="1:21">
      <c r="A1" s="731" t="s">
        <v>1</v>
      </c>
      <c r="B1" s="732" t="s">
        <v>469</v>
      </c>
      <c r="C1" s="732"/>
      <c r="D1" s="732"/>
      <c r="E1" s="732"/>
      <c r="F1" s="732"/>
      <c r="G1" s="732"/>
      <c r="H1" s="732"/>
      <c r="I1" s="732"/>
      <c r="J1" s="732"/>
      <c r="K1" s="732"/>
      <c r="L1" s="732"/>
      <c r="M1" s="732"/>
      <c r="N1" s="732"/>
      <c r="O1" s="732"/>
      <c r="P1" s="732"/>
      <c r="Q1" s="732"/>
      <c r="R1" s="732"/>
      <c r="S1" s="732"/>
      <c r="T1" s="732"/>
      <c r="U1" s="732"/>
    </row>
    <row r="2" spans="1:21">
      <c r="A2" s="731"/>
      <c r="B2" s="732"/>
      <c r="C2" s="732"/>
      <c r="D2" s="732"/>
      <c r="E2" s="732"/>
      <c r="F2" s="732"/>
      <c r="G2" s="732"/>
      <c r="H2" s="732"/>
      <c r="I2" s="732"/>
      <c r="J2" s="732"/>
      <c r="K2" s="732"/>
      <c r="L2" s="732"/>
      <c r="M2" s="732"/>
      <c r="N2" s="732"/>
      <c r="O2" s="732"/>
      <c r="P2" s="732"/>
      <c r="Q2" s="732"/>
      <c r="R2" s="732"/>
      <c r="S2" s="732"/>
      <c r="T2" s="732"/>
      <c r="U2" s="732"/>
    </row>
    <row r="3" spans="1:21">
      <c r="A3" s="731"/>
      <c r="B3" s="732"/>
      <c r="C3" s="732"/>
      <c r="D3" s="732"/>
      <c r="E3" s="732"/>
      <c r="F3" s="732"/>
      <c r="G3" s="732"/>
      <c r="H3" s="732"/>
      <c r="I3" s="732"/>
      <c r="J3" s="732"/>
      <c r="K3" s="732"/>
      <c r="L3" s="732"/>
      <c r="M3" s="732"/>
      <c r="N3" s="732"/>
      <c r="O3" s="732"/>
      <c r="P3" s="732"/>
      <c r="Q3" s="732"/>
      <c r="R3" s="732"/>
      <c r="S3" s="732"/>
      <c r="T3" s="732"/>
      <c r="U3" s="732"/>
    </row>
    <row r="4" spans="1:21">
      <c r="B4" s="732"/>
      <c r="C4" s="732"/>
      <c r="D4" s="732"/>
      <c r="E4" s="732"/>
      <c r="F4" s="732"/>
      <c r="G4" s="732"/>
      <c r="H4" s="732"/>
      <c r="I4" s="732"/>
      <c r="J4" s="732"/>
      <c r="K4" s="732"/>
      <c r="L4" s="732"/>
      <c r="M4" s="732"/>
      <c r="N4" s="732"/>
      <c r="O4" s="732"/>
      <c r="P4" s="732"/>
      <c r="Q4" s="732"/>
      <c r="R4" s="732"/>
      <c r="S4" s="732"/>
      <c r="T4" s="732"/>
      <c r="U4" s="732"/>
    </row>
    <row r="5" spans="1:21">
      <c r="B5" s="732"/>
      <c r="C5" s="732"/>
      <c r="D5" s="732"/>
      <c r="E5" s="732"/>
      <c r="F5" s="732"/>
      <c r="G5" s="732"/>
      <c r="H5" s="732"/>
      <c r="I5" s="732"/>
      <c r="J5" s="732"/>
      <c r="K5" s="732"/>
      <c r="L5" s="732"/>
      <c r="M5" s="732"/>
      <c r="N5" s="732"/>
      <c r="O5" s="732"/>
      <c r="P5" s="732"/>
      <c r="Q5" s="732"/>
      <c r="R5" s="732"/>
      <c r="S5" s="732"/>
      <c r="T5" s="732"/>
      <c r="U5" s="732"/>
    </row>
    <row r="7" spans="1:21">
      <c r="A7" s="452" t="s">
        <v>599</v>
      </c>
      <c r="B7" s="453"/>
    </row>
    <row r="8" spans="1:21" ht="14.65" thickBot="1"/>
    <row r="9" spans="1:21">
      <c r="A9" s="454" t="s">
        <v>29</v>
      </c>
      <c r="B9" s="455"/>
      <c r="C9" s="455"/>
      <c r="D9" s="455"/>
      <c r="E9" s="455"/>
      <c r="F9" s="456"/>
      <c r="G9" s="457"/>
    </row>
    <row r="10" spans="1:21">
      <c r="A10" s="458" t="s">
        <v>79</v>
      </c>
      <c r="B10" s="459" t="s">
        <v>66</v>
      </c>
      <c r="C10" s="459" t="s">
        <v>82</v>
      </c>
      <c r="D10" s="459" t="s">
        <v>103</v>
      </c>
      <c r="E10" s="459" t="s">
        <v>102</v>
      </c>
      <c r="F10" s="460" t="s">
        <v>105</v>
      </c>
      <c r="G10" s="461" t="s">
        <v>60</v>
      </c>
    </row>
    <row r="11" spans="1:21" ht="28.5">
      <c r="A11" s="462" t="s">
        <v>108</v>
      </c>
      <c r="B11" s="463" t="s">
        <v>83</v>
      </c>
      <c r="C11" s="464">
        <v>25000</v>
      </c>
      <c r="D11" s="464">
        <v>5000</v>
      </c>
      <c r="E11" s="464">
        <f>C11+D11</f>
        <v>30000</v>
      </c>
      <c r="F11" s="465" t="s">
        <v>106</v>
      </c>
      <c r="G11" s="466" t="s">
        <v>119</v>
      </c>
    </row>
    <row r="12" spans="1:21" ht="57">
      <c r="A12" s="462" t="s">
        <v>111</v>
      </c>
      <c r="B12" s="463" t="s">
        <v>30</v>
      </c>
      <c r="C12" s="464">
        <v>25000</v>
      </c>
      <c r="D12" s="464">
        <v>3000</v>
      </c>
      <c r="E12" s="464">
        <f>C12+D12</f>
        <v>28000</v>
      </c>
      <c r="F12" s="465" t="s">
        <v>106</v>
      </c>
      <c r="G12" s="466" t="s">
        <v>112</v>
      </c>
    </row>
    <row r="13" spans="1:21" ht="28.5">
      <c r="A13" s="467" t="s">
        <v>104</v>
      </c>
      <c r="B13" s="463" t="s">
        <v>30</v>
      </c>
      <c r="C13" s="464">
        <v>20000</v>
      </c>
      <c r="D13" s="464">
        <v>5000</v>
      </c>
      <c r="E13" s="464">
        <f>C13*2+D13</f>
        <v>45000</v>
      </c>
      <c r="F13" s="465" t="s">
        <v>106</v>
      </c>
      <c r="G13" s="466" t="s">
        <v>134</v>
      </c>
    </row>
    <row r="14" spans="1:21" ht="57">
      <c r="A14" s="467" t="s">
        <v>107</v>
      </c>
      <c r="B14" s="463" t="s">
        <v>8</v>
      </c>
      <c r="C14" s="464">
        <v>20000</v>
      </c>
      <c r="D14" s="464"/>
      <c r="E14" s="463" t="s">
        <v>135</v>
      </c>
      <c r="F14" s="465" t="s">
        <v>106</v>
      </c>
      <c r="G14" s="466" t="s">
        <v>121</v>
      </c>
    </row>
    <row r="15" spans="1:21">
      <c r="A15" s="463" t="s">
        <v>117</v>
      </c>
      <c r="B15" s="463" t="s">
        <v>8</v>
      </c>
      <c r="C15" s="464">
        <v>5000</v>
      </c>
      <c r="D15" s="464"/>
      <c r="E15" s="463" t="s">
        <v>135</v>
      </c>
      <c r="F15" s="463" t="s">
        <v>106</v>
      </c>
      <c r="G15" s="463" t="s">
        <v>123</v>
      </c>
    </row>
    <row r="16" spans="1:21">
      <c r="A16" s="463" t="s">
        <v>130</v>
      </c>
      <c r="B16" s="463"/>
      <c r="C16" s="463"/>
      <c r="D16" s="463"/>
      <c r="E16" s="463"/>
      <c r="F16" s="463"/>
      <c r="G16" s="463"/>
    </row>
    <row r="17" spans="1:7">
      <c r="A17" s="463"/>
      <c r="B17" s="463"/>
      <c r="C17" s="463"/>
      <c r="D17" s="463"/>
      <c r="E17" s="463"/>
      <c r="F17" s="463"/>
      <c r="G17" s="463"/>
    </row>
    <row r="18" spans="1:7">
      <c r="A18" s="468"/>
      <c r="B18" s="468"/>
      <c r="C18" s="468"/>
      <c r="D18" s="468"/>
      <c r="E18" s="468"/>
      <c r="F18" s="468"/>
      <c r="G18" s="468"/>
    </row>
    <row r="19" spans="1:7" ht="14.65" thickBot="1"/>
    <row r="20" spans="1:7">
      <c r="A20" s="454" t="s">
        <v>29</v>
      </c>
      <c r="B20" s="455"/>
      <c r="C20" s="455"/>
      <c r="D20" s="455"/>
      <c r="E20" s="455"/>
      <c r="F20" s="456"/>
      <c r="G20" s="457"/>
    </row>
    <row r="21" spans="1:7">
      <c r="A21" s="458" t="s">
        <v>80</v>
      </c>
      <c r="B21" s="459" t="s">
        <v>66</v>
      </c>
      <c r="C21" s="459" t="s">
        <v>34</v>
      </c>
      <c r="D21" s="459" t="s">
        <v>103</v>
      </c>
      <c r="E21" s="459" t="s">
        <v>102</v>
      </c>
      <c r="F21" s="460" t="s">
        <v>105</v>
      </c>
      <c r="G21" s="461" t="s">
        <v>60</v>
      </c>
    </row>
    <row r="22" spans="1:7">
      <c r="A22" s="469" t="s">
        <v>110</v>
      </c>
      <c r="B22" s="463" t="s">
        <v>83</v>
      </c>
      <c r="C22" s="464">
        <v>15000</v>
      </c>
      <c r="D22" s="464">
        <v>3000</v>
      </c>
      <c r="E22" s="464">
        <f>C22+D22</f>
        <v>18000</v>
      </c>
      <c r="F22" s="465" t="s">
        <v>106</v>
      </c>
      <c r="G22" s="463" t="s">
        <v>118</v>
      </c>
    </row>
    <row r="23" spans="1:7" ht="28.5">
      <c r="A23" s="469" t="s">
        <v>113</v>
      </c>
      <c r="B23" s="463" t="s">
        <v>30</v>
      </c>
      <c r="C23" s="464">
        <v>15000</v>
      </c>
      <c r="D23" s="464">
        <v>2000</v>
      </c>
      <c r="E23" s="464">
        <f>C23+D23</f>
        <v>17000</v>
      </c>
      <c r="F23" s="465" t="s">
        <v>106</v>
      </c>
      <c r="G23" s="470" t="s">
        <v>120</v>
      </c>
    </row>
    <row r="24" spans="1:7">
      <c r="A24" s="463" t="s">
        <v>114</v>
      </c>
      <c r="B24" s="463" t="s">
        <v>30</v>
      </c>
      <c r="C24" s="464">
        <v>20000</v>
      </c>
      <c r="D24" s="464">
        <v>3000</v>
      </c>
      <c r="E24" s="464">
        <f>C24+D24</f>
        <v>23000</v>
      </c>
      <c r="F24" s="465" t="s">
        <v>106</v>
      </c>
      <c r="G24" s="463" t="s">
        <v>133</v>
      </c>
    </row>
    <row r="25" spans="1:7">
      <c r="A25" s="463" t="s">
        <v>126</v>
      </c>
      <c r="B25" s="463" t="s">
        <v>8</v>
      </c>
      <c r="C25" s="464">
        <v>15000</v>
      </c>
      <c r="D25" s="464">
        <v>3000</v>
      </c>
      <c r="E25" s="463" t="s">
        <v>135</v>
      </c>
      <c r="F25" s="465" t="s">
        <v>106</v>
      </c>
      <c r="G25" s="463" t="s">
        <v>122</v>
      </c>
    </row>
    <row r="26" spans="1:7">
      <c r="A26" s="463" t="s">
        <v>116</v>
      </c>
      <c r="B26" s="463" t="s">
        <v>8</v>
      </c>
      <c r="C26" s="464">
        <v>3000</v>
      </c>
      <c r="D26" s="464">
        <v>2000</v>
      </c>
      <c r="E26" s="463" t="s">
        <v>135</v>
      </c>
      <c r="F26" s="465" t="s">
        <v>106</v>
      </c>
      <c r="G26" s="463" t="s">
        <v>124</v>
      </c>
    </row>
    <row r="27" spans="1:7">
      <c r="A27" s="463" t="s">
        <v>130</v>
      </c>
      <c r="B27" s="463"/>
      <c r="C27" s="463"/>
      <c r="D27" s="463"/>
      <c r="E27" s="463"/>
      <c r="F27" s="463"/>
      <c r="G27" s="463"/>
    </row>
    <row r="28" spans="1:7">
      <c r="A28" s="463"/>
      <c r="B28" s="463"/>
      <c r="C28" s="463"/>
      <c r="D28" s="463"/>
      <c r="E28" s="463"/>
      <c r="F28" s="463"/>
      <c r="G28" s="463"/>
    </row>
    <row r="29" spans="1:7">
      <c r="A29" s="468"/>
      <c r="B29" s="468"/>
      <c r="C29" s="468"/>
      <c r="D29" s="468"/>
      <c r="E29" s="468"/>
      <c r="F29" s="468"/>
      <c r="G29" s="468"/>
    </row>
    <row r="31" spans="1:7" ht="14.65" thickBot="1"/>
    <row r="32" spans="1:7">
      <c r="A32" s="454" t="s">
        <v>29</v>
      </c>
      <c r="B32" s="455"/>
      <c r="C32" s="455"/>
      <c r="D32" s="455"/>
      <c r="E32" s="455"/>
      <c r="F32" s="456"/>
      <c r="G32" s="457"/>
    </row>
    <row r="33" spans="1:7">
      <c r="A33" s="458" t="s">
        <v>81</v>
      </c>
      <c r="B33" s="459" t="s">
        <v>66</v>
      </c>
      <c r="C33" s="459" t="s">
        <v>34</v>
      </c>
      <c r="D33" s="459" t="s">
        <v>103</v>
      </c>
      <c r="E33" s="459" t="s">
        <v>102</v>
      </c>
      <c r="F33" s="460" t="s">
        <v>105</v>
      </c>
      <c r="G33" s="461" t="s">
        <v>60</v>
      </c>
    </row>
    <row r="34" spans="1:7" ht="28.5">
      <c r="A34" s="471" t="s">
        <v>125</v>
      </c>
      <c r="B34" s="463" t="s">
        <v>30</v>
      </c>
      <c r="C34" s="472">
        <v>5000</v>
      </c>
      <c r="D34" s="463">
        <v>0</v>
      </c>
      <c r="E34" s="464">
        <f>C34*3</f>
        <v>15000</v>
      </c>
      <c r="F34" s="465" t="s">
        <v>106</v>
      </c>
      <c r="G34" s="466" t="s">
        <v>132</v>
      </c>
    </row>
    <row r="35" spans="1:7">
      <c r="A35" s="467" t="s">
        <v>115</v>
      </c>
      <c r="B35" s="463" t="s">
        <v>8</v>
      </c>
      <c r="C35" s="464">
        <v>10000</v>
      </c>
      <c r="D35" s="463">
        <v>0</v>
      </c>
      <c r="E35" s="463" t="s">
        <v>135</v>
      </c>
      <c r="F35" s="465" t="s">
        <v>106</v>
      </c>
      <c r="G35" s="473" t="s">
        <v>128</v>
      </c>
    </row>
    <row r="36" spans="1:7">
      <c r="A36" s="467" t="s">
        <v>127</v>
      </c>
      <c r="B36" s="463" t="s">
        <v>8</v>
      </c>
      <c r="C36" s="464">
        <v>2500</v>
      </c>
      <c r="D36" s="463">
        <v>0</v>
      </c>
      <c r="E36" s="463" t="s">
        <v>135</v>
      </c>
      <c r="F36" s="465" t="s">
        <v>106</v>
      </c>
      <c r="G36" s="473" t="s">
        <v>129</v>
      </c>
    </row>
    <row r="37" spans="1:7">
      <c r="A37" s="463" t="s">
        <v>130</v>
      </c>
      <c r="B37" s="463"/>
      <c r="C37" s="463"/>
      <c r="D37" s="463"/>
      <c r="E37" s="463"/>
      <c r="F37" s="465"/>
      <c r="G37" s="473"/>
    </row>
    <row r="38" spans="1:7">
      <c r="A38" s="467"/>
      <c r="B38" s="463"/>
      <c r="C38" s="463"/>
      <c r="D38" s="463"/>
      <c r="E38" s="463"/>
      <c r="F38" s="465"/>
      <c r="G38" s="473"/>
    </row>
    <row r="41" spans="1:7">
      <c r="A41" s="463" t="s">
        <v>131</v>
      </c>
      <c r="B41" s="463" t="s">
        <v>137</v>
      </c>
      <c r="C41" s="463"/>
      <c r="D41" s="463"/>
      <c r="E41" s="463"/>
      <c r="F41" s="474"/>
    </row>
    <row r="42" spans="1:7">
      <c r="A42" s="463" t="s">
        <v>29</v>
      </c>
      <c r="B42" s="463" t="s">
        <v>198</v>
      </c>
      <c r="C42" s="463" t="s">
        <v>199</v>
      </c>
      <c r="D42" s="463" t="s">
        <v>200</v>
      </c>
      <c r="E42" s="463"/>
    </row>
    <row r="43" spans="1:7">
      <c r="A43" s="463" t="str">
        <f>A11</f>
        <v>Multi-day Strategic Visioning and Engagement Session</v>
      </c>
      <c r="B43" s="463" t="s">
        <v>136</v>
      </c>
      <c r="C43" s="463"/>
      <c r="D43" s="463"/>
      <c r="E43" s="463"/>
    </row>
    <row r="44" spans="1:7">
      <c r="A44" s="463" t="str">
        <f>A12</f>
        <v>On-Site Onboarding Support</v>
      </c>
      <c r="B44" s="463" t="s">
        <v>136</v>
      </c>
      <c r="C44" s="463"/>
      <c r="D44" s="463"/>
      <c r="E44" s="463"/>
    </row>
    <row r="45" spans="1:7">
      <c r="A45" s="463" t="str">
        <f>A13</f>
        <v>Research Accelerator Team Support</v>
      </c>
      <c r="B45" s="463" t="s">
        <v>136</v>
      </c>
      <c r="C45" s="463"/>
      <c r="D45" s="463"/>
      <c r="E45" s="463"/>
    </row>
    <row r="46" spans="1:7">
      <c r="A46" s="463" t="str">
        <f>A14</f>
        <v>Dedicated Research Insights Team</v>
      </c>
      <c r="B46" s="463" t="s">
        <v>136</v>
      </c>
      <c r="C46" s="463"/>
      <c r="D46" s="463"/>
      <c r="E46" s="463"/>
    </row>
    <row r="47" spans="1:7">
      <c r="A47" s="463" t="str">
        <f>A15</f>
        <v>Quarterly User Engagement Workshop</v>
      </c>
      <c r="B47" s="463" t="s">
        <v>136</v>
      </c>
      <c r="C47" s="463"/>
      <c r="D47" s="463"/>
      <c r="E47" s="463"/>
    </row>
    <row r="48" spans="1:7">
      <c r="A48" s="463" t="str">
        <f>A22</f>
        <v>Day-long strategic vision and engagement</v>
      </c>
      <c r="B48" s="463"/>
      <c r="C48" s="463" t="s">
        <v>136</v>
      </c>
      <c r="D48" s="463"/>
      <c r="E48" s="463"/>
    </row>
    <row r="49" spans="1:5">
      <c r="A49" s="463" t="str">
        <f>A23</f>
        <v>Hybrid On-boarding Approach</v>
      </c>
      <c r="B49" s="463"/>
      <c r="C49" s="463" t="s">
        <v>136</v>
      </c>
      <c r="D49" s="463"/>
      <c r="E49" s="463"/>
    </row>
    <row r="50" spans="1:5">
      <c r="A50" s="463" t="str">
        <f>A24</f>
        <v>Short-Term Research Accelerator Support</v>
      </c>
      <c r="B50" s="463"/>
      <c r="C50" s="463" t="s">
        <v>136</v>
      </c>
      <c r="D50" s="463"/>
      <c r="E50" s="463"/>
    </row>
    <row r="51" spans="1:5">
      <c r="A51" s="463" t="str">
        <f>A25</f>
        <v>Hybrid Research Insights Team</v>
      </c>
      <c r="B51" s="463"/>
      <c r="C51" s="463" t="s">
        <v>136</v>
      </c>
      <c r="D51" s="463"/>
      <c r="E51" s="463"/>
    </row>
    <row r="52" spans="1:5">
      <c r="A52" s="463" t="str">
        <f>A26</f>
        <v>Bi-Annual User Engagement Workshop</v>
      </c>
      <c r="B52" s="463"/>
      <c r="C52" s="463" t="s">
        <v>136</v>
      </c>
      <c r="D52" s="463"/>
      <c r="E52" s="463"/>
    </row>
    <row r="53" spans="1:5">
      <c r="A53" s="463" t="str">
        <f>A34</f>
        <v>Back-end Research Accelerator Support</v>
      </c>
      <c r="B53" s="463"/>
      <c r="C53" s="463"/>
      <c r="D53" s="463" t="s">
        <v>136</v>
      </c>
      <c r="E53" s="463"/>
    </row>
    <row r="54" spans="1:5">
      <c r="A54" s="463" t="str">
        <f>A35</f>
        <v>Remote Research Insights Team</v>
      </c>
      <c r="B54" s="463"/>
      <c r="C54" s="463"/>
      <c r="D54" s="463" t="s">
        <v>136</v>
      </c>
      <c r="E54" s="463"/>
    </row>
    <row r="55" spans="1:5">
      <c r="A55" s="463" t="str">
        <f>A36</f>
        <v>Remote User Enagement Workshop</v>
      </c>
      <c r="B55" s="463"/>
      <c r="C55" s="463"/>
      <c r="D55" s="463" t="s">
        <v>136</v>
      </c>
      <c r="E55" s="463"/>
    </row>
    <row r="56" spans="1:5">
      <c r="A56" s="463" t="str">
        <f>A37</f>
        <v>Others - &lt;Add Here. Insert rows if needed&gt;</v>
      </c>
      <c r="B56" s="463"/>
      <c r="C56" s="463"/>
      <c r="D56" s="463"/>
      <c r="E56" s="463"/>
    </row>
    <row r="60" spans="1:5">
      <c r="A60" s="451" t="s">
        <v>330</v>
      </c>
      <c r="B60" s="451" t="s">
        <v>331</v>
      </c>
      <c r="C60" s="451" t="s">
        <v>82</v>
      </c>
      <c r="D60" s="451" t="s">
        <v>358</v>
      </c>
    </row>
    <row r="61" spans="1:5">
      <c r="A61" s="451" t="s">
        <v>83</v>
      </c>
      <c r="B61" s="451" t="s">
        <v>198</v>
      </c>
      <c r="C61" s="475">
        <f>E11</f>
        <v>30000</v>
      </c>
    </row>
    <row r="62" spans="1:5">
      <c r="A62" s="451" t="s">
        <v>83</v>
      </c>
      <c r="B62" s="451" t="s">
        <v>199</v>
      </c>
      <c r="C62" s="475">
        <f>E22</f>
        <v>18000</v>
      </c>
    </row>
    <row r="63" spans="1:5">
      <c r="A63" s="451" t="s">
        <v>83</v>
      </c>
      <c r="B63" s="451" t="s">
        <v>200</v>
      </c>
      <c r="C63" s="451">
        <v>0</v>
      </c>
    </row>
    <row r="64" spans="1:5">
      <c r="A64" s="451" t="s">
        <v>83</v>
      </c>
      <c r="B64" s="451" t="s">
        <v>192</v>
      </c>
      <c r="C64" s="451">
        <v>0</v>
      </c>
    </row>
    <row r="65" spans="1:3">
      <c r="A65" s="451" t="s">
        <v>30</v>
      </c>
      <c r="B65" s="451" t="s">
        <v>198</v>
      </c>
      <c r="C65" s="475">
        <f>E12+E13</f>
        <v>73000</v>
      </c>
    </row>
    <row r="66" spans="1:3">
      <c r="A66" s="451" t="s">
        <v>30</v>
      </c>
      <c r="B66" s="451" t="s">
        <v>199</v>
      </c>
      <c r="C66" s="475">
        <f>E23+E24</f>
        <v>40000</v>
      </c>
    </row>
    <row r="67" spans="1:3">
      <c r="A67" s="451" t="s">
        <v>30</v>
      </c>
      <c r="B67" s="451" t="s">
        <v>200</v>
      </c>
      <c r="C67" s="475">
        <f>E34</f>
        <v>15000</v>
      </c>
    </row>
    <row r="68" spans="1:3">
      <c r="A68" s="451" t="s">
        <v>30</v>
      </c>
      <c r="B68" s="451" t="s">
        <v>192</v>
      </c>
      <c r="C68" s="476">
        <v>0</v>
      </c>
    </row>
    <row r="69" spans="1:3">
      <c r="A69" s="451" t="s">
        <v>8</v>
      </c>
      <c r="B69" s="451" t="s">
        <v>198</v>
      </c>
      <c r="C69" s="475">
        <f>C14+C15</f>
        <v>25000</v>
      </c>
    </row>
    <row r="70" spans="1:3">
      <c r="A70" s="451" t="s">
        <v>8</v>
      </c>
      <c r="B70" s="451" t="s">
        <v>199</v>
      </c>
      <c r="C70" s="475">
        <f>C25+C26</f>
        <v>18000</v>
      </c>
    </row>
    <row r="71" spans="1:3">
      <c r="A71" s="451" t="s">
        <v>8</v>
      </c>
      <c r="B71" s="451" t="s">
        <v>200</v>
      </c>
      <c r="C71" s="475">
        <f>C35+C36</f>
        <v>12500</v>
      </c>
    </row>
    <row r="72" spans="1:3">
      <c r="A72" s="451" t="s">
        <v>8</v>
      </c>
      <c r="B72" s="451" t="s">
        <v>192</v>
      </c>
      <c r="C72" s="451">
        <v>0</v>
      </c>
    </row>
  </sheetData>
  <sheetProtection algorithmName="SHA-512" hashValue="tG37deO7yXxZnY+KzvnqLxI12jIR1sxcupIcKEfFNOcHn2Gg1LNP+yfbw2oC0Dud7+a01oigpXW4RVBoa7Oy7A==" saltValue="973Wibu8IvZq+iJ0wilPkg==" spinCount="100000" sheet="1" objects="1" scenarios="1" selectLockedCells="1" selectUnlockedCells="1"/>
  <mergeCells count="2">
    <mergeCell ref="A1:A3"/>
    <mergeCell ref="B1:U5"/>
  </mergeCells>
  <dataValidations count="1">
    <dataValidation type="list" allowBlank="1" showInputMessage="1" showErrorMessage="1" sqref="B22:B29 B34:B37" xr:uid="{00000000-0002-0000-0500-000000000000}">
      <formula1>$F$3:$F$6</formula1>
    </dataValidation>
  </dataValidations>
  <hyperlinks>
    <hyperlink ref="A1" location="Intro!A1" display="Back to Intro" xr:uid="{00000000-0004-0000-0500-000000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1000000}">
          <x14:formula1>
            <xm:f>Inputs!$G$3:$G$6</xm:f>
          </x14:formula1>
          <xm:sqref>B11:B18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theme="9" tint="0.59999389629810485"/>
  </sheetPr>
  <dimension ref="A1:M52"/>
  <sheetViews>
    <sheetView topLeftCell="A25" zoomScale="54" zoomScaleNormal="54" workbookViewId="0">
      <selection activeCell="G48" sqref="G48:H52"/>
    </sheetView>
  </sheetViews>
  <sheetFormatPr defaultRowHeight="14.25"/>
  <cols>
    <col min="1" max="1" width="19.86328125" customWidth="1"/>
    <col min="2" max="2" width="50.73046875" customWidth="1"/>
    <col min="3" max="4" width="17.59765625" style="266" customWidth="1"/>
    <col min="5" max="5" width="19.59765625" style="253" customWidth="1"/>
    <col min="6" max="6" width="29.86328125" customWidth="1"/>
    <col min="7" max="7" width="12.73046875" customWidth="1"/>
    <col min="8" max="8" width="14" customWidth="1"/>
    <col min="9" max="9" width="20" customWidth="1"/>
    <col min="10" max="10" width="32.3984375" customWidth="1"/>
  </cols>
  <sheetData>
    <row r="1" spans="1:13" ht="15" customHeight="1">
      <c r="A1" s="763" t="s">
        <v>490</v>
      </c>
      <c r="B1" s="764"/>
      <c r="C1" s="761" t="s">
        <v>568</v>
      </c>
      <c r="D1" s="761" t="s">
        <v>569</v>
      </c>
      <c r="E1" s="757" t="s">
        <v>540</v>
      </c>
      <c r="F1" s="754" t="s">
        <v>541</v>
      </c>
      <c r="G1" s="755"/>
      <c r="H1" s="755"/>
      <c r="I1" s="756"/>
      <c r="J1" s="759" t="s">
        <v>545</v>
      </c>
    </row>
    <row r="2" spans="1:13" ht="43.5" customHeight="1" thickBot="1">
      <c r="A2" s="765"/>
      <c r="B2" s="766"/>
      <c r="C2" s="762"/>
      <c r="D2" s="762"/>
      <c r="E2" s="758"/>
      <c r="F2" s="335" t="s">
        <v>83</v>
      </c>
      <c r="G2" s="293" t="s">
        <v>30</v>
      </c>
      <c r="H2" s="293" t="s">
        <v>8</v>
      </c>
      <c r="I2" s="336" t="s">
        <v>84</v>
      </c>
      <c r="J2" s="760"/>
    </row>
    <row r="3" spans="1:13" ht="20.25" customHeight="1" thickBot="1">
      <c r="A3" s="773" t="s">
        <v>535</v>
      </c>
      <c r="B3" s="774"/>
      <c r="C3" s="289"/>
      <c r="D3" s="289"/>
      <c r="E3" s="407" t="s">
        <v>192</v>
      </c>
      <c r="F3" s="337"/>
      <c r="G3" s="292"/>
      <c r="H3" s="292"/>
      <c r="I3" s="338"/>
      <c r="J3" s="291"/>
    </row>
    <row r="4" spans="1:13" ht="20.25" customHeight="1">
      <c r="A4" s="284"/>
      <c r="B4" s="285" t="s">
        <v>502</v>
      </c>
      <c r="C4" s="333" t="s">
        <v>570</v>
      </c>
      <c r="D4" s="333" t="s">
        <v>570</v>
      </c>
      <c r="E4" s="405" t="str">
        <f>IF(OR(E3="Silver",E3="Gold"), Inputs!F3,Inputs!F4)</f>
        <v>No</v>
      </c>
      <c r="F4" s="264">
        <f>IF(E4="Yes",'ESPO Calculator'!AA7,0)</f>
        <v>0</v>
      </c>
      <c r="G4" s="260">
        <f>IF(E4="Yes",'ESPO Calculator'!AB7, 0)</f>
        <v>0</v>
      </c>
      <c r="H4" s="260">
        <f>IF(E4="Yes",'ESPO Calculator'!AC7, 0)</f>
        <v>0</v>
      </c>
      <c r="I4" s="270">
        <f>IF(E4="Yes",'ESPO Calculator'!AD7, 0)</f>
        <v>0</v>
      </c>
      <c r="J4" s="745">
        <f>SUM(F4:I7)</f>
        <v>0</v>
      </c>
    </row>
    <row r="5" spans="1:13" ht="20.25" customHeight="1">
      <c r="A5" s="284"/>
      <c r="B5" s="285" t="s">
        <v>561</v>
      </c>
      <c r="C5" s="333" t="s">
        <v>570</v>
      </c>
      <c r="D5" s="333" t="s">
        <v>570</v>
      </c>
      <c r="E5" s="405" t="str">
        <f>IF(OR(E3="Silver",E3="Gold"), Inputs!F3,Inputs!F4)</f>
        <v>No</v>
      </c>
      <c r="F5" s="264">
        <f>IF(E5="Yes",'ESPO Calculator'!AA8,0)</f>
        <v>0</v>
      </c>
      <c r="G5" s="260">
        <f>IF(E5="Yes",'ESPO Calculator'!AB8, 0)</f>
        <v>0</v>
      </c>
      <c r="H5" s="260">
        <f>IF(E5="Yes",'ESPO Calculator'!AC8, 0)</f>
        <v>0</v>
      </c>
      <c r="I5" s="270">
        <f>IF(E5="Yes",'ESPO Calculator'!AD8, 0)</f>
        <v>0</v>
      </c>
      <c r="J5" s="746"/>
    </row>
    <row r="6" spans="1:13" ht="20.25" customHeight="1">
      <c r="A6" s="284"/>
      <c r="B6" s="285" t="s">
        <v>504</v>
      </c>
      <c r="C6" s="331"/>
      <c r="D6" s="333" t="s">
        <v>570</v>
      </c>
      <c r="E6" s="405" t="str">
        <f>IF(E3="Gold",Inputs!F3,Inputs!F4)</f>
        <v>No</v>
      </c>
      <c r="F6" s="264">
        <f>IF(E6="Yes",'ESPO Calculator'!AE9,0)</f>
        <v>0</v>
      </c>
      <c r="G6" s="260">
        <f>IF(E6="Yes",'ESPO Calculator'!AF9, 0)</f>
        <v>0</v>
      </c>
      <c r="H6" s="260">
        <f>IF(E6="Yes",'ESPO Calculator'!AG9,0)</f>
        <v>0</v>
      </c>
      <c r="I6" s="270">
        <f>IF(E6="Yes",'ESPO Calculator'!AH9,0)</f>
        <v>0</v>
      </c>
      <c r="J6" s="746"/>
    </row>
    <row r="7" spans="1:13" ht="20.25" customHeight="1" thickBot="1">
      <c r="A7" s="284"/>
      <c r="B7" s="285" t="s">
        <v>506</v>
      </c>
      <c r="C7" s="331"/>
      <c r="D7" s="333" t="s">
        <v>570</v>
      </c>
      <c r="E7" s="405" t="str">
        <f>IF(E3="Gold",Inputs!F3,Inputs!F4)</f>
        <v>No</v>
      </c>
      <c r="F7" s="264">
        <f>IF(E7="Yes",'ESPO Calculator'!AE10,0)</f>
        <v>0</v>
      </c>
      <c r="G7" s="260">
        <f>IF(E7="Yes",'ESPO Calculator'!AF10, 0)</f>
        <v>0</v>
      </c>
      <c r="H7" s="260">
        <f>IF(E7="Yes",'ESPO Calculator'!AG10,0)</f>
        <v>0</v>
      </c>
      <c r="I7" s="270">
        <f>IF(E7="Yes",'ESPO Calculator'!AH10,0)</f>
        <v>0</v>
      </c>
      <c r="J7" s="746"/>
      <c r="M7" s="56"/>
    </row>
    <row r="8" spans="1:13" ht="20.25" customHeight="1" thickBot="1">
      <c r="A8" s="773" t="s">
        <v>536</v>
      </c>
      <c r="B8" s="774"/>
      <c r="C8" s="289"/>
      <c r="D8" s="289"/>
      <c r="E8" s="408" t="s">
        <v>192</v>
      </c>
      <c r="F8" s="339"/>
      <c r="G8" s="290"/>
      <c r="H8" s="290"/>
      <c r="I8" s="340"/>
      <c r="J8" s="291"/>
    </row>
    <row r="9" spans="1:13" ht="20.25" customHeight="1">
      <c r="A9" s="284"/>
      <c r="B9" s="285" t="s">
        <v>562</v>
      </c>
      <c r="C9" s="333" t="s">
        <v>570</v>
      </c>
      <c r="D9" s="333" t="s">
        <v>570</v>
      </c>
      <c r="E9" s="405" t="str">
        <f>IF(OR(E8="Silver",E8="Gold"), Inputs!F3,Inputs!F4)</f>
        <v>No</v>
      </c>
      <c r="F9" s="264">
        <f>IF(E9="Yes",'ESPO Calculator'!AA13,0)</f>
        <v>0</v>
      </c>
      <c r="G9" s="260">
        <f>IF(E9="Yes",'ESPO Calculator'!AB13, 0)</f>
        <v>0</v>
      </c>
      <c r="H9" s="260">
        <f>IF(E9="Yes",'ESPO Calculator'!AC13, 0)</f>
        <v>0</v>
      </c>
      <c r="I9" s="270">
        <f>IF(E9="Yes",'ESPO Calculator'!AD13, 0)</f>
        <v>0</v>
      </c>
      <c r="J9" s="745">
        <f>SUM(F9:I11)</f>
        <v>0</v>
      </c>
    </row>
    <row r="10" spans="1:13" ht="20.25" customHeight="1">
      <c r="A10" s="284"/>
      <c r="B10" s="285" t="s">
        <v>510</v>
      </c>
      <c r="C10" s="331"/>
      <c r="D10" s="333" t="s">
        <v>570</v>
      </c>
      <c r="E10" s="405" t="str">
        <f>IF(E8="Gold",Inputs!F3,Inputs!F4)</f>
        <v>No</v>
      </c>
      <c r="F10" s="264">
        <f>IF(E10="Yes",'ESPO Calculator'!AE14,0)</f>
        <v>0</v>
      </c>
      <c r="G10" s="260">
        <f>IF(E10="Yes",'ESPO Calculator'!AF14,0)</f>
        <v>0</v>
      </c>
      <c r="H10" s="260">
        <f>IF(E10="Yes",'ESPO Calculator'!AG14,0)</f>
        <v>0</v>
      </c>
      <c r="I10" s="270">
        <f>IF(E10="Yes",'ESPO Calculator'!AH14,0)</f>
        <v>0</v>
      </c>
      <c r="J10" s="746"/>
    </row>
    <row r="11" spans="1:13" ht="20.25" customHeight="1" thickBot="1">
      <c r="A11" s="284"/>
      <c r="B11" s="285" t="s">
        <v>560</v>
      </c>
      <c r="C11" s="331"/>
      <c r="D11" s="333" t="s">
        <v>570</v>
      </c>
      <c r="E11" s="405" t="str">
        <f>IF(E8="Gold",Inputs!F3,Inputs!F4)</f>
        <v>No</v>
      </c>
      <c r="F11" s="264">
        <f>IF(E11="Yes",'ESPO Calculator'!AE15,0)</f>
        <v>0</v>
      </c>
      <c r="G11" s="260">
        <f>IF(E11="Yes",'ESPO Calculator'!AF15,0)</f>
        <v>0</v>
      </c>
      <c r="H11" s="260">
        <f>IF(E11="Yes",'ESPO Calculator'!AG15,0)</f>
        <v>0</v>
      </c>
      <c r="I11" s="270">
        <f>IF(E11="Yes",'ESPO Calculator'!AH15,0)</f>
        <v>0</v>
      </c>
      <c r="J11" s="746"/>
    </row>
    <row r="12" spans="1:13" ht="20.25" customHeight="1" thickBot="1">
      <c r="A12" s="773" t="s">
        <v>537</v>
      </c>
      <c r="B12" s="774"/>
      <c r="C12" s="289"/>
      <c r="D12" s="289"/>
      <c r="E12" s="408" t="s">
        <v>192</v>
      </c>
      <c r="F12" s="339"/>
      <c r="G12" s="290"/>
      <c r="H12" s="290"/>
      <c r="I12" s="340"/>
      <c r="J12" s="291"/>
    </row>
    <row r="13" spans="1:13" ht="20.25" customHeight="1">
      <c r="A13" s="284"/>
      <c r="B13" s="285" t="s">
        <v>512</v>
      </c>
      <c r="C13" s="333" t="s">
        <v>570</v>
      </c>
      <c r="D13" s="333" t="s">
        <v>570</v>
      </c>
      <c r="E13" s="405" t="str">
        <f>IF(OR(E12="Silver",E12="Gold"), Inputs!F3,Inputs!F4)</f>
        <v>No</v>
      </c>
      <c r="F13" s="264">
        <f>IF(E13="Yes",'ESPO Calculator'!AA18,0)</f>
        <v>0</v>
      </c>
      <c r="G13" s="260">
        <f>IF(E13="Yes",'ESPO Calculator'!AB18, 0)</f>
        <v>0</v>
      </c>
      <c r="H13" s="260">
        <f>IF(E13="Yes",'ESPO Calculator'!AC18, 0)</f>
        <v>0</v>
      </c>
      <c r="I13" s="270">
        <f>IF(E13="Yes",'ESPO Calculator'!AD18, 0)</f>
        <v>0</v>
      </c>
      <c r="J13" s="745">
        <f>SUM(F13:I15)</f>
        <v>0</v>
      </c>
    </row>
    <row r="14" spans="1:13" ht="20.25" customHeight="1">
      <c r="A14" s="284"/>
      <c r="B14" s="285" t="s">
        <v>514</v>
      </c>
      <c r="C14" s="333" t="s">
        <v>570</v>
      </c>
      <c r="D14" s="333" t="s">
        <v>570</v>
      </c>
      <c r="E14" s="405" t="str">
        <f>IF(OR(E12="Silver",E12="Gold"), Inputs!F3,Inputs!F4)</f>
        <v>No</v>
      </c>
      <c r="F14" s="264">
        <f>IF(E14="Yes",'ESPO Calculator'!AE19,0)</f>
        <v>0</v>
      </c>
      <c r="G14" s="260">
        <f>IF(E14="Yes",'ESPO Calculator'!AF19,0)</f>
        <v>0</v>
      </c>
      <c r="H14" s="260">
        <f>IF(E14="Yes",'ESPO Calculator'!AG19,0)</f>
        <v>0</v>
      </c>
      <c r="I14" s="270">
        <f>IF(E14="Yes",'ESPO Calculator'!AH19,0)</f>
        <v>0</v>
      </c>
      <c r="J14" s="746"/>
    </row>
    <row r="15" spans="1:13" ht="20.25" customHeight="1" thickBot="1">
      <c r="A15" s="284"/>
      <c r="B15" s="285" t="s">
        <v>563</v>
      </c>
      <c r="C15" s="331"/>
      <c r="D15" s="333" t="s">
        <v>570</v>
      </c>
      <c r="E15" s="405" t="str">
        <f>IF(E12="Gold",Inputs!F3,Inputs!F4)</f>
        <v>No</v>
      </c>
      <c r="F15" s="264">
        <f>IF(E15="Yes",'ESPO Calculator'!AE20,0)</f>
        <v>0</v>
      </c>
      <c r="G15" s="260">
        <f>IF(E15="Yes",'ESPO Calculator'!AF20,0)</f>
        <v>0</v>
      </c>
      <c r="H15" s="260">
        <f>IF(E15="Yes",'ESPO Calculator'!AG20,0)</f>
        <v>0</v>
      </c>
      <c r="I15" s="270">
        <f>IF(E15="Yes",'ESPO Calculator'!AH20,0)</f>
        <v>0</v>
      </c>
      <c r="J15" s="746"/>
    </row>
    <row r="16" spans="1:13" ht="20.25" customHeight="1" thickBot="1">
      <c r="A16" s="773" t="s">
        <v>598</v>
      </c>
      <c r="B16" s="774"/>
      <c r="C16" s="289"/>
      <c r="D16" s="289"/>
      <c r="E16" s="408" t="s">
        <v>192</v>
      </c>
      <c r="F16" s="339"/>
      <c r="G16" s="290"/>
      <c r="H16" s="290"/>
      <c r="I16" s="340"/>
      <c r="J16" s="291"/>
    </row>
    <row r="17" spans="1:10" ht="27" customHeight="1">
      <c r="A17" s="284"/>
      <c r="B17" s="285" t="s">
        <v>519</v>
      </c>
      <c r="C17" s="333" t="s">
        <v>570</v>
      </c>
      <c r="D17" s="333" t="s">
        <v>570</v>
      </c>
      <c r="E17" s="405" t="str">
        <f>IF(OR(E16="Silver",E16="Gold"), Inputs!F3,Inputs!F4)</f>
        <v>No</v>
      </c>
      <c r="F17" s="264">
        <f>IF(E17="Yes",'ESPO Calculator'!AA24,0)</f>
        <v>0</v>
      </c>
      <c r="G17" s="260">
        <f>IF(E17="Yes",'ESPO Calculator'!AB24, 0)</f>
        <v>0</v>
      </c>
      <c r="H17" s="260">
        <f>IF(E17="Yes",'ESPO Calculator'!AC24, 0)</f>
        <v>0</v>
      </c>
      <c r="I17" s="270">
        <f>IF(E17="Yes",'ESPO Calculator'!AD24, 0)</f>
        <v>0</v>
      </c>
      <c r="J17" s="745">
        <f>SUM(F17:I19)</f>
        <v>0</v>
      </c>
    </row>
    <row r="18" spans="1:10" ht="23.25" customHeight="1">
      <c r="A18" s="284"/>
      <c r="B18" s="285" t="s">
        <v>559</v>
      </c>
      <c r="C18" s="333" t="s">
        <v>570</v>
      </c>
      <c r="D18" s="333" t="s">
        <v>570</v>
      </c>
      <c r="E18" s="405" t="str">
        <f>IF(OR(E16="Silver",E16="Gold"), Inputs!F3,Inputs!F4)</f>
        <v>No</v>
      </c>
      <c r="F18" s="264">
        <f>IF(E18="Yes",'ESPO Calculator'!AA25,0)</f>
        <v>0</v>
      </c>
      <c r="G18" s="260">
        <f>IF(E18="Yes",'ESPO Calculator'!AB25, 0)</f>
        <v>0</v>
      </c>
      <c r="H18" s="260">
        <f>IF(E18="Yes",'ESPO Calculator'!AC25, 0)</f>
        <v>0</v>
      </c>
      <c r="I18" s="270">
        <f>IF(E18="Yes",'ESPO Calculator'!AD25, 0)</f>
        <v>0</v>
      </c>
      <c r="J18" s="746"/>
    </row>
    <row r="19" spans="1:10" ht="20.25" customHeight="1" thickBot="1">
      <c r="A19" s="284"/>
      <c r="B19" s="285" t="s">
        <v>520</v>
      </c>
      <c r="C19" s="331"/>
      <c r="D19" s="333" t="s">
        <v>570</v>
      </c>
      <c r="E19" s="405" t="str">
        <f>IF(E16="Gold",Inputs!F3,Inputs!F4)</f>
        <v>No</v>
      </c>
      <c r="F19" s="264">
        <f>IF(E19="Yes",'ESPO Calculator'!AE26,0)</f>
        <v>0</v>
      </c>
      <c r="G19" s="260">
        <f>IF(E19="Yes",'ESPO Calculator'!AF26,0)</f>
        <v>0</v>
      </c>
      <c r="H19" s="260">
        <f>IF(E19="Yes",'ESPO Calculator'!AG26,0)</f>
        <v>0</v>
      </c>
      <c r="I19" s="270">
        <f>IF(E19="Yes",'ESPO Calculator'!AH26,0)</f>
        <v>0</v>
      </c>
      <c r="J19" s="746"/>
    </row>
    <row r="20" spans="1:10" ht="20.25" customHeight="1" thickBot="1">
      <c r="A20" s="773" t="s">
        <v>521</v>
      </c>
      <c r="B20" s="774"/>
      <c r="C20" s="289"/>
      <c r="D20" s="289"/>
      <c r="E20" s="408" t="s">
        <v>192</v>
      </c>
      <c r="F20" s="339"/>
      <c r="G20" s="290"/>
      <c r="H20" s="290"/>
      <c r="I20" s="340"/>
      <c r="J20" s="291"/>
    </row>
    <row r="21" spans="1:10" ht="20.25" customHeight="1">
      <c r="A21" s="284"/>
      <c r="B21" s="285" t="s">
        <v>523</v>
      </c>
      <c r="C21" s="333" t="s">
        <v>570</v>
      </c>
      <c r="D21" s="333" t="s">
        <v>570</v>
      </c>
      <c r="E21" s="405" t="str">
        <f>IF(OR(E20="Silver",E20="Gold"), Inputs!F3,Inputs!F4)</f>
        <v>No</v>
      </c>
      <c r="F21" s="264">
        <f>IF(E21="Yes",'ESPO Calculator'!AA29,0)</f>
        <v>0</v>
      </c>
      <c r="G21" s="260">
        <f>IF(E21="Yes",'ESPO Calculator'!AB29, 0)</f>
        <v>0</v>
      </c>
      <c r="H21" s="260">
        <f>IF(E21="Yes",'ESPO Calculator'!AC29, 0)</f>
        <v>0</v>
      </c>
      <c r="I21" s="270">
        <f>IF(E21="Yes",'ESPO Calculator'!AD29, 0)</f>
        <v>0</v>
      </c>
      <c r="J21" s="745">
        <f>SUM(F21:I24)</f>
        <v>0</v>
      </c>
    </row>
    <row r="22" spans="1:10" ht="20.25" customHeight="1">
      <c r="A22" s="284"/>
      <c r="B22" s="285" t="s">
        <v>525</v>
      </c>
      <c r="C22" s="333" t="s">
        <v>570</v>
      </c>
      <c r="D22" s="333" t="s">
        <v>570</v>
      </c>
      <c r="E22" s="405" t="str">
        <f>IF(OR(E20="Silver",E20="Gold"), Inputs!F3,Inputs!F4)</f>
        <v>No</v>
      </c>
      <c r="F22" s="264">
        <f>IF(E22="Yes",'ESPO Calculator'!AA30,0)</f>
        <v>0</v>
      </c>
      <c r="G22" s="260">
        <f>IF(E22="Yes",'ESPO Calculator'!AB30, 0)</f>
        <v>0</v>
      </c>
      <c r="H22" s="260">
        <f>IF(E22="Yes",'ESPO Calculator'!AC30, 0)</f>
        <v>0</v>
      </c>
      <c r="I22" s="270">
        <f>IF(E22="Yes",'ESPO Calculator'!AD30, 0)</f>
        <v>0</v>
      </c>
      <c r="J22" s="746"/>
    </row>
    <row r="23" spans="1:10" ht="20.25" customHeight="1">
      <c r="A23" s="284"/>
      <c r="B23" s="285" t="s">
        <v>527</v>
      </c>
      <c r="C23" s="333" t="s">
        <v>570</v>
      </c>
      <c r="D23" s="333" t="s">
        <v>570</v>
      </c>
      <c r="E23" s="405" t="str">
        <f>IF(OR(E20="Silver",E20="Gold"), Inputs!F3,Inputs!F4)</f>
        <v>No</v>
      </c>
      <c r="F23" s="264">
        <f>IF(E23="Yes",'ESPO Calculator'!AA31,0)</f>
        <v>0</v>
      </c>
      <c r="G23" s="260">
        <f>IF(E23="Yes",'ESPO Calculator'!AB31, 0)</f>
        <v>0</v>
      </c>
      <c r="H23" s="260">
        <f>IF(E23="Yes",'ESPO Calculator'!AC31, 0)</f>
        <v>0</v>
      </c>
      <c r="I23" s="270">
        <f>IF(E23="Yes",'ESPO Calculator'!AD31, 0)</f>
        <v>0</v>
      </c>
      <c r="J23" s="746"/>
    </row>
    <row r="24" spans="1:10" ht="20.25" customHeight="1" thickBot="1">
      <c r="A24" s="287"/>
      <c r="B24" s="288" t="s">
        <v>528</v>
      </c>
      <c r="C24" s="332"/>
      <c r="D24" s="334" t="s">
        <v>570</v>
      </c>
      <c r="E24" s="406" t="str">
        <f>IF(E20="Gold",Inputs!F3,Inputs!F4)</f>
        <v>No</v>
      </c>
      <c r="F24" s="341">
        <f>IF(E24="Yes",'ESPO Calculator'!AE32,0)</f>
        <v>0</v>
      </c>
      <c r="G24" s="265">
        <f>IF(E24="Yes",'ESPO Calculator'!AF32,0)</f>
        <v>0</v>
      </c>
      <c r="H24" s="265">
        <f>IF(E24="Yes",'ESPO Calculator'!AG32,0)</f>
        <v>0</v>
      </c>
      <c r="I24" s="342">
        <f>IF(E24="Yes",'ESPO Calculator'!AH32,0)</f>
        <v>0</v>
      </c>
      <c r="J24" s="747"/>
    </row>
    <row r="27" spans="1:10" ht="14.65" thickBot="1"/>
    <row r="28" spans="1:10" ht="14.65" thickBot="1">
      <c r="A28" s="770" t="s">
        <v>580</v>
      </c>
      <c r="B28" s="771"/>
      <c r="C28" s="771"/>
      <c r="D28" s="772"/>
    </row>
    <row r="29" spans="1:10" ht="28.9" thickBot="1">
      <c r="A29" s="350" t="s">
        <v>576</v>
      </c>
      <c r="B29" s="351" t="s">
        <v>577</v>
      </c>
      <c r="C29" s="386" t="s">
        <v>571</v>
      </c>
      <c r="D29" s="352" t="s">
        <v>557</v>
      </c>
    </row>
    <row r="30" spans="1:10" ht="17.25" customHeight="1" thickBot="1">
      <c r="A30" s="353" t="s">
        <v>83</v>
      </c>
      <c r="B30" s="354">
        <f>SUM(F4:F7,F9:F11,F13:F15,F17:F19,F21:F24)</f>
        <v>0</v>
      </c>
      <c r="C30" s="387">
        <v>2</v>
      </c>
      <c r="D30" s="355">
        <f>B30/C30</f>
        <v>0</v>
      </c>
    </row>
    <row r="31" spans="1:10" ht="15" customHeight="1">
      <c r="A31" s="356" t="s">
        <v>30</v>
      </c>
      <c r="B31" s="354">
        <f>SUM(G4:G7,G9:G11,G13:G15,G17:G19,G21:G24)</f>
        <v>0</v>
      </c>
      <c r="C31" s="387">
        <v>2</v>
      </c>
      <c r="D31" s="355">
        <f>B31/C31</f>
        <v>0</v>
      </c>
      <c r="G31" s="739" t="s">
        <v>583</v>
      </c>
      <c r="H31" s="740"/>
    </row>
    <row r="32" spans="1:10" ht="15" customHeight="1">
      <c r="A32" s="356" t="s">
        <v>8</v>
      </c>
      <c r="B32" s="354">
        <f>SUM(H4:H7,H9:H11,H13:H15,H17:H19,H21:H24)</f>
        <v>0</v>
      </c>
      <c r="C32" s="387">
        <v>7</v>
      </c>
      <c r="D32" s="355">
        <f>B32/7</f>
        <v>0</v>
      </c>
      <c r="G32" s="741"/>
      <c r="H32" s="742"/>
    </row>
    <row r="33" spans="1:8" ht="15.75" customHeight="1" thickBot="1">
      <c r="A33" s="357" t="s">
        <v>84</v>
      </c>
      <c r="B33" s="358">
        <f>SUM(I4:I7,I9:I11,I13:I15,I17:I19,I21:I24)</f>
        <v>0</v>
      </c>
      <c r="C33" s="387">
        <v>1</v>
      </c>
      <c r="D33" s="359">
        <f>B33</f>
        <v>0</v>
      </c>
      <c r="G33" s="741"/>
      <c r="H33" s="742"/>
    </row>
    <row r="34" spans="1:8" ht="15.75" customHeight="1" thickBot="1">
      <c r="A34" s="360" t="s">
        <v>550</v>
      </c>
      <c r="B34" s="361">
        <f>SUM(B30:B33)</f>
        <v>0</v>
      </c>
      <c r="C34" s="388" t="s">
        <v>572</v>
      </c>
      <c r="D34" s="362"/>
      <c r="G34" s="741"/>
      <c r="H34" s="742"/>
    </row>
    <row r="35" spans="1:8" ht="15.75" customHeight="1" thickBot="1">
      <c r="A35" s="373"/>
      <c r="B35" s="374"/>
      <c r="C35" s="374"/>
      <c r="D35" s="375"/>
      <c r="G35" s="743"/>
      <c r="H35" s="744"/>
    </row>
    <row r="36" spans="1:8" ht="14.65" customHeight="1" thickBot="1">
      <c r="A36" s="383"/>
      <c r="B36" s="50"/>
      <c r="C36" s="256"/>
      <c r="D36" s="257"/>
    </row>
    <row r="37" spans="1:8" ht="15.75" customHeight="1" thickBot="1">
      <c r="A37" s="767" t="s">
        <v>585</v>
      </c>
      <c r="B37" s="768"/>
      <c r="C37" s="768"/>
      <c r="D37" s="769"/>
    </row>
    <row r="38" spans="1:8" ht="28.9" thickBot="1">
      <c r="A38" s="363" t="s">
        <v>576</v>
      </c>
      <c r="B38" s="364" t="s">
        <v>578</v>
      </c>
      <c r="C38" s="392" t="s">
        <v>571</v>
      </c>
      <c r="D38" s="389" t="s">
        <v>557</v>
      </c>
    </row>
    <row r="39" spans="1:8" ht="14.65" customHeight="1">
      <c r="A39" s="365" t="s">
        <v>83</v>
      </c>
      <c r="B39" s="366">
        <v>0</v>
      </c>
      <c r="C39" s="393" t="s">
        <v>579</v>
      </c>
      <c r="D39" s="390" t="s">
        <v>579</v>
      </c>
      <c r="G39" s="748" t="s">
        <v>649</v>
      </c>
      <c r="H39" s="749"/>
    </row>
    <row r="40" spans="1:8" ht="14.25" customHeight="1">
      <c r="A40" s="367" t="s">
        <v>30</v>
      </c>
      <c r="B40" s="366">
        <v>0</v>
      </c>
      <c r="C40" s="393" t="s">
        <v>579</v>
      </c>
      <c r="D40" s="390" t="s">
        <v>579</v>
      </c>
      <c r="G40" s="750"/>
      <c r="H40" s="751"/>
    </row>
    <row r="41" spans="1:8" ht="14.65" customHeight="1">
      <c r="A41" s="367" t="s">
        <v>8</v>
      </c>
      <c r="B41" s="366">
        <f>SUM(H4:H7,H9:H11,H13:H15,H17:H19,H21:H24)</f>
        <v>0</v>
      </c>
      <c r="C41" s="393">
        <v>12</v>
      </c>
      <c r="D41" s="390">
        <f>B41/C41</f>
        <v>0</v>
      </c>
      <c r="G41" s="750"/>
      <c r="H41" s="751"/>
    </row>
    <row r="42" spans="1:8" ht="14.65" thickBot="1">
      <c r="A42" s="368" t="s">
        <v>84</v>
      </c>
      <c r="B42" s="369">
        <v>0</v>
      </c>
      <c r="C42" s="393" t="s">
        <v>579</v>
      </c>
      <c r="D42" s="385" t="s">
        <v>579</v>
      </c>
      <c r="G42" s="750"/>
      <c r="H42" s="751"/>
    </row>
    <row r="43" spans="1:8" ht="14.65" thickBot="1">
      <c r="A43" s="370" t="s">
        <v>550</v>
      </c>
      <c r="B43" s="371">
        <f>SUM(B39:B42)</f>
        <v>0</v>
      </c>
      <c r="C43" s="394" t="s">
        <v>572</v>
      </c>
      <c r="D43" s="391"/>
      <c r="G43" s="752"/>
      <c r="H43" s="753"/>
    </row>
    <row r="44" spans="1:8" ht="14.65" thickBot="1">
      <c r="A44" s="384"/>
      <c r="B44" s="369"/>
      <c r="C44" s="395"/>
      <c r="D44" s="385"/>
      <c r="E44" s="266"/>
    </row>
    <row r="47" spans="1:8" ht="14.65" thickBot="1"/>
    <row r="48" spans="1:8" ht="14.25" customHeight="1">
      <c r="G48" s="733" t="s">
        <v>650</v>
      </c>
      <c r="H48" s="734"/>
    </row>
    <row r="49" spans="7:8">
      <c r="G49" s="735"/>
      <c r="H49" s="736"/>
    </row>
    <row r="50" spans="7:8">
      <c r="G50" s="735"/>
      <c r="H50" s="736"/>
    </row>
    <row r="51" spans="7:8">
      <c r="G51" s="735"/>
      <c r="H51" s="736"/>
    </row>
    <row r="52" spans="7:8" ht="14.65" thickBot="1">
      <c r="G52" s="737"/>
      <c r="H52" s="738"/>
    </row>
  </sheetData>
  <mergeCells count="21">
    <mergeCell ref="A37:D37"/>
    <mergeCell ref="A28:D28"/>
    <mergeCell ref="A3:B3"/>
    <mergeCell ref="A8:B8"/>
    <mergeCell ref="A12:B12"/>
    <mergeCell ref="A16:B16"/>
    <mergeCell ref="A20:B20"/>
    <mergeCell ref="F1:I1"/>
    <mergeCell ref="E1:E2"/>
    <mergeCell ref="J1:J2"/>
    <mergeCell ref="C1:C2"/>
    <mergeCell ref="A1:B2"/>
    <mergeCell ref="D1:D2"/>
    <mergeCell ref="G48:H52"/>
    <mergeCell ref="G31:H35"/>
    <mergeCell ref="J4:J7"/>
    <mergeCell ref="J9:J11"/>
    <mergeCell ref="J13:J15"/>
    <mergeCell ref="J17:J19"/>
    <mergeCell ref="J21:J24"/>
    <mergeCell ref="G39:H43"/>
  </mergeCells>
  <dataValidations count="4">
    <dataValidation allowBlank="1" showInputMessage="1" showErrorMessage="1" prompt="Planning Stage: SDC Enablement team works with project owner to understand objectives, timelines, data provider and data analyst needs. _x000a__x000a_Discovery Stage: SDC Enablement team works with project owner to define requirements of the project._x000a_" sqref="F2 A30 A39" xr:uid="{00000000-0002-0000-0700-000000000000}"/>
    <dataValidation allowBlank="1" showInputMessage="1" showErrorMessage="1" prompt="This phase brings the project into the SDC platform by implementing the requirements defined in the discovery phase. At the end of this phase, data analysts will be able to work on the datasets available to them as part of the project._x000a_" sqref="G2 A31 A40" xr:uid="{00000000-0002-0000-0700-000001000000}"/>
    <dataValidation allowBlank="1" showInputMessage="1" showErrorMessage="1" prompt="During this phase, the SDC platform is being used by data analysts to achieve their research objective" sqref="H2 A32 A41" xr:uid="{00000000-0002-0000-0700-000002000000}"/>
    <dataValidation allowBlank="1" showInputMessage="1" showErrorMessage="1" prompt="In this phase, SDC team will work with Project owners, and data providers to export their project out of the SDC." sqref="I2 A33 A42" xr:uid="{00000000-0002-0000-0700-000003000000}"/>
  </dataValidations>
  <hyperlinks>
    <hyperlink ref="G31:H35" location="'Prospective Project'!A1" display="Take me back to the Input sheet: Prospective project" xr:uid="{00000000-0004-0000-0700-000000000000}"/>
    <hyperlink ref="G48:H52" location="'Sys Admin'!A1" display="Click here =&gt; to go back to the Sys Admin Tab" xr:uid="{4E3E32AF-F93B-4F1C-A9D5-4A7347AEAD2E}"/>
    <hyperlink ref="G39:H43" location="'Active Project'!A1" display="Click here =&gt; to go back to the Active project" xr:uid="{51FB4324-AFFF-4EFC-BCCD-8344CDDB15E1}"/>
  </hyperlinks>
  <pageMargins left="0.7" right="0.7" top="0.75" bottom="0.75" header="0.3" footer="0.3"/>
  <pageSetup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Inputs!$K$3:$K$5</xm:f>
          </x14:formula1>
          <xm:sqref>E20 E3 E8 E12 E16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tabColor theme="9" tint="0.59999389629810485"/>
  </sheetPr>
  <dimension ref="A1:AH86"/>
  <sheetViews>
    <sheetView topLeftCell="A5" zoomScale="40" zoomScaleNormal="40" workbookViewId="0">
      <selection activeCell="AJ5" sqref="AJ5"/>
    </sheetView>
  </sheetViews>
  <sheetFormatPr defaultColWidth="9.1328125" defaultRowHeight="14.25"/>
  <cols>
    <col min="1" max="1" width="32.86328125" style="623" customWidth="1"/>
    <col min="2" max="2" width="40" style="623" customWidth="1"/>
    <col min="3" max="3" width="18" style="623" customWidth="1"/>
    <col min="4" max="4" width="18.86328125" style="623" hidden="1" customWidth="1"/>
    <col min="5" max="5" width="6.86328125" style="623" hidden="1" customWidth="1"/>
    <col min="6" max="6" width="5" style="623" hidden="1" customWidth="1"/>
    <col min="7" max="7" width="5.86328125" style="623" hidden="1" customWidth="1"/>
    <col min="8" max="8" width="6" style="623" hidden="1" customWidth="1"/>
    <col min="9" max="9" width="10.1328125" style="623" hidden="1" customWidth="1"/>
    <col min="10" max="10" width="9" style="623" hidden="1" customWidth="1"/>
    <col min="11" max="11" width="10.59765625" style="623" hidden="1" customWidth="1"/>
    <col min="12" max="12" width="8.59765625" style="623" hidden="1" customWidth="1"/>
    <col min="13" max="13" width="11.1328125" style="623" hidden="1" customWidth="1"/>
    <col min="14" max="17" width="12.265625" style="623" hidden="1" customWidth="1"/>
    <col min="18" max="18" width="30.73046875" style="623" customWidth="1"/>
    <col min="19" max="19" width="22.73046875" style="249" customWidth="1"/>
    <col min="20" max="20" width="9.59765625" style="249" customWidth="1"/>
    <col min="21" max="21" width="6.59765625" style="249" customWidth="1"/>
    <col min="22" max="22" width="16.1328125" style="249" customWidth="1"/>
    <col min="23" max="23" width="15.265625" style="252" customWidth="1"/>
    <col min="24" max="24" width="11.59765625" style="252" customWidth="1"/>
    <col min="25" max="25" width="11.73046875" style="252" customWidth="1"/>
    <col min="26" max="26" width="14.3984375" style="252" customWidth="1"/>
    <col min="27" max="27" width="17.59765625" style="252" customWidth="1"/>
    <col min="28" max="28" width="13.3984375" style="252" customWidth="1"/>
    <col min="29" max="29" width="13.86328125" style="252" customWidth="1"/>
    <col min="30" max="30" width="15.265625" style="252" customWidth="1"/>
    <col min="31" max="31" width="19.3984375" style="252" customWidth="1"/>
    <col min="32" max="32" width="18.1328125" style="252" customWidth="1"/>
    <col min="33" max="33" width="13.86328125" style="252" customWidth="1"/>
    <col min="34" max="34" width="17.1328125" style="252" customWidth="1"/>
    <col min="35" max="16384" width="9.1328125" style="623"/>
  </cols>
  <sheetData>
    <row r="1" spans="1:34" ht="14.65" thickBot="1">
      <c r="S1" s="779" t="s">
        <v>532</v>
      </c>
      <c r="T1" s="780"/>
      <c r="U1" s="780"/>
      <c r="V1" s="781"/>
      <c r="W1" s="782" t="s">
        <v>533</v>
      </c>
      <c r="X1" s="783"/>
      <c r="Y1" s="783"/>
      <c r="Z1" s="783"/>
      <c r="AA1" s="775" t="s">
        <v>548</v>
      </c>
      <c r="AB1" s="776"/>
      <c r="AC1" s="776"/>
      <c r="AD1" s="776"/>
      <c r="AE1" s="788" t="s">
        <v>549</v>
      </c>
      <c r="AF1" s="789"/>
      <c r="AG1" s="789"/>
      <c r="AH1" s="790"/>
    </row>
    <row r="2" spans="1:34" ht="39.75" thickBot="1">
      <c r="A2" s="295" t="s">
        <v>490</v>
      </c>
      <c r="B2" s="296" t="s">
        <v>491</v>
      </c>
      <c r="C2" s="296"/>
      <c r="D2" s="296"/>
      <c r="E2" s="297" t="s">
        <v>492</v>
      </c>
      <c r="F2" s="297" t="s">
        <v>199</v>
      </c>
      <c r="G2" s="297" t="s">
        <v>198</v>
      </c>
      <c r="H2" s="297" t="s">
        <v>493</v>
      </c>
      <c r="I2" s="298" t="s">
        <v>494</v>
      </c>
      <c r="J2" s="298" t="s">
        <v>495</v>
      </c>
      <c r="K2" s="298" t="s">
        <v>542</v>
      </c>
      <c r="L2" s="299" t="s">
        <v>496</v>
      </c>
      <c r="M2" s="299" t="s">
        <v>547</v>
      </c>
      <c r="N2" s="299" t="s">
        <v>546</v>
      </c>
      <c r="O2" s="299" t="s">
        <v>543</v>
      </c>
      <c r="P2" s="299" t="s">
        <v>497</v>
      </c>
      <c r="Q2" s="299" t="s">
        <v>544</v>
      </c>
      <c r="R2" s="300" t="s">
        <v>498</v>
      </c>
      <c r="S2" s="272" t="s">
        <v>83</v>
      </c>
      <c r="T2" s="273" t="s">
        <v>30</v>
      </c>
      <c r="U2" s="273" t="s">
        <v>8</v>
      </c>
      <c r="V2" s="274" t="s">
        <v>84</v>
      </c>
      <c r="W2" s="283" t="s">
        <v>83</v>
      </c>
      <c r="X2" s="271" t="s">
        <v>30</v>
      </c>
      <c r="Y2" s="271" t="s">
        <v>8</v>
      </c>
      <c r="Z2" s="282" t="s">
        <v>84</v>
      </c>
      <c r="AA2" s="281" t="s">
        <v>83</v>
      </c>
      <c r="AB2" s="277" t="s">
        <v>30</v>
      </c>
      <c r="AC2" s="277" t="s">
        <v>8</v>
      </c>
      <c r="AD2" s="280" t="s">
        <v>84</v>
      </c>
      <c r="AE2" s="278" t="s">
        <v>83</v>
      </c>
      <c r="AF2" s="275" t="s">
        <v>30</v>
      </c>
      <c r="AG2" s="275" t="s">
        <v>8</v>
      </c>
      <c r="AH2" s="279" t="s">
        <v>84</v>
      </c>
    </row>
    <row r="3" spans="1:34">
      <c r="A3" s="301" t="s">
        <v>538</v>
      </c>
      <c r="B3" s="286"/>
      <c r="C3" s="286" t="s">
        <v>530</v>
      </c>
      <c r="D3" s="286"/>
      <c r="E3" s="302"/>
      <c r="F3" s="302"/>
      <c r="G3" s="302"/>
      <c r="H3" s="302"/>
      <c r="I3" s="303"/>
      <c r="J3" s="303"/>
      <c r="K3" s="303"/>
      <c r="L3" s="304"/>
      <c r="M3" s="304"/>
      <c r="N3" s="304"/>
      <c r="O3" s="304"/>
      <c r="P3" s="304"/>
      <c r="Q3" s="304"/>
      <c r="R3" s="305"/>
      <c r="S3" s="306"/>
      <c r="T3" s="306"/>
      <c r="U3" s="306"/>
      <c r="V3" s="306"/>
      <c r="W3" s="261"/>
      <c r="X3" s="262"/>
      <c r="Y3" s="262"/>
      <c r="Z3" s="262"/>
      <c r="AA3" s="261"/>
      <c r="AB3" s="262"/>
      <c r="AC3" s="262"/>
      <c r="AD3" s="262"/>
      <c r="AE3" s="261"/>
      <c r="AF3" s="262"/>
      <c r="AG3" s="262"/>
      <c r="AH3" s="263"/>
    </row>
    <row r="4" spans="1:34" ht="41.25" customHeight="1">
      <c r="A4" s="307"/>
      <c r="B4" s="285" t="s">
        <v>499</v>
      </c>
      <c r="C4" s="285"/>
      <c r="D4" s="285"/>
      <c r="E4" s="294" t="s">
        <v>136</v>
      </c>
      <c r="F4" s="294" t="s">
        <v>136</v>
      </c>
      <c r="G4" s="294" t="s">
        <v>136</v>
      </c>
      <c r="H4" s="294">
        <v>16</v>
      </c>
      <c r="I4" s="309">
        <v>2646</v>
      </c>
      <c r="J4" s="309">
        <v>0</v>
      </c>
      <c r="K4" s="309">
        <v>3000</v>
      </c>
      <c r="L4" s="308">
        <v>0</v>
      </c>
      <c r="M4" s="308">
        <v>3000</v>
      </c>
      <c r="N4" s="308">
        <v>0</v>
      </c>
      <c r="O4" s="308"/>
      <c r="P4" s="308">
        <v>0</v>
      </c>
      <c r="Q4" s="308">
        <v>3000</v>
      </c>
      <c r="R4" s="310" t="s">
        <v>500</v>
      </c>
      <c r="S4" s="250" t="s">
        <v>531</v>
      </c>
      <c r="T4" s="250"/>
      <c r="U4" s="250"/>
      <c r="V4" s="250"/>
      <c r="W4" s="254">
        <f>K4</f>
        <v>3000</v>
      </c>
      <c r="X4" s="255"/>
      <c r="Y4" s="255"/>
      <c r="Z4" s="255"/>
      <c r="AA4" s="777"/>
      <c r="AB4" s="778"/>
      <c r="AC4" s="778"/>
      <c r="AD4" s="778"/>
      <c r="AE4" s="791"/>
      <c r="AF4" s="792"/>
      <c r="AG4" s="792"/>
      <c r="AH4" s="793"/>
    </row>
    <row r="5" spans="1:34" ht="31.5" customHeight="1">
      <c r="A5" s="284"/>
      <c r="B5" s="285" t="s">
        <v>501</v>
      </c>
      <c r="C5" s="285"/>
      <c r="D5" s="285"/>
      <c r="E5" s="294" t="s">
        <v>136</v>
      </c>
      <c r="F5" s="294" t="s">
        <v>136</v>
      </c>
      <c r="G5" s="294" t="s">
        <v>136</v>
      </c>
      <c r="H5" s="294">
        <v>18</v>
      </c>
      <c r="I5" s="309">
        <v>2670</v>
      </c>
      <c r="J5" s="309">
        <v>0</v>
      </c>
      <c r="K5" s="309">
        <v>3000</v>
      </c>
      <c r="L5" s="308">
        <v>0</v>
      </c>
      <c r="M5" s="308">
        <v>3000</v>
      </c>
      <c r="N5" s="308">
        <v>0</v>
      </c>
      <c r="O5" s="308"/>
      <c r="P5" s="308">
        <v>0</v>
      </c>
      <c r="Q5" s="308">
        <v>3000</v>
      </c>
      <c r="R5" s="310" t="s">
        <v>500</v>
      </c>
      <c r="S5" s="250" t="s">
        <v>531</v>
      </c>
      <c r="T5" s="250"/>
      <c r="U5" s="250"/>
      <c r="V5" s="250"/>
      <c r="W5" s="254">
        <f>$K$5</f>
        <v>3000</v>
      </c>
      <c r="X5" s="258"/>
      <c r="Y5" s="258"/>
      <c r="Z5" s="258"/>
      <c r="AA5" s="777"/>
      <c r="AB5" s="778"/>
      <c r="AC5" s="778"/>
      <c r="AD5" s="778"/>
      <c r="AE5" s="791"/>
      <c r="AF5" s="792"/>
      <c r="AG5" s="792"/>
      <c r="AH5" s="793"/>
    </row>
    <row r="6" spans="1:34" ht="24.75" customHeight="1">
      <c r="A6" s="284"/>
      <c r="B6" s="285" t="s">
        <v>564</v>
      </c>
      <c r="C6" s="285"/>
      <c r="D6" s="285"/>
      <c r="E6" s="294" t="s">
        <v>136</v>
      </c>
      <c r="F6" s="294" t="s">
        <v>136</v>
      </c>
      <c r="G6" s="294" t="s">
        <v>136</v>
      </c>
      <c r="H6" s="294">
        <v>14</v>
      </c>
      <c r="I6" s="309">
        <v>2073</v>
      </c>
      <c r="J6" s="309">
        <v>0</v>
      </c>
      <c r="K6" s="309">
        <v>2000</v>
      </c>
      <c r="L6" s="308">
        <v>0</v>
      </c>
      <c r="M6" s="308">
        <v>2000</v>
      </c>
      <c r="N6" s="308">
        <v>0</v>
      </c>
      <c r="O6" s="308"/>
      <c r="P6" s="308">
        <v>0</v>
      </c>
      <c r="Q6" s="308">
        <v>2000</v>
      </c>
      <c r="R6" s="310" t="s">
        <v>500</v>
      </c>
      <c r="S6" s="250" t="s">
        <v>531</v>
      </c>
      <c r="T6" s="250"/>
      <c r="U6" s="250"/>
      <c r="V6" s="250"/>
      <c r="W6" s="254">
        <f>K6</f>
        <v>2000</v>
      </c>
      <c r="X6" s="255"/>
      <c r="Y6" s="255"/>
      <c r="Z6" s="255"/>
      <c r="AA6" s="777"/>
      <c r="AB6" s="778"/>
      <c r="AC6" s="778"/>
      <c r="AD6" s="778"/>
      <c r="AE6" s="791"/>
      <c r="AF6" s="792"/>
      <c r="AG6" s="792"/>
      <c r="AH6" s="793"/>
    </row>
    <row r="7" spans="1:34" ht="33.75" customHeight="1">
      <c r="A7" s="284"/>
      <c r="B7" s="285" t="s">
        <v>502</v>
      </c>
      <c r="C7" s="285"/>
      <c r="D7" s="285"/>
      <c r="E7" s="294"/>
      <c r="F7" s="294" t="s">
        <v>136</v>
      </c>
      <c r="G7" s="294" t="s">
        <v>136</v>
      </c>
      <c r="H7" s="294">
        <v>38</v>
      </c>
      <c r="I7" s="309">
        <v>5929</v>
      </c>
      <c r="J7" s="309">
        <v>0</v>
      </c>
      <c r="K7" s="309">
        <v>6000</v>
      </c>
      <c r="L7" s="308">
        <v>0</v>
      </c>
      <c r="M7" s="308"/>
      <c r="N7" s="308">
        <v>5929</v>
      </c>
      <c r="O7" s="308">
        <v>6000</v>
      </c>
      <c r="P7" s="308">
        <v>5929</v>
      </c>
      <c r="Q7" s="308">
        <v>6000</v>
      </c>
      <c r="R7" s="310" t="s">
        <v>503</v>
      </c>
      <c r="S7" s="250" t="s">
        <v>531</v>
      </c>
      <c r="T7" s="250"/>
      <c r="U7" s="250" t="s">
        <v>531</v>
      </c>
      <c r="V7" s="250"/>
      <c r="W7" s="784"/>
      <c r="X7" s="785"/>
      <c r="Y7" s="785"/>
      <c r="Z7" s="785"/>
      <c r="AA7" s="254">
        <f>$K$7*0.7</f>
        <v>4200</v>
      </c>
      <c r="AB7" s="255"/>
      <c r="AC7" s="258">
        <f>$K$7*0.3</f>
        <v>1800</v>
      </c>
      <c r="AD7" s="255"/>
      <c r="AE7" s="254">
        <f>$K$7*0.7</f>
        <v>4200</v>
      </c>
      <c r="AF7" s="255"/>
      <c r="AG7" s="258">
        <f>$K$7*0.3</f>
        <v>1800</v>
      </c>
      <c r="AH7" s="624"/>
    </row>
    <row r="8" spans="1:34" ht="24.75" customHeight="1">
      <c r="A8" s="284"/>
      <c r="B8" s="285" t="s">
        <v>561</v>
      </c>
      <c r="C8" s="285"/>
      <c r="D8" s="285"/>
      <c r="E8" s="294"/>
      <c r="F8" s="294" t="s">
        <v>136</v>
      </c>
      <c r="G8" s="294" t="s">
        <v>136</v>
      </c>
      <c r="H8" s="294">
        <v>34</v>
      </c>
      <c r="I8" s="309">
        <v>5090</v>
      </c>
      <c r="J8" s="309">
        <v>0</v>
      </c>
      <c r="K8" s="309">
        <v>5000</v>
      </c>
      <c r="L8" s="308">
        <v>0</v>
      </c>
      <c r="M8" s="308"/>
      <c r="N8" s="308">
        <v>5090</v>
      </c>
      <c r="O8" s="308">
        <v>5000</v>
      </c>
      <c r="P8" s="308">
        <v>5090</v>
      </c>
      <c r="Q8" s="308">
        <v>5000</v>
      </c>
      <c r="R8" s="310" t="s">
        <v>500</v>
      </c>
      <c r="S8" s="250" t="s">
        <v>531</v>
      </c>
      <c r="T8" s="250"/>
      <c r="U8" s="250"/>
      <c r="V8" s="250"/>
      <c r="W8" s="784"/>
      <c r="X8" s="785"/>
      <c r="Y8" s="785"/>
      <c r="Z8" s="785"/>
      <c r="AA8" s="254">
        <f>K8</f>
        <v>5000</v>
      </c>
      <c r="AB8" s="255"/>
      <c r="AC8" s="255"/>
      <c r="AD8" s="255"/>
      <c r="AE8" s="254">
        <f>K8</f>
        <v>5000</v>
      </c>
      <c r="AF8" s="255"/>
      <c r="AG8" s="255"/>
      <c r="AH8" s="624"/>
    </row>
    <row r="9" spans="1:34" ht="20.25" customHeight="1">
      <c r="A9" s="284"/>
      <c r="B9" s="285" t="s">
        <v>504</v>
      </c>
      <c r="C9" s="285"/>
      <c r="D9" s="285"/>
      <c r="E9" s="294"/>
      <c r="F9" s="294"/>
      <c r="G9" s="294" t="s">
        <v>136</v>
      </c>
      <c r="H9" s="294">
        <v>62</v>
      </c>
      <c r="I9" s="309">
        <v>9963</v>
      </c>
      <c r="J9" s="309">
        <v>4000</v>
      </c>
      <c r="K9" s="309">
        <v>15000</v>
      </c>
      <c r="L9" s="308"/>
      <c r="M9" s="308"/>
      <c r="N9" s="308"/>
      <c r="O9" s="308"/>
      <c r="P9" s="308">
        <v>13963</v>
      </c>
      <c r="Q9" s="308">
        <v>15000</v>
      </c>
      <c r="R9" s="310" t="s">
        <v>505</v>
      </c>
      <c r="S9" s="250"/>
      <c r="T9" s="250" t="s">
        <v>531</v>
      </c>
      <c r="U9" s="250"/>
      <c r="V9" s="250"/>
      <c r="W9" s="784"/>
      <c r="X9" s="785"/>
      <c r="Y9" s="785"/>
      <c r="Z9" s="785"/>
      <c r="AA9" s="777"/>
      <c r="AB9" s="778"/>
      <c r="AC9" s="778"/>
      <c r="AD9" s="778"/>
      <c r="AE9" s="259"/>
      <c r="AF9" s="258">
        <f>K9</f>
        <v>15000</v>
      </c>
      <c r="AG9" s="255"/>
      <c r="AH9" s="624"/>
    </row>
    <row r="10" spans="1:34" ht="27" customHeight="1" thickBot="1">
      <c r="A10" s="284"/>
      <c r="B10" s="285" t="s">
        <v>506</v>
      </c>
      <c r="C10" s="285"/>
      <c r="D10" s="285"/>
      <c r="E10" s="294"/>
      <c r="F10" s="294"/>
      <c r="G10" s="294" t="s">
        <v>136</v>
      </c>
      <c r="H10" s="294">
        <v>132</v>
      </c>
      <c r="I10" s="309">
        <v>21702</v>
      </c>
      <c r="J10" s="309">
        <v>5000</v>
      </c>
      <c r="K10" s="309">
        <v>27000</v>
      </c>
      <c r="L10" s="308"/>
      <c r="M10" s="308"/>
      <c r="N10" s="308"/>
      <c r="O10" s="308"/>
      <c r="P10" s="308">
        <v>26702</v>
      </c>
      <c r="Q10" s="308">
        <v>27000</v>
      </c>
      <c r="R10" s="310" t="s">
        <v>507</v>
      </c>
      <c r="S10" s="250"/>
      <c r="T10" s="250" t="s">
        <v>531</v>
      </c>
      <c r="U10" s="250"/>
      <c r="V10" s="250"/>
      <c r="W10" s="786"/>
      <c r="X10" s="787"/>
      <c r="Y10" s="787"/>
      <c r="Z10" s="787"/>
      <c r="AA10" s="777"/>
      <c r="AB10" s="778"/>
      <c r="AC10" s="778"/>
      <c r="AD10" s="778"/>
      <c r="AE10" s="259"/>
      <c r="AF10" s="258">
        <f>K10</f>
        <v>27000</v>
      </c>
      <c r="AG10" s="255"/>
      <c r="AH10" s="624"/>
    </row>
    <row r="11" spans="1:34">
      <c r="A11" s="301" t="s">
        <v>536</v>
      </c>
      <c r="B11" s="286"/>
      <c r="C11" s="286"/>
      <c r="D11" s="286"/>
      <c r="E11" s="302"/>
      <c r="F11" s="302"/>
      <c r="G11" s="302"/>
      <c r="H11" s="302"/>
      <c r="I11" s="303"/>
      <c r="J11" s="303"/>
      <c r="K11" s="303"/>
      <c r="L11" s="304"/>
      <c r="M11" s="304"/>
      <c r="N11" s="304"/>
      <c r="O11" s="304"/>
      <c r="P11" s="304"/>
      <c r="Q11" s="304"/>
      <c r="R11" s="305"/>
      <c r="S11" s="306"/>
      <c r="T11" s="306"/>
      <c r="U11" s="306"/>
      <c r="V11" s="306"/>
      <c r="W11" s="261"/>
      <c r="X11" s="262"/>
      <c r="Y11" s="262"/>
      <c r="Z11" s="262"/>
      <c r="AA11" s="261"/>
      <c r="AB11" s="262"/>
      <c r="AC11" s="262"/>
      <c r="AD11" s="262"/>
      <c r="AE11" s="261"/>
      <c r="AF11" s="262"/>
      <c r="AG11" s="262"/>
      <c r="AH11" s="263"/>
    </row>
    <row r="12" spans="1:34" ht="42.75" customHeight="1">
      <c r="A12" s="307"/>
      <c r="B12" s="285" t="s">
        <v>565</v>
      </c>
      <c r="C12" s="285"/>
      <c r="D12" s="285"/>
      <c r="E12" s="294" t="s">
        <v>136</v>
      </c>
      <c r="F12" s="294" t="s">
        <v>136</v>
      </c>
      <c r="G12" s="294" t="s">
        <v>136</v>
      </c>
      <c r="H12" s="294">
        <v>50</v>
      </c>
      <c r="I12" s="309">
        <v>8141</v>
      </c>
      <c r="J12" s="309">
        <v>0</v>
      </c>
      <c r="K12" s="309">
        <v>8000</v>
      </c>
      <c r="L12" s="308">
        <v>0</v>
      </c>
      <c r="M12" s="308">
        <v>8000</v>
      </c>
      <c r="N12" s="308">
        <v>0</v>
      </c>
      <c r="O12" s="308"/>
      <c r="P12" s="308">
        <v>0</v>
      </c>
      <c r="Q12" s="308">
        <v>8000</v>
      </c>
      <c r="R12" s="310" t="s">
        <v>508</v>
      </c>
      <c r="S12" s="250"/>
      <c r="T12" s="250" t="s">
        <v>531</v>
      </c>
      <c r="U12" s="250"/>
      <c r="V12" s="250"/>
      <c r="W12" s="259"/>
      <c r="X12" s="258">
        <f>K12</f>
        <v>8000</v>
      </c>
      <c r="Y12" s="255"/>
      <c r="Z12" s="255"/>
      <c r="AA12" s="777"/>
      <c r="AB12" s="778"/>
      <c r="AC12" s="778"/>
      <c r="AD12" s="778"/>
      <c r="AE12" s="791"/>
      <c r="AF12" s="792"/>
      <c r="AG12" s="792"/>
      <c r="AH12" s="793"/>
    </row>
    <row r="13" spans="1:34" ht="21" customHeight="1">
      <c r="A13" s="284"/>
      <c r="B13" s="285" t="s">
        <v>562</v>
      </c>
      <c r="C13" s="285"/>
      <c r="D13" s="285"/>
      <c r="E13" s="294"/>
      <c r="F13" s="294" t="s">
        <v>136</v>
      </c>
      <c r="G13" s="294" t="s">
        <v>136</v>
      </c>
      <c r="H13" s="294">
        <v>124</v>
      </c>
      <c r="I13" s="309">
        <v>21028</v>
      </c>
      <c r="J13" s="309">
        <v>0</v>
      </c>
      <c r="K13" s="309">
        <v>21000</v>
      </c>
      <c r="L13" s="308">
        <v>0</v>
      </c>
      <c r="M13" s="308"/>
      <c r="N13" s="308">
        <v>21028</v>
      </c>
      <c r="O13" s="308">
        <v>21000</v>
      </c>
      <c r="P13" s="308">
        <v>21028</v>
      </c>
      <c r="Q13" s="308">
        <v>21000</v>
      </c>
      <c r="R13" s="310" t="s">
        <v>509</v>
      </c>
      <c r="S13" s="250"/>
      <c r="T13" s="250" t="s">
        <v>531</v>
      </c>
      <c r="U13" s="250" t="s">
        <v>531</v>
      </c>
      <c r="V13" s="250"/>
      <c r="W13" s="784"/>
      <c r="X13" s="785"/>
      <c r="Y13" s="785"/>
      <c r="Z13" s="785"/>
      <c r="AA13" s="259"/>
      <c r="AB13" s="258">
        <f>$K$13*0.7</f>
        <v>14699.999999999998</v>
      </c>
      <c r="AC13" s="258">
        <f>$K$13*0.3</f>
        <v>6300</v>
      </c>
      <c r="AD13" s="255"/>
      <c r="AE13" s="259"/>
      <c r="AF13" s="258">
        <f>$K$13*0.7</f>
        <v>14699.999999999998</v>
      </c>
      <c r="AG13" s="258">
        <f>$K$13*0.3</f>
        <v>6300</v>
      </c>
      <c r="AH13" s="624"/>
    </row>
    <row r="14" spans="1:34" ht="33.75" customHeight="1">
      <c r="A14" s="284"/>
      <c r="B14" s="285" t="s">
        <v>510</v>
      </c>
      <c r="C14" s="285"/>
      <c r="D14" s="285"/>
      <c r="E14" s="294"/>
      <c r="F14" s="294"/>
      <c r="G14" s="294" t="s">
        <v>136</v>
      </c>
      <c r="H14" s="294">
        <v>112</v>
      </c>
      <c r="I14" s="309">
        <v>16780</v>
      </c>
      <c r="J14" s="309">
        <v>0</v>
      </c>
      <c r="K14" s="309">
        <v>17000</v>
      </c>
      <c r="L14" s="308">
        <v>0</v>
      </c>
      <c r="M14" s="308"/>
      <c r="N14" s="308">
        <v>0</v>
      </c>
      <c r="O14" s="308"/>
      <c r="P14" s="308">
        <v>16780</v>
      </c>
      <c r="Q14" s="308">
        <v>17000</v>
      </c>
      <c r="R14" s="310" t="s">
        <v>509</v>
      </c>
      <c r="S14" s="250"/>
      <c r="T14" s="250" t="s">
        <v>531</v>
      </c>
      <c r="U14" s="250" t="s">
        <v>531</v>
      </c>
      <c r="V14" s="250"/>
      <c r="W14" s="784"/>
      <c r="X14" s="785"/>
      <c r="Y14" s="785"/>
      <c r="Z14" s="785"/>
      <c r="AA14" s="777"/>
      <c r="AB14" s="778"/>
      <c r="AC14" s="778"/>
      <c r="AD14" s="778"/>
      <c r="AE14" s="259"/>
      <c r="AF14" s="258">
        <f>K14*0.7</f>
        <v>11900</v>
      </c>
      <c r="AG14" s="258">
        <f>K14*0.3</f>
        <v>5100</v>
      </c>
      <c r="AH14" s="624"/>
    </row>
    <row r="15" spans="1:34" ht="37.5" customHeight="1" thickBot="1">
      <c r="A15" s="284"/>
      <c r="B15" s="285" t="s">
        <v>560</v>
      </c>
      <c r="C15" s="285"/>
      <c r="D15" s="285"/>
      <c r="E15" s="294"/>
      <c r="F15" s="294"/>
      <c r="G15" s="294" t="s">
        <v>136</v>
      </c>
      <c r="H15" s="294">
        <v>624</v>
      </c>
      <c r="I15" s="309">
        <v>103088</v>
      </c>
      <c r="J15" s="309">
        <v>3000</v>
      </c>
      <c r="K15" s="309">
        <v>110000</v>
      </c>
      <c r="L15" s="308">
        <v>0</v>
      </c>
      <c r="M15" s="308"/>
      <c r="N15" s="308">
        <v>0</v>
      </c>
      <c r="O15" s="308"/>
      <c r="P15" s="308">
        <v>106088</v>
      </c>
      <c r="Q15" s="308">
        <v>110000</v>
      </c>
      <c r="R15" s="310" t="s">
        <v>509</v>
      </c>
      <c r="S15" s="250"/>
      <c r="T15" s="250"/>
      <c r="U15" s="250" t="s">
        <v>531</v>
      </c>
      <c r="V15" s="250"/>
      <c r="W15" s="786"/>
      <c r="X15" s="787"/>
      <c r="Y15" s="787"/>
      <c r="Z15" s="787"/>
      <c r="AA15" s="777"/>
      <c r="AB15" s="778"/>
      <c r="AC15" s="778"/>
      <c r="AD15" s="778"/>
      <c r="AE15" s="259"/>
      <c r="AF15" s="258"/>
      <c r="AG15" s="258">
        <f>K15</f>
        <v>110000</v>
      </c>
      <c r="AH15" s="624"/>
    </row>
    <row r="16" spans="1:34">
      <c r="A16" s="301" t="s">
        <v>539</v>
      </c>
      <c r="B16" s="286"/>
      <c r="C16" s="286"/>
      <c r="D16" s="286"/>
      <c r="E16" s="302"/>
      <c r="F16" s="302"/>
      <c r="G16" s="302"/>
      <c r="H16" s="302"/>
      <c r="I16" s="303"/>
      <c r="J16" s="303"/>
      <c r="K16" s="303"/>
      <c r="L16" s="304"/>
      <c r="M16" s="304"/>
      <c r="N16" s="304"/>
      <c r="O16" s="304"/>
      <c r="P16" s="304"/>
      <c r="Q16" s="304"/>
      <c r="R16" s="305"/>
      <c r="S16" s="306"/>
      <c r="T16" s="306"/>
      <c r="U16" s="306"/>
      <c r="V16" s="306"/>
      <c r="W16" s="261"/>
      <c r="X16" s="262"/>
      <c r="Y16" s="262"/>
      <c r="Z16" s="262"/>
      <c r="AA16" s="261"/>
      <c r="AB16" s="262"/>
      <c r="AC16" s="262"/>
      <c r="AD16" s="262"/>
      <c r="AE16" s="261"/>
      <c r="AF16" s="262"/>
      <c r="AG16" s="262"/>
      <c r="AH16" s="263"/>
    </row>
    <row r="17" spans="1:34" ht="48" customHeight="1">
      <c r="A17" s="307"/>
      <c r="B17" s="285" t="s">
        <v>566</v>
      </c>
      <c r="C17" s="285"/>
      <c r="D17" s="285"/>
      <c r="E17" s="294" t="s">
        <v>136</v>
      </c>
      <c r="F17" s="294" t="s">
        <v>136</v>
      </c>
      <c r="G17" s="294" t="s">
        <v>136</v>
      </c>
      <c r="H17" s="294">
        <v>64</v>
      </c>
      <c r="I17" s="309">
        <v>10731</v>
      </c>
      <c r="J17" s="309">
        <v>0</v>
      </c>
      <c r="K17" s="309">
        <v>11000</v>
      </c>
      <c r="L17" s="308">
        <v>0</v>
      </c>
      <c r="M17" s="308">
        <v>11000</v>
      </c>
      <c r="N17" s="308">
        <v>0</v>
      </c>
      <c r="O17" s="308"/>
      <c r="P17" s="308">
        <v>0</v>
      </c>
      <c r="Q17" s="308">
        <v>11000</v>
      </c>
      <c r="R17" s="310" t="s">
        <v>511</v>
      </c>
      <c r="S17" s="250"/>
      <c r="T17" s="250" t="s">
        <v>531</v>
      </c>
      <c r="U17" s="250" t="s">
        <v>531</v>
      </c>
      <c r="V17" s="250"/>
      <c r="W17" s="259"/>
      <c r="X17" s="258">
        <f>$K$17*0.7</f>
        <v>7699.9999999999991</v>
      </c>
      <c r="Y17" s="258">
        <f>$K$17*0.3</f>
        <v>3300</v>
      </c>
      <c r="Z17" s="255"/>
      <c r="AA17" s="777"/>
      <c r="AB17" s="778"/>
      <c r="AC17" s="778"/>
      <c r="AD17" s="778"/>
      <c r="AE17" s="791"/>
      <c r="AF17" s="792"/>
      <c r="AG17" s="792"/>
      <c r="AH17" s="793"/>
    </row>
    <row r="18" spans="1:34" ht="21.75" customHeight="1">
      <c r="A18" s="284"/>
      <c r="B18" s="285" t="s">
        <v>512</v>
      </c>
      <c r="C18" s="285"/>
      <c r="D18" s="285"/>
      <c r="E18" s="294"/>
      <c r="F18" s="294" t="s">
        <v>136</v>
      </c>
      <c r="G18" s="294" t="s">
        <v>136</v>
      </c>
      <c r="H18" s="294">
        <v>168</v>
      </c>
      <c r="I18" s="309">
        <v>28402</v>
      </c>
      <c r="J18" s="309"/>
      <c r="K18" s="309">
        <v>30000</v>
      </c>
      <c r="L18" s="308">
        <v>0</v>
      </c>
      <c r="M18" s="308"/>
      <c r="N18" s="308">
        <v>28402</v>
      </c>
      <c r="O18" s="308">
        <v>28000</v>
      </c>
      <c r="P18" s="308">
        <v>28402</v>
      </c>
      <c r="Q18" s="308">
        <v>30000</v>
      </c>
      <c r="R18" s="310" t="s">
        <v>513</v>
      </c>
      <c r="S18" s="250"/>
      <c r="T18" s="250" t="s">
        <v>531</v>
      </c>
      <c r="U18" s="250" t="s">
        <v>531</v>
      </c>
      <c r="V18" s="250"/>
      <c r="W18" s="784"/>
      <c r="X18" s="785"/>
      <c r="Y18" s="785"/>
      <c r="Z18" s="785"/>
      <c r="AA18" s="259"/>
      <c r="AB18" s="258">
        <f>$K$18*0.7</f>
        <v>21000</v>
      </c>
      <c r="AC18" s="258">
        <f>$K$18*0.3</f>
        <v>9000</v>
      </c>
      <c r="AD18" s="255"/>
      <c r="AE18" s="259"/>
      <c r="AF18" s="258">
        <f>$K$18*0.7</f>
        <v>21000</v>
      </c>
      <c r="AG18" s="258">
        <f>$K$18*0.3</f>
        <v>9000</v>
      </c>
      <c r="AH18" s="624"/>
    </row>
    <row r="19" spans="1:34" ht="24.75" customHeight="1">
      <c r="A19" s="284"/>
      <c r="B19" s="285" t="s">
        <v>514</v>
      </c>
      <c r="C19" s="285"/>
      <c r="D19" s="285"/>
      <c r="E19" s="294"/>
      <c r="F19" s="294" t="s">
        <v>136</v>
      </c>
      <c r="G19" s="294" t="s">
        <v>136</v>
      </c>
      <c r="H19" s="294">
        <v>400</v>
      </c>
      <c r="I19" s="309">
        <v>67780</v>
      </c>
      <c r="J19" s="309"/>
      <c r="K19" s="309">
        <v>68000</v>
      </c>
      <c r="L19" s="308">
        <v>0</v>
      </c>
      <c r="M19" s="308"/>
      <c r="N19" s="308">
        <v>67780</v>
      </c>
      <c r="O19" s="308">
        <v>68000</v>
      </c>
      <c r="P19" s="308">
        <v>67780</v>
      </c>
      <c r="Q19" s="308">
        <v>68000</v>
      </c>
      <c r="R19" s="310" t="s">
        <v>513</v>
      </c>
      <c r="S19" s="250"/>
      <c r="T19" s="250"/>
      <c r="U19" s="250" t="s">
        <v>531</v>
      </c>
      <c r="V19" s="250"/>
      <c r="W19" s="784"/>
      <c r="X19" s="785"/>
      <c r="Y19" s="785"/>
      <c r="Z19" s="785"/>
      <c r="AA19" s="259"/>
      <c r="AB19" s="255"/>
      <c r="AC19" s="258">
        <f t="shared" ref="AC19" si="0">K19</f>
        <v>68000</v>
      </c>
      <c r="AD19" s="255"/>
      <c r="AE19" s="259"/>
      <c r="AF19" s="255"/>
      <c r="AG19" s="258">
        <f>K19</f>
        <v>68000</v>
      </c>
      <c r="AH19" s="624"/>
    </row>
    <row r="20" spans="1:34" ht="30.75" customHeight="1" thickBot="1">
      <c r="A20" s="284"/>
      <c r="B20" s="285" t="s">
        <v>563</v>
      </c>
      <c r="C20" s="285"/>
      <c r="D20" s="285"/>
      <c r="E20" s="294"/>
      <c r="F20" s="294"/>
      <c r="G20" s="294" t="s">
        <v>136</v>
      </c>
      <c r="H20" s="294">
        <v>410</v>
      </c>
      <c r="I20" s="309">
        <v>70259</v>
      </c>
      <c r="J20" s="309"/>
      <c r="K20" s="309">
        <v>70000</v>
      </c>
      <c r="L20" s="308">
        <v>0</v>
      </c>
      <c r="M20" s="308"/>
      <c r="N20" s="308">
        <v>0</v>
      </c>
      <c r="O20" s="308"/>
      <c r="P20" s="308">
        <v>70259</v>
      </c>
      <c r="Q20" s="308">
        <v>70000</v>
      </c>
      <c r="R20" s="310" t="s">
        <v>511</v>
      </c>
      <c r="S20" s="250"/>
      <c r="T20" s="250"/>
      <c r="U20" s="250" t="s">
        <v>531</v>
      </c>
      <c r="V20" s="250"/>
      <c r="W20" s="784"/>
      <c r="X20" s="785"/>
      <c r="Y20" s="785"/>
      <c r="Z20" s="785"/>
      <c r="AA20" s="777"/>
      <c r="AB20" s="778"/>
      <c r="AC20" s="778"/>
      <c r="AD20" s="778"/>
      <c r="AE20" s="259"/>
      <c r="AF20" s="255"/>
      <c r="AG20" s="258">
        <f>K20</f>
        <v>70000</v>
      </c>
      <c r="AH20" s="624"/>
    </row>
    <row r="21" spans="1:34">
      <c r="A21" s="301" t="s">
        <v>598</v>
      </c>
      <c r="B21" s="286"/>
      <c r="C21" s="286"/>
      <c r="D21" s="286"/>
      <c r="E21" s="302"/>
      <c r="F21" s="302"/>
      <c r="G21" s="302"/>
      <c r="H21" s="302"/>
      <c r="I21" s="303"/>
      <c r="J21" s="303"/>
      <c r="K21" s="303"/>
      <c r="L21" s="304"/>
      <c r="M21" s="304"/>
      <c r="N21" s="304"/>
      <c r="O21" s="304"/>
      <c r="P21" s="304"/>
      <c r="Q21" s="304"/>
      <c r="R21" s="305"/>
      <c r="S21" s="306"/>
      <c r="T21" s="306"/>
      <c r="U21" s="306"/>
      <c r="V21" s="306"/>
      <c r="W21" s="261"/>
      <c r="X21" s="262"/>
      <c r="Y21" s="262"/>
      <c r="Z21" s="262"/>
      <c r="AA21" s="261"/>
      <c r="AB21" s="262"/>
      <c r="AC21" s="262"/>
      <c r="AD21" s="262"/>
      <c r="AE21" s="261"/>
      <c r="AF21" s="262"/>
      <c r="AG21" s="262"/>
      <c r="AH21" s="263"/>
    </row>
    <row r="22" spans="1:34" ht="27.75" customHeight="1">
      <c r="A22" s="307"/>
      <c r="B22" s="285" t="s">
        <v>515</v>
      </c>
      <c r="C22" s="285"/>
      <c r="D22" s="285"/>
      <c r="E22" s="294" t="s">
        <v>136</v>
      </c>
      <c r="F22" s="294" t="s">
        <v>136</v>
      </c>
      <c r="G22" s="294" t="s">
        <v>136</v>
      </c>
      <c r="H22" s="294">
        <v>84</v>
      </c>
      <c r="I22" s="309">
        <v>12440</v>
      </c>
      <c r="J22" s="309">
        <v>0</v>
      </c>
      <c r="K22" s="309">
        <v>13000</v>
      </c>
      <c r="L22" s="308">
        <v>0</v>
      </c>
      <c r="M22" s="308">
        <v>13000</v>
      </c>
      <c r="N22" s="308">
        <v>0</v>
      </c>
      <c r="O22" s="308"/>
      <c r="P22" s="308">
        <v>0</v>
      </c>
      <c r="Q22" s="308">
        <v>13000</v>
      </c>
      <c r="R22" s="310" t="s">
        <v>516</v>
      </c>
      <c r="S22" s="250"/>
      <c r="T22" s="250" t="s">
        <v>531</v>
      </c>
      <c r="U22" s="250" t="s">
        <v>531</v>
      </c>
      <c r="V22" s="250"/>
      <c r="W22" s="259"/>
      <c r="X22" s="258">
        <f>$K$22*0.7</f>
        <v>9100</v>
      </c>
      <c r="Y22" s="258">
        <f>$K$22*0.3</f>
        <v>3900</v>
      </c>
      <c r="Z22" s="255"/>
      <c r="AA22" s="777"/>
      <c r="AB22" s="778"/>
      <c r="AC22" s="778"/>
      <c r="AD22" s="778"/>
      <c r="AE22" s="791"/>
      <c r="AF22" s="792"/>
      <c r="AG22" s="792"/>
      <c r="AH22" s="793"/>
    </row>
    <row r="23" spans="1:34" ht="38.25" customHeight="1">
      <c r="A23" s="284"/>
      <c r="B23" s="285" t="s">
        <v>517</v>
      </c>
      <c r="C23" s="285"/>
      <c r="D23" s="285"/>
      <c r="E23" s="294" t="s">
        <v>136</v>
      </c>
      <c r="F23" s="294" t="s">
        <v>136</v>
      </c>
      <c r="G23" s="294" t="s">
        <v>136</v>
      </c>
      <c r="H23" s="294">
        <v>38</v>
      </c>
      <c r="I23" s="309">
        <v>6027</v>
      </c>
      <c r="J23" s="309">
        <v>0</v>
      </c>
      <c r="K23" s="309">
        <v>6000</v>
      </c>
      <c r="L23" s="308">
        <v>0</v>
      </c>
      <c r="M23" s="308">
        <v>6000</v>
      </c>
      <c r="N23" s="308">
        <v>0</v>
      </c>
      <c r="O23" s="308"/>
      <c r="P23" s="308">
        <v>0</v>
      </c>
      <c r="Q23" s="308">
        <v>6000</v>
      </c>
      <c r="R23" s="310" t="s">
        <v>518</v>
      </c>
      <c r="S23" s="250"/>
      <c r="T23" s="250" t="s">
        <v>531</v>
      </c>
      <c r="U23" s="250" t="s">
        <v>531</v>
      </c>
      <c r="V23" s="250"/>
      <c r="W23" s="259"/>
      <c r="X23" s="258">
        <f>$K$23*0.7</f>
        <v>4200</v>
      </c>
      <c r="Y23" s="258">
        <f>$K$23*0.3</f>
        <v>1800</v>
      </c>
      <c r="Z23" s="255"/>
      <c r="AA23" s="777"/>
      <c r="AB23" s="778"/>
      <c r="AC23" s="778"/>
      <c r="AD23" s="778"/>
      <c r="AE23" s="791"/>
      <c r="AF23" s="792"/>
      <c r="AG23" s="792"/>
      <c r="AH23" s="793"/>
    </row>
    <row r="24" spans="1:34" ht="42" customHeight="1">
      <c r="A24" s="284"/>
      <c r="B24" s="285" t="s">
        <v>519</v>
      </c>
      <c r="C24" s="285"/>
      <c r="D24" s="285"/>
      <c r="E24" s="294"/>
      <c r="F24" s="294" t="s">
        <v>136</v>
      </c>
      <c r="G24" s="294" t="s">
        <v>136</v>
      </c>
      <c r="H24" s="294">
        <v>144</v>
      </c>
      <c r="I24" s="309">
        <v>22332</v>
      </c>
      <c r="J24" s="309">
        <v>0</v>
      </c>
      <c r="K24" s="309">
        <v>22000</v>
      </c>
      <c r="L24" s="308">
        <v>0</v>
      </c>
      <c r="M24" s="308"/>
      <c r="N24" s="308">
        <v>22332</v>
      </c>
      <c r="O24" s="308">
        <v>22000</v>
      </c>
      <c r="P24" s="308">
        <v>22332</v>
      </c>
      <c r="Q24" s="308">
        <v>22000</v>
      </c>
      <c r="R24" s="310" t="s">
        <v>518</v>
      </c>
      <c r="S24" s="250"/>
      <c r="T24" s="250"/>
      <c r="U24" s="250" t="s">
        <v>531</v>
      </c>
      <c r="V24" s="250"/>
      <c r="W24" s="625"/>
      <c r="X24" s="626"/>
      <c r="Y24" s="626"/>
      <c r="Z24" s="626"/>
      <c r="AA24" s="259"/>
      <c r="AB24" s="255"/>
      <c r="AC24" s="258">
        <f>K24</f>
        <v>22000</v>
      </c>
      <c r="AD24" s="255"/>
      <c r="AE24" s="259"/>
      <c r="AF24" s="255"/>
      <c r="AG24" s="258">
        <f>K24</f>
        <v>22000</v>
      </c>
      <c r="AH24" s="624"/>
    </row>
    <row r="25" spans="1:34" ht="19.5" customHeight="1">
      <c r="A25" s="284"/>
      <c r="B25" s="285" t="s">
        <v>559</v>
      </c>
      <c r="C25" s="285"/>
      <c r="D25" s="285"/>
      <c r="E25" s="294"/>
      <c r="F25" s="294" t="s">
        <v>136</v>
      </c>
      <c r="G25" s="294" t="s">
        <v>136</v>
      </c>
      <c r="H25" s="294">
        <v>244</v>
      </c>
      <c r="I25" s="309">
        <v>39714</v>
      </c>
      <c r="J25" s="309">
        <v>0</v>
      </c>
      <c r="K25" s="309">
        <v>40000</v>
      </c>
      <c r="L25" s="308">
        <v>0</v>
      </c>
      <c r="M25" s="308"/>
      <c r="N25" s="308">
        <v>39714</v>
      </c>
      <c r="O25" s="308">
        <v>40000</v>
      </c>
      <c r="P25" s="308">
        <v>39714</v>
      </c>
      <c r="Q25" s="308">
        <v>40000</v>
      </c>
      <c r="R25" s="310" t="s">
        <v>518</v>
      </c>
      <c r="S25" s="250"/>
      <c r="T25" s="250" t="s">
        <v>531</v>
      </c>
      <c r="U25" s="250" t="s">
        <v>531</v>
      </c>
      <c r="V25" s="250"/>
      <c r="W25" s="625"/>
      <c r="X25" s="626"/>
      <c r="Y25" s="626"/>
      <c r="Z25" s="626"/>
      <c r="AA25" s="259"/>
      <c r="AB25" s="258">
        <f>$K$25*0.7</f>
        <v>28000</v>
      </c>
      <c r="AC25" s="258">
        <f>$K$25*0.3</f>
        <v>12000</v>
      </c>
      <c r="AD25" s="255"/>
      <c r="AE25" s="259"/>
      <c r="AF25" s="258">
        <f>$K$25*0.7</f>
        <v>28000</v>
      </c>
      <c r="AG25" s="258">
        <f>$K$25*0.3</f>
        <v>12000</v>
      </c>
      <c r="AH25" s="624"/>
    </row>
    <row r="26" spans="1:34" ht="22.5" customHeight="1" thickBot="1">
      <c r="A26" s="284"/>
      <c r="B26" s="285" t="s">
        <v>520</v>
      </c>
      <c r="C26" s="285"/>
      <c r="D26" s="285"/>
      <c r="E26" s="294"/>
      <c r="F26" s="294"/>
      <c r="G26" s="294" t="s">
        <v>136</v>
      </c>
      <c r="H26" s="294">
        <v>702</v>
      </c>
      <c r="I26" s="309">
        <v>115583</v>
      </c>
      <c r="J26" s="309">
        <v>3000</v>
      </c>
      <c r="K26" s="309">
        <v>120000</v>
      </c>
      <c r="L26" s="308">
        <v>0</v>
      </c>
      <c r="M26" s="308"/>
      <c r="N26" s="308">
        <v>0</v>
      </c>
      <c r="O26" s="308"/>
      <c r="P26" s="308">
        <v>118583</v>
      </c>
      <c r="Q26" s="308">
        <v>120000</v>
      </c>
      <c r="R26" s="310" t="s">
        <v>509</v>
      </c>
      <c r="S26" s="250"/>
      <c r="T26" s="250"/>
      <c r="U26" s="250" t="s">
        <v>531</v>
      </c>
      <c r="V26" s="250"/>
      <c r="W26" s="627"/>
      <c r="X26" s="628"/>
      <c r="Y26" s="628"/>
      <c r="Z26" s="628"/>
      <c r="AA26" s="777"/>
      <c r="AB26" s="778"/>
      <c r="AC26" s="778"/>
      <c r="AD26" s="778"/>
      <c r="AE26" s="259"/>
      <c r="AF26" s="255"/>
      <c r="AG26" s="258">
        <f>K26</f>
        <v>120000</v>
      </c>
      <c r="AH26" s="624"/>
    </row>
    <row r="27" spans="1:34">
      <c r="A27" s="301" t="s">
        <v>521</v>
      </c>
      <c r="B27" s="286"/>
      <c r="C27" s="286"/>
      <c r="D27" s="286"/>
      <c r="E27" s="302"/>
      <c r="F27" s="302"/>
      <c r="G27" s="302"/>
      <c r="H27" s="302"/>
      <c r="I27" s="303"/>
      <c r="J27" s="303"/>
      <c r="K27" s="303"/>
      <c r="L27" s="304"/>
      <c r="M27" s="304"/>
      <c r="N27" s="304"/>
      <c r="O27" s="304"/>
      <c r="P27" s="304"/>
      <c r="Q27" s="304"/>
      <c r="R27" s="305"/>
      <c r="S27" s="306"/>
      <c r="T27" s="306"/>
      <c r="U27" s="306"/>
      <c r="V27" s="306"/>
      <c r="W27" s="261"/>
      <c r="X27" s="262"/>
      <c r="Y27" s="262"/>
      <c r="Z27" s="262"/>
      <c r="AA27" s="261"/>
      <c r="AB27" s="262"/>
      <c r="AC27" s="262"/>
      <c r="AD27" s="262"/>
      <c r="AE27" s="261"/>
      <c r="AF27" s="262"/>
      <c r="AG27" s="262"/>
      <c r="AH27" s="263"/>
    </row>
    <row r="28" spans="1:34" ht="30" customHeight="1">
      <c r="A28" s="307"/>
      <c r="B28" s="285" t="s">
        <v>567</v>
      </c>
      <c r="C28" s="285"/>
      <c r="D28" s="285"/>
      <c r="E28" s="294" t="s">
        <v>136</v>
      </c>
      <c r="F28" s="294" t="s">
        <v>136</v>
      </c>
      <c r="G28" s="294" t="s">
        <v>136</v>
      </c>
      <c r="H28" s="294">
        <v>104</v>
      </c>
      <c r="I28" s="309">
        <v>16782</v>
      </c>
      <c r="J28" s="309">
        <v>0</v>
      </c>
      <c r="K28" s="309">
        <v>17000</v>
      </c>
      <c r="L28" s="308">
        <v>0</v>
      </c>
      <c r="M28" s="308">
        <v>17000</v>
      </c>
      <c r="N28" s="308">
        <v>0</v>
      </c>
      <c r="O28" s="308"/>
      <c r="P28" s="308">
        <v>0</v>
      </c>
      <c r="Q28" s="308"/>
      <c r="R28" s="310" t="s">
        <v>522</v>
      </c>
      <c r="S28" s="250"/>
      <c r="T28" s="250"/>
      <c r="U28" s="250" t="s">
        <v>531</v>
      </c>
      <c r="V28" s="250"/>
      <c r="W28" s="259"/>
      <c r="X28" s="255"/>
      <c r="Y28" s="258">
        <f>K28</f>
        <v>17000</v>
      </c>
      <c r="Z28" s="255"/>
      <c r="AA28" s="777"/>
      <c r="AB28" s="778"/>
      <c r="AC28" s="778"/>
      <c r="AD28" s="778"/>
      <c r="AE28" s="791"/>
      <c r="AF28" s="792"/>
      <c r="AG28" s="792"/>
      <c r="AH28" s="793"/>
    </row>
    <row r="29" spans="1:34" ht="34.5" customHeight="1">
      <c r="A29" s="284"/>
      <c r="B29" s="285" t="s">
        <v>523</v>
      </c>
      <c r="C29" s="285"/>
      <c r="D29" s="285"/>
      <c r="E29" s="294"/>
      <c r="F29" s="294" t="s">
        <v>136</v>
      </c>
      <c r="G29" s="294" t="s">
        <v>136</v>
      </c>
      <c r="H29" s="294">
        <v>114</v>
      </c>
      <c r="I29" s="309">
        <v>17448</v>
      </c>
      <c r="J29" s="309">
        <v>0</v>
      </c>
      <c r="K29" s="309">
        <v>17000</v>
      </c>
      <c r="L29" s="308">
        <v>0</v>
      </c>
      <c r="M29" s="308"/>
      <c r="N29" s="308">
        <v>17448</v>
      </c>
      <c r="O29" s="308">
        <v>17000</v>
      </c>
      <c r="P29" s="308">
        <v>17448</v>
      </c>
      <c r="Q29" s="308">
        <v>17000</v>
      </c>
      <c r="R29" s="310" t="s">
        <v>524</v>
      </c>
      <c r="S29" s="250"/>
      <c r="T29" s="250" t="s">
        <v>531</v>
      </c>
      <c r="U29" s="250" t="s">
        <v>531</v>
      </c>
      <c r="V29" s="250" t="s">
        <v>531</v>
      </c>
      <c r="W29" s="625"/>
      <c r="X29" s="626"/>
      <c r="Y29" s="626"/>
      <c r="Z29" s="626"/>
      <c r="AA29" s="259"/>
      <c r="AB29" s="258">
        <f>$K$29*0.15</f>
        <v>2550</v>
      </c>
      <c r="AC29" s="258">
        <f>$K$29*0.7</f>
        <v>11900</v>
      </c>
      <c r="AD29" s="258">
        <f>$K$29*0.15</f>
        <v>2550</v>
      </c>
      <c r="AE29" s="259"/>
      <c r="AF29" s="258">
        <f>$K$29*0.15</f>
        <v>2550</v>
      </c>
      <c r="AG29" s="258">
        <f>$K$29*0.7</f>
        <v>11900</v>
      </c>
      <c r="AH29" s="629">
        <f>$K$29*0.15</f>
        <v>2550</v>
      </c>
    </row>
    <row r="30" spans="1:34" ht="21.75" customHeight="1">
      <c r="A30" s="284"/>
      <c r="B30" s="285" t="s">
        <v>525</v>
      </c>
      <c r="C30" s="285"/>
      <c r="D30" s="285"/>
      <c r="E30" s="294"/>
      <c r="F30" s="294" t="s">
        <v>136</v>
      </c>
      <c r="G30" s="294" t="s">
        <v>136</v>
      </c>
      <c r="H30" s="294">
        <v>132</v>
      </c>
      <c r="I30" s="309">
        <v>21962</v>
      </c>
      <c r="J30" s="309">
        <v>0</v>
      </c>
      <c r="K30" s="309">
        <v>22000</v>
      </c>
      <c r="L30" s="308">
        <v>0</v>
      </c>
      <c r="M30" s="308"/>
      <c r="N30" s="308">
        <v>21962</v>
      </c>
      <c r="O30" s="308">
        <v>22000</v>
      </c>
      <c r="P30" s="308">
        <v>21962</v>
      </c>
      <c r="Q30" s="308">
        <v>22000</v>
      </c>
      <c r="R30" s="310" t="s">
        <v>526</v>
      </c>
      <c r="S30" s="250"/>
      <c r="T30" s="250"/>
      <c r="U30" s="250" t="s">
        <v>531</v>
      </c>
      <c r="V30" s="250"/>
      <c r="W30" s="625"/>
      <c r="X30" s="626"/>
      <c r="Y30" s="626"/>
      <c r="Z30" s="626"/>
      <c r="AA30" s="259"/>
      <c r="AB30" s="255"/>
      <c r="AC30" s="258">
        <f t="shared" ref="AC30:AC31" si="1">K30</f>
        <v>22000</v>
      </c>
      <c r="AD30" s="255"/>
      <c r="AE30" s="259"/>
      <c r="AF30" s="255"/>
      <c r="AG30" s="258">
        <f>K30</f>
        <v>22000</v>
      </c>
      <c r="AH30" s="624"/>
    </row>
    <row r="31" spans="1:34" ht="26.25" customHeight="1">
      <c r="A31" s="284"/>
      <c r="B31" s="285" t="s">
        <v>527</v>
      </c>
      <c r="C31" s="285"/>
      <c r="D31" s="285"/>
      <c r="E31" s="294"/>
      <c r="F31" s="294" t="s">
        <v>136</v>
      </c>
      <c r="G31" s="294" t="s">
        <v>136</v>
      </c>
      <c r="H31" s="294">
        <v>184</v>
      </c>
      <c r="I31" s="309">
        <v>29432</v>
      </c>
      <c r="J31" s="309">
        <v>0</v>
      </c>
      <c r="K31" s="309">
        <v>30000</v>
      </c>
      <c r="L31" s="308">
        <v>0</v>
      </c>
      <c r="M31" s="308"/>
      <c r="N31" s="308">
        <v>29432</v>
      </c>
      <c r="O31" s="308">
        <v>30000</v>
      </c>
      <c r="P31" s="308">
        <v>29432</v>
      </c>
      <c r="Q31" s="308">
        <v>30000</v>
      </c>
      <c r="R31" s="310" t="s">
        <v>524</v>
      </c>
      <c r="S31" s="250"/>
      <c r="T31" s="250"/>
      <c r="U31" s="250" t="s">
        <v>531</v>
      </c>
      <c r="V31" s="250"/>
      <c r="W31" s="625"/>
      <c r="X31" s="626"/>
      <c r="Y31" s="626"/>
      <c r="Z31" s="626"/>
      <c r="AA31" s="259"/>
      <c r="AB31" s="255"/>
      <c r="AC31" s="258">
        <f t="shared" si="1"/>
        <v>30000</v>
      </c>
      <c r="AD31" s="255"/>
      <c r="AE31" s="259"/>
      <c r="AF31" s="255"/>
      <c r="AG31" s="258">
        <f>K31</f>
        <v>30000</v>
      </c>
      <c r="AH31" s="624"/>
    </row>
    <row r="32" spans="1:34" ht="36" customHeight="1" thickBot="1">
      <c r="A32" s="287"/>
      <c r="B32" s="288" t="s">
        <v>528</v>
      </c>
      <c r="C32" s="288"/>
      <c r="D32" s="288"/>
      <c r="E32" s="311"/>
      <c r="F32" s="311"/>
      <c r="G32" s="311" t="s">
        <v>136</v>
      </c>
      <c r="H32" s="311">
        <v>562</v>
      </c>
      <c r="I32" s="312">
        <v>95691</v>
      </c>
      <c r="J32" s="312">
        <v>5000</v>
      </c>
      <c r="K32" s="312">
        <v>100000</v>
      </c>
      <c r="L32" s="313">
        <v>0</v>
      </c>
      <c r="M32" s="313"/>
      <c r="N32" s="313">
        <v>0</v>
      </c>
      <c r="O32" s="313"/>
      <c r="P32" s="313">
        <v>100691</v>
      </c>
      <c r="Q32" s="313">
        <v>100000</v>
      </c>
      <c r="R32" s="314" t="s">
        <v>529</v>
      </c>
      <c r="S32" s="251"/>
      <c r="T32" s="251"/>
      <c r="U32" s="251" t="s">
        <v>531</v>
      </c>
      <c r="V32" s="251"/>
      <c r="W32" s="625"/>
      <c r="X32" s="626"/>
      <c r="Y32" s="626"/>
      <c r="Z32" s="626"/>
      <c r="AA32" s="800"/>
      <c r="AB32" s="801"/>
      <c r="AC32" s="801"/>
      <c r="AD32" s="801"/>
      <c r="AE32" s="630"/>
      <c r="AF32" s="631"/>
      <c r="AG32" s="632">
        <f>K32</f>
        <v>100000</v>
      </c>
      <c r="AH32" s="633"/>
    </row>
    <row r="33" spans="1:34" ht="14.65" thickBot="1">
      <c r="V33" s="276" t="s">
        <v>534</v>
      </c>
      <c r="W33" s="634">
        <f>SUM(W28,W22:W23,W17,W12,W4:W6)</f>
        <v>8000</v>
      </c>
      <c r="X33" s="635">
        <f>SUM(X4:X6,X12,X17,X22:X23,X28)</f>
        <v>29000</v>
      </c>
      <c r="Y33" s="635">
        <f>SUM(Y28,Y23,Y22,Y17,Y12,Y4:Y6)</f>
        <v>26000</v>
      </c>
      <c r="Z33" s="636">
        <f>SUM(Z28,Z22:Z23,Z17,Z12,Z4:Z6)</f>
        <v>0</v>
      </c>
      <c r="AA33" s="637">
        <f>SUM(AA29:AA31,AA24:AA25,AA18:AA19,AA13,AA7:AA8)</f>
        <v>9200</v>
      </c>
      <c r="AB33" s="637">
        <f t="shared" ref="AB33:AD33" si="2">SUM(AB29:AB31,AB24:AB25,AB18:AB19,AB13,AB7:AB8)</f>
        <v>66250</v>
      </c>
      <c r="AC33" s="637">
        <f t="shared" si="2"/>
        <v>183000</v>
      </c>
      <c r="AD33" s="637">
        <f t="shared" si="2"/>
        <v>2550</v>
      </c>
      <c r="AE33" s="638">
        <f>SUM(AE7:AE10,AE13:AE15,AE18:AE20,AE24:AE26,AE29:AE32)</f>
        <v>9200</v>
      </c>
      <c r="AF33" s="639">
        <f t="shared" ref="AF33:AH33" si="3">SUM(AF7:AF10,AF13:AF15,AF18:AF20,AF24:AF26,AF29:AF32)</f>
        <v>120150</v>
      </c>
      <c r="AG33" s="639">
        <f t="shared" si="3"/>
        <v>588100</v>
      </c>
      <c r="AH33" s="640">
        <f t="shared" si="3"/>
        <v>2550</v>
      </c>
    </row>
    <row r="35" spans="1:34" ht="14.65" thickBot="1"/>
    <row r="36" spans="1:34" ht="14.65" thickBot="1">
      <c r="A36" s="641" t="s">
        <v>555</v>
      </c>
      <c r="B36" s="328" t="s">
        <v>584</v>
      </c>
    </row>
    <row r="37" spans="1:34">
      <c r="A37" s="327" t="s">
        <v>83</v>
      </c>
      <c r="B37" s="642">
        <f>SUM(W4:W6,W12,W17,W22:W23,W28)</f>
        <v>8000</v>
      </c>
    </row>
    <row r="38" spans="1:34">
      <c r="A38" s="325" t="s">
        <v>30</v>
      </c>
      <c r="B38" s="643">
        <f>SUM(X4:X6,X12,X17,X22:X23,X28)</f>
        <v>29000</v>
      </c>
    </row>
    <row r="39" spans="1:34">
      <c r="A39" s="325" t="s">
        <v>8</v>
      </c>
      <c r="B39" s="643">
        <f>SUM(Y4:Y6,Y12,Y17,Y22:Y23,Y28)</f>
        <v>26000</v>
      </c>
    </row>
    <row r="40" spans="1:34" ht="14.65" thickBot="1">
      <c r="A40" s="326" t="s">
        <v>84</v>
      </c>
      <c r="B40" s="644">
        <f>SUM(Z4:Z6,Z12,Z17,Z22:Z23,Z28)</f>
        <v>0</v>
      </c>
    </row>
    <row r="41" spans="1:34" ht="14.65" thickBot="1">
      <c r="A41" s="641" t="s">
        <v>552</v>
      </c>
      <c r="B41" s="645">
        <f>SUM(B37:B40)</f>
        <v>63000</v>
      </c>
    </row>
    <row r="42" spans="1:34">
      <c r="A42" s="646"/>
      <c r="B42" s="647"/>
    </row>
    <row r="43" spans="1:34" ht="14.65" thickBot="1">
      <c r="A43" s="646"/>
      <c r="B43" s="647"/>
    </row>
    <row r="44" spans="1:34" ht="14.65" thickBot="1">
      <c r="A44" s="802" t="s">
        <v>585</v>
      </c>
      <c r="B44" s="803"/>
      <c r="C44" s="803"/>
      <c r="D44" s="804"/>
    </row>
    <row r="45" spans="1:34" ht="53.25" customHeight="1" thickBot="1">
      <c r="A45" s="420" t="s">
        <v>555</v>
      </c>
      <c r="B45" s="418" t="s">
        <v>584</v>
      </c>
      <c r="C45" s="419" t="s">
        <v>571</v>
      </c>
      <c r="D45" s="419" t="s">
        <v>557</v>
      </c>
    </row>
    <row r="46" spans="1:34">
      <c r="A46" s="327" t="s">
        <v>83</v>
      </c>
      <c r="B46" s="648" t="s">
        <v>579</v>
      </c>
      <c r="C46" s="649" t="s">
        <v>579</v>
      </c>
      <c r="D46" s="650" t="s">
        <v>579</v>
      </c>
    </row>
    <row r="47" spans="1:34">
      <c r="A47" s="325" t="s">
        <v>30</v>
      </c>
      <c r="B47" s="651" t="s">
        <v>579</v>
      </c>
      <c r="C47" s="652" t="s">
        <v>579</v>
      </c>
      <c r="D47" s="653" t="s">
        <v>579</v>
      </c>
    </row>
    <row r="48" spans="1:34">
      <c r="A48" s="325" t="s">
        <v>8</v>
      </c>
      <c r="B48" s="651">
        <f>SUM(Y4:Y6,Y12,Y17,Y22:Y23,Y28)</f>
        <v>26000</v>
      </c>
      <c r="C48" s="652">
        <v>12</v>
      </c>
      <c r="D48" s="653">
        <f>B48/C48</f>
        <v>2166.6666666666665</v>
      </c>
    </row>
    <row r="49" spans="1:34" ht="14.65" thickBot="1">
      <c r="A49" s="326" t="s">
        <v>84</v>
      </c>
      <c r="B49" s="654" t="s">
        <v>579</v>
      </c>
      <c r="C49" s="655" t="s">
        <v>579</v>
      </c>
      <c r="D49" s="656" t="s">
        <v>579</v>
      </c>
    </row>
    <row r="50" spans="1:34" ht="14.65" thickBot="1">
      <c r="A50" s="641" t="s">
        <v>552</v>
      </c>
      <c r="B50" s="657">
        <f>SUM(B46:B49)</f>
        <v>26000</v>
      </c>
      <c r="C50" s="658"/>
      <c r="D50" s="659"/>
    </row>
    <row r="51" spans="1:34">
      <c r="A51" s="646"/>
      <c r="B51" s="647"/>
      <c r="C51" s="660"/>
    </row>
    <row r="52" spans="1:34">
      <c r="A52" s="646"/>
      <c r="B52" s="647"/>
      <c r="C52" s="660"/>
    </row>
    <row r="53" spans="1:34" ht="14.65" thickBot="1"/>
    <row r="54" spans="1:34" ht="14.65" thickBot="1">
      <c r="A54" s="797" t="s">
        <v>581</v>
      </c>
      <c r="B54" s="798"/>
      <c r="C54" s="798"/>
      <c r="D54" s="799"/>
    </row>
    <row r="55" spans="1:34" ht="48.75" customHeight="1" thickBot="1">
      <c r="A55" s="317" t="s">
        <v>554</v>
      </c>
      <c r="B55" s="316" t="s">
        <v>553</v>
      </c>
      <c r="C55" s="343" t="s">
        <v>571</v>
      </c>
      <c r="D55" s="329" t="s">
        <v>557</v>
      </c>
    </row>
    <row r="56" spans="1:34">
      <c r="A56" s="318" t="s">
        <v>83</v>
      </c>
      <c r="B56" s="661">
        <f>SUM(AA7:AA8,AA13,AA18:AA19,AA24:AA25,AA29:AA31)</f>
        <v>9200</v>
      </c>
      <c r="C56" s="662">
        <v>2</v>
      </c>
      <c r="D56" s="663">
        <f>B56/C56</f>
        <v>4600</v>
      </c>
    </row>
    <row r="57" spans="1:34">
      <c r="A57" s="319" t="s">
        <v>30</v>
      </c>
      <c r="B57" s="661">
        <f>SUM(AB7:AB8,AB13,AB18:AB19,AB24:AB25,AB29:AB31)</f>
        <v>66250</v>
      </c>
      <c r="C57" s="662">
        <v>2</v>
      </c>
      <c r="D57" s="663">
        <f>B57/C57</f>
        <v>33125</v>
      </c>
    </row>
    <row r="58" spans="1:34">
      <c r="A58" s="319" t="s">
        <v>8</v>
      </c>
      <c r="B58" s="661">
        <f>SUM(AC7:AC8,AC13,AC18:AC19,AC24:AC25,AC29:AC31)</f>
        <v>183000</v>
      </c>
      <c r="C58" s="662">
        <v>7</v>
      </c>
      <c r="D58" s="663">
        <f>B58/C58</f>
        <v>26142.857142857141</v>
      </c>
    </row>
    <row r="59" spans="1:34" ht="14.65" thickBot="1">
      <c r="A59" s="320" t="s">
        <v>84</v>
      </c>
      <c r="B59" s="664">
        <f>SUM(AD7:AD8,AD13,AD18:AD19,AD24:AD25,AD29:AD31)</f>
        <v>2550</v>
      </c>
      <c r="C59" s="662">
        <v>1</v>
      </c>
      <c r="D59" s="665">
        <f>B59</f>
        <v>2550</v>
      </c>
    </row>
    <row r="60" spans="1:34" ht="14.65" thickBot="1">
      <c r="A60" s="666" t="s">
        <v>550</v>
      </c>
      <c r="B60" s="667">
        <f>SUM(B56:B59)</f>
        <v>261000</v>
      </c>
      <c r="C60" s="668" t="s">
        <v>572</v>
      </c>
      <c r="D60" s="669"/>
    </row>
    <row r="61" spans="1:34">
      <c r="A61" s="670"/>
      <c r="B61" s="647"/>
      <c r="C61" s="671"/>
      <c r="D61" s="672"/>
    </row>
    <row r="62" spans="1:34" ht="14.65" thickBot="1">
      <c r="A62" s="670"/>
      <c r="B62" s="647"/>
      <c r="C62" s="671"/>
      <c r="D62" s="672"/>
    </row>
    <row r="63" spans="1:34" s="660" customFormat="1" ht="14.65" thickBot="1">
      <c r="A63" s="797" t="s">
        <v>585</v>
      </c>
      <c r="B63" s="798"/>
      <c r="C63" s="798"/>
      <c r="D63" s="799"/>
      <c r="S63" s="249"/>
      <c r="T63" s="249"/>
      <c r="U63" s="249"/>
      <c r="V63" s="249"/>
      <c r="W63" s="372"/>
      <c r="X63" s="372"/>
      <c r="Y63" s="372"/>
      <c r="Z63" s="372"/>
      <c r="AA63" s="372"/>
      <c r="AB63" s="372"/>
      <c r="AC63" s="372"/>
      <c r="AD63" s="372"/>
      <c r="AE63" s="372"/>
      <c r="AF63" s="372"/>
      <c r="AG63" s="372"/>
      <c r="AH63" s="372"/>
    </row>
    <row r="64" spans="1:34" ht="48.75" customHeight="1" thickBot="1">
      <c r="A64" s="317" t="s">
        <v>554</v>
      </c>
      <c r="B64" s="316" t="s">
        <v>553</v>
      </c>
      <c r="C64" s="343" t="s">
        <v>571</v>
      </c>
      <c r="D64" s="329" t="s">
        <v>557</v>
      </c>
    </row>
    <row r="65" spans="1:34">
      <c r="A65" s="318" t="s">
        <v>83</v>
      </c>
      <c r="B65" s="661" t="s">
        <v>579</v>
      </c>
      <c r="C65" s="662" t="s">
        <v>579</v>
      </c>
      <c r="D65" s="663" t="s">
        <v>579</v>
      </c>
    </row>
    <row r="66" spans="1:34">
      <c r="A66" s="319" t="s">
        <v>30</v>
      </c>
      <c r="B66" s="661" t="s">
        <v>579</v>
      </c>
      <c r="C66" s="662" t="s">
        <v>579</v>
      </c>
      <c r="D66" s="663" t="s">
        <v>579</v>
      </c>
    </row>
    <row r="67" spans="1:34">
      <c r="A67" s="319" t="s">
        <v>8</v>
      </c>
      <c r="B67" s="661">
        <f>SUM(AC7:AC8,AC13,AC18:AC19,AC24:AC25,AC29:AC31)</f>
        <v>183000</v>
      </c>
      <c r="C67" s="662">
        <v>12</v>
      </c>
      <c r="D67" s="663">
        <f>B67/C67</f>
        <v>15250</v>
      </c>
    </row>
    <row r="68" spans="1:34" ht="14.65" thickBot="1">
      <c r="A68" s="320" t="s">
        <v>84</v>
      </c>
      <c r="B68" s="664" t="s">
        <v>579</v>
      </c>
      <c r="C68" s="662" t="s">
        <v>579</v>
      </c>
      <c r="D68" s="665" t="s">
        <v>579</v>
      </c>
    </row>
    <row r="69" spans="1:34" ht="14.65" thickBot="1">
      <c r="A69" s="666" t="s">
        <v>550</v>
      </c>
      <c r="B69" s="667">
        <f>SUM(B65:B68)</f>
        <v>183000</v>
      </c>
      <c r="C69" s="668" t="s">
        <v>572</v>
      </c>
      <c r="D69" s="669"/>
    </row>
    <row r="70" spans="1:34" s="660" customFormat="1" ht="14.65" thickBot="1">
      <c r="A70" s="646"/>
      <c r="B70" s="647"/>
      <c r="C70" s="671"/>
      <c r="D70" s="647"/>
      <c r="S70" s="249"/>
      <c r="T70" s="249"/>
      <c r="U70" s="249"/>
      <c r="V70" s="249"/>
      <c r="W70" s="372"/>
      <c r="X70" s="372"/>
      <c r="Y70" s="372"/>
      <c r="Z70" s="372"/>
      <c r="AA70" s="372"/>
      <c r="AB70" s="372"/>
      <c r="AC70" s="372"/>
      <c r="AD70" s="372"/>
      <c r="AE70" s="372"/>
      <c r="AF70" s="372"/>
      <c r="AG70" s="372"/>
      <c r="AH70" s="372"/>
    </row>
    <row r="71" spans="1:34" s="660" customFormat="1" ht="14.65" thickBot="1">
      <c r="A71" s="794" t="s">
        <v>581</v>
      </c>
      <c r="B71" s="795"/>
      <c r="C71" s="795"/>
      <c r="D71" s="796"/>
      <c r="S71" s="249"/>
      <c r="T71" s="249"/>
      <c r="U71" s="249"/>
      <c r="V71" s="249"/>
      <c r="W71" s="372"/>
      <c r="X71" s="372"/>
      <c r="Y71" s="372"/>
      <c r="Z71" s="372"/>
      <c r="AA71" s="372"/>
      <c r="AB71" s="372"/>
      <c r="AC71" s="372"/>
      <c r="AD71" s="372"/>
      <c r="AE71" s="372"/>
      <c r="AF71" s="372"/>
      <c r="AG71" s="372"/>
      <c r="AH71" s="372"/>
    </row>
    <row r="72" spans="1:34" ht="50.25" customHeight="1" thickBot="1">
      <c r="A72" s="321" t="s">
        <v>556</v>
      </c>
      <c r="B72" s="315" t="s">
        <v>558</v>
      </c>
      <c r="C72" s="344" t="s">
        <v>571</v>
      </c>
      <c r="D72" s="330" t="s">
        <v>557</v>
      </c>
    </row>
    <row r="73" spans="1:34">
      <c r="A73" s="322" t="s">
        <v>83</v>
      </c>
      <c r="B73" s="673">
        <f>SUM(AE7:AE10,AE13:AE15,AE18:AE20,AE24:AE26,AE29:AE32)</f>
        <v>9200</v>
      </c>
      <c r="C73" s="621">
        <v>2</v>
      </c>
      <c r="D73" s="674">
        <f>B73/C73</f>
        <v>4600</v>
      </c>
    </row>
    <row r="74" spans="1:34">
      <c r="A74" s="323" t="s">
        <v>30</v>
      </c>
      <c r="B74" s="673">
        <f>SUM(AF7:AF10,AF13:AF15,AF18:AF20,AF24:AF26,AF29:AF32)</f>
        <v>120150</v>
      </c>
      <c r="C74" s="675">
        <v>2</v>
      </c>
      <c r="D74" s="674">
        <f>B74/2</f>
        <v>60075</v>
      </c>
    </row>
    <row r="75" spans="1:34">
      <c r="A75" s="323" t="s">
        <v>8</v>
      </c>
      <c r="B75" s="673">
        <f>SUM(AG7:AG10,AG13:AG15,AG18:AG20,AG24:AG26,AG29:AG32)</f>
        <v>588100</v>
      </c>
      <c r="C75" s="675">
        <v>7</v>
      </c>
      <c r="D75" s="674">
        <f>B75/C75</f>
        <v>84014.28571428571</v>
      </c>
    </row>
    <row r="76" spans="1:34" ht="14.65" thickBot="1">
      <c r="A76" s="324" t="s">
        <v>84</v>
      </c>
      <c r="B76" s="676">
        <f>SUM(AH7:AH10,AH13:AH15,AH18:AH20,AH24:AH26,AH29:AH32)</f>
        <v>2550</v>
      </c>
      <c r="C76" s="677">
        <v>1</v>
      </c>
      <c r="D76" s="678">
        <f>B76</f>
        <v>2550</v>
      </c>
    </row>
    <row r="77" spans="1:34" ht="14.65" thickBot="1">
      <c r="A77" s="679" t="s">
        <v>551</v>
      </c>
      <c r="B77" s="680">
        <f>SUM(B73:B76)</f>
        <v>720000</v>
      </c>
      <c r="C77" s="677" t="s">
        <v>572</v>
      </c>
      <c r="D77" s="681"/>
    </row>
    <row r="78" spans="1:34">
      <c r="A78" s="682"/>
      <c r="B78" s="683"/>
      <c r="C78" s="683"/>
      <c r="D78" s="684"/>
    </row>
    <row r="79" spans="1:34" ht="14.65" thickBot="1">
      <c r="A79" s="682"/>
      <c r="B79" s="683"/>
      <c r="C79" s="683"/>
      <c r="D79" s="684"/>
    </row>
    <row r="80" spans="1:34" ht="14.65" thickBot="1">
      <c r="A80" s="794" t="s">
        <v>585</v>
      </c>
      <c r="B80" s="795"/>
      <c r="C80" s="795"/>
      <c r="D80" s="796"/>
      <c r="K80" s="685"/>
    </row>
    <row r="81" spans="1:4" ht="54" customHeight="1" thickBot="1">
      <c r="A81" s="321" t="s">
        <v>556</v>
      </c>
      <c r="B81" s="315" t="s">
        <v>558</v>
      </c>
      <c r="C81" s="344" t="s">
        <v>571</v>
      </c>
      <c r="D81" s="330" t="s">
        <v>557</v>
      </c>
    </row>
    <row r="82" spans="1:4">
      <c r="A82" s="322" t="s">
        <v>83</v>
      </c>
      <c r="B82" s="673" t="s">
        <v>579</v>
      </c>
      <c r="C82" s="621" t="s">
        <v>579</v>
      </c>
      <c r="D82" s="674" t="s">
        <v>579</v>
      </c>
    </row>
    <row r="83" spans="1:4">
      <c r="A83" s="323" t="s">
        <v>30</v>
      </c>
      <c r="B83" s="673" t="s">
        <v>579</v>
      </c>
      <c r="C83" s="675" t="s">
        <v>579</v>
      </c>
      <c r="D83" s="674" t="s">
        <v>579</v>
      </c>
    </row>
    <row r="84" spans="1:4">
      <c r="A84" s="323" t="s">
        <v>8</v>
      </c>
      <c r="B84" s="673">
        <f>SUM(AG7:AG10,AG13:AG15,AG18:AG20,AG24:AG26,AG29:AG32)</f>
        <v>588100</v>
      </c>
      <c r="C84" s="675">
        <v>12</v>
      </c>
      <c r="D84" s="674">
        <f>B84/C84</f>
        <v>49008.333333333336</v>
      </c>
    </row>
    <row r="85" spans="1:4" ht="14.65" thickBot="1">
      <c r="A85" s="324" t="s">
        <v>84</v>
      </c>
      <c r="B85" s="676" t="s">
        <v>579</v>
      </c>
      <c r="C85" s="677" t="s">
        <v>579</v>
      </c>
      <c r="D85" s="678" t="str">
        <f>B85</f>
        <v>-</v>
      </c>
    </row>
    <row r="86" spans="1:4" ht="14.65" thickBot="1">
      <c r="A86" s="679" t="s">
        <v>551</v>
      </c>
      <c r="B86" s="680">
        <f>SUM(B82:B85)</f>
        <v>588100</v>
      </c>
      <c r="C86" s="677" t="s">
        <v>572</v>
      </c>
      <c r="D86" s="681"/>
    </row>
  </sheetData>
  <sheetProtection algorithmName="SHA-512" hashValue="37tjP0g6ueGoSE5QmuW4DvxN2bbm/5npbYPpj3F6zVNqrlp8VUpq3HSuBAq+uZPYPQlIJ0h4uK8t/1i7QB2Hmg==" saltValue="568+A2sDfMqZ7UUg9dp0Fg==" spinCount="100000" sheet="1" objects="1" scenarios="1" selectLockedCells="1" selectUnlockedCells="1"/>
  <mergeCells count="29">
    <mergeCell ref="A71:D71"/>
    <mergeCell ref="A80:D80"/>
    <mergeCell ref="A63:D63"/>
    <mergeCell ref="A54:D54"/>
    <mergeCell ref="AA32:AD32"/>
    <mergeCell ref="A44:D44"/>
    <mergeCell ref="AE28:AH28"/>
    <mergeCell ref="AA9:AD9"/>
    <mergeCell ref="AA10:AD10"/>
    <mergeCell ref="AA14:AD14"/>
    <mergeCell ref="AA15:AD15"/>
    <mergeCell ref="AA20:AD20"/>
    <mergeCell ref="AA26:AD26"/>
    <mergeCell ref="AA28:AD28"/>
    <mergeCell ref="AE1:AH1"/>
    <mergeCell ref="AE4:AH6"/>
    <mergeCell ref="AE12:AH12"/>
    <mergeCell ref="AE17:AH17"/>
    <mergeCell ref="AE22:AH23"/>
    <mergeCell ref="S1:V1"/>
    <mergeCell ref="W1:Z1"/>
    <mergeCell ref="W7:Z10"/>
    <mergeCell ref="W13:Z15"/>
    <mergeCell ref="W18:Z20"/>
    <mergeCell ref="AA1:AD1"/>
    <mergeCell ref="AA4:AD6"/>
    <mergeCell ref="AA12:AD12"/>
    <mergeCell ref="AA17:AD17"/>
    <mergeCell ref="AA22:AD23"/>
  </mergeCells>
  <dataValidations xWindow="1244" yWindow="240" count="4">
    <dataValidation allowBlank="1" showInputMessage="1" showErrorMessage="1" prompt="In this phase, SDC team will work with Project owners, and data providers to export their project out of the SDC." sqref="V2 Z2 AD2 A40 A59 AH2 A76 A68 A85 A49" xr:uid="{00000000-0002-0000-0600-000000000000}"/>
    <dataValidation allowBlank="1" showInputMessage="1" showErrorMessage="1" prompt="During this phase, the SDC platform is being used by data analysts to achieve their research objective" sqref="S28:S32 S13:S15 S18:S20 S23:S26 U2 Y2 AC2 A39 A58 AG2 A75 A67 A84 A48" xr:uid="{00000000-0002-0000-0600-000001000000}"/>
    <dataValidation allowBlank="1" showInputMessage="1" showErrorMessage="1" prompt="This phase brings the project into the SDC platform by implementing the requirements defined in the discovery phase. At the end of this phase, data analysts will be able to work on the datasets available to them as part of the project._x000a_" sqref="T7:U7 S7:S10 S12 S17 S22 T2 X2 AB2 A38 A57 AF2 A74 A66 A83 A47" xr:uid="{00000000-0002-0000-0600-000002000000}"/>
    <dataValidation allowBlank="1" showInputMessage="1" showErrorMessage="1" prompt="Planning Stage: SDC Enablement team works with project owner to understand objectives, timelines, data provider and data analyst needs. _x000a__x000a_Discovery Stage: SDC Enablement team works with project owner to define requirements of the project._x000a_" sqref="S2 S4:S6 W2 AA2 A37 A56 AE2 A73 A65 A82 A46" xr:uid="{00000000-0002-0000-0600-000003000000}"/>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theme="4" tint="0.79998168889431442"/>
  </sheetPr>
  <dimension ref="A2:D13"/>
  <sheetViews>
    <sheetView zoomScale="55" zoomScaleNormal="55" workbookViewId="0"/>
  </sheetViews>
  <sheetFormatPr defaultRowHeight="14.25"/>
  <cols>
    <col min="1" max="1" width="44.86328125" customWidth="1"/>
    <col min="2" max="2" width="25.265625" customWidth="1"/>
    <col min="3" max="3" width="21.1328125" customWidth="1"/>
    <col min="4" max="4" width="35.1328125" customWidth="1"/>
    <col min="5" max="5" width="21.1328125" customWidth="1"/>
    <col min="6" max="6" width="28.265625" customWidth="1"/>
    <col min="7" max="7" width="23.265625" customWidth="1"/>
    <col min="8" max="8" width="22.73046875" customWidth="1"/>
    <col min="9" max="9" width="15.86328125" customWidth="1"/>
    <col min="10" max="10" width="23.3984375" customWidth="1"/>
    <col min="12" max="13" width="10" bestFit="1" customWidth="1"/>
    <col min="15" max="17" width="10" bestFit="1" customWidth="1"/>
    <col min="19" max="20" width="10" bestFit="1" customWidth="1"/>
    <col min="21" max="21" width="11.1328125" bestFit="1" customWidth="1"/>
  </cols>
  <sheetData>
    <row r="2" spans="1:4">
      <c r="A2" s="14"/>
    </row>
    <row r="3" spans="1:4">
      <c r="A3" s="35" t="s">
        <v>1</v>
      </c>
    </row>
    <row r="4" spans="1:4" ht="25.9" thickBot="1">
      <c r="A4" s="25" t="s">
        <v>218</v>
      </c>
    </row>
    <row r="5" spans="1:4" ht="28.9" thickBot="1">
      <c r="A5" s="150" t="s">
        <v>42</v>
      </c>
      <c r="B5" s="151" t="s">
        <v>100</v>
      </c>
      <c r="C5" s="152" t="s">
        <v>99</v>
      </c>
      <c r="D5" s="38" t="s">
        <v>60</v>
      </c>
    </row>
    <row r="6" spans="1:4" ht="14.65" thickBot="1">
      <c r="A6" s="153" t="s">
        <v>359</v>
      </c>
      <c r="B6" s="154">
        <v>563.54999999999995</v>
      </c>
      <c r="C6" s="155">
        <v>0</v>
      </c>
      <c r="D6" s="9"/>
    </row>
    <row r="7" spans="1:4" ht="14.65" thickBot="1">
      <c r="A7" s="153" t="s">
        <v>343</v>
      </c>
      <c r="B7" s="154">
        <v>834.37</v>
      </c>
      <c r="C7" s="156">
        <v>0</v>
      </c>
      <c r="D7" s="9"/>
    </row>
    <row r="8" spans="1:4" ht="14.65" thickBot="1">
      <c r="A8" s="153" t="s">
        <v>344</v>
      </c>
      <c r="B8" s="154">
        <v>2351.63</v>
      </c>
      <c r="C8" s="155">
        <v>0.02</v>
      </c>
      <c r="D8" s="9"/>
    </row>
    <row r="9" spans="1:4" ht="14.65" thickBot="1">
      <c r="A9" s="153" t="s">
        <v>345</v>
      </c>
      <c r="B9" s="154">
        <v>8009.71</v>
      </c>
      <c r="C9" s="155">
        <v>0.05</v>
      </c>
      <c r="D9" s="9"/>
    </row>
    <row r="10" spans="1:4">
      <c r="A10" s="51"/>
      <c r="B10" s="61"/>
      <c r="C10" s="43"/>
      <c r="D10" s="9"/>
    </row>
    <row r="11" spans="1:4">
      <c r="A11" s="38" t="s">
        <v>40</v>
      </c>
      <c r="B11" s="62">
        <f>SUM(B6:B10)</f>
        <v>11759.26</v>
      </c>
      <c r="C11" s="38"/>
      <c r="D11" s="38"/>
    </row>
    <row r="13" spans="1:4">
      <c r="A13" s="42" t="s">
        <v>231</v>
      </c>
    </row>
  </sheetData>
  <sheetProtection algorithmName="SHA-512" hashValue="aO1XTQTTX6jzSyankPE6f5Q/jw6Qir74BfiXTCvR77L4zHnhWTy+sXLWOGNj9w8A6dpXs3ZBvp2qOjMf2CSxTw==" saltValue="CdNOcKDG4l765xpnWh6Abg==" spinCount="100000" sheet="1" objects="1" scenarios="1" selectLockedCells="1" selectUnlockedCells="1"/>
  <hyperlinks>
    <hyperlink ref="A3" location="Intro!A1" display="Back to Intro" xr:uid="{00000000-0004-0000-0800-000000000000}"/>
  </hyperlinks>
  <pageMargins left="0.7" right="0.7" top="0.75" bottom="0.75" header="0.3" footer="0.3"/>
  <pageSetup orientation="portrait" horizontalDpi="1200" verticalDpi="120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theme="4" tint="0.79998168889431442"/>
  </sheetPr>
  <dimension ref="A1:U48"/>
  <sheetViews>
    <sheetView topLeftCell="D1" zoomScale="70" zoomScaleNormal="70" workbookViewId="0">
      <selection activeCell="M32" sqref="M32"/>
    </sheetView>
  </sheetViews>
  <sheetFormatPr defaultRowHeight="14.25"/>
  <cols>
    <col min="1" max="1" width="44.86328125" customWidth="1"/>
    <col min="2" max="2" width="19.59765625" customWidth="1"/>
    <col min="3" max="3" width="59.86328125" customWidth="1"/>
    <col min="4" max="4" width="38.265625" customWidth="1"/>
    <col min="5" max="5" width="24.265625" customWidth="1"/>
    <col min="6" max="6" width="17.59765625" bestFit="1" customWidth="1"/>
    <col min="7" max="7" width="22.86328125" customWidth="1"/>
    <col min="9" max="9" width="28.59765625" customWidth="1"/>
    <col min="10" max="10" width="23.265625" customWidth="1"/>
    <col min="11" max="11" width="22.73046875" customWidth="1"/>
    <col min="12" max="12" width="21.73046875" customWidth="1"/>
    <col min="13" max="13" width="19.265625" customWidth="1"/>
    <col min="14" max="14" width="23.3984375" customWidth="1"/>
  </cols>
  <sheetData>
    <row r="1" spans="1:21" ht="15" customHeight="1">
      <c r="C1" s="710" t="s">
        <v>450</v>
      </c>
      <c r="D1" s="710"/>
      <c r="E1" s="710"/>
      <c r="F1" s="710"/>
      <c r="G1" s="710"/>
      <c r="H1" s="710"/>
      <c r="I1" s="710"/>
      <c r="J1" s="710"/>
      <c r="K1" s="710"/>
      <c r="L1" s="710"/>
      <c r="M1" s="710"/>
      <c r="N1" s="710"/>
      <c r="O1" s="710"/>
      <c r="P1" s="710"/>
      <c r="Q1" s="710"/>
      <c r="R1" s="710"/>
      <c r="S1" s="710"/>
      <c r="T1" s="710"/>
      <c r="U1" s="710"/>
    </row>
    <row r="2" spans="1:21" ht="46.5" customHeight="1">
      <c r="A2" s="224" t="s">
        <v>1</v>
      </c>
      <c r="C2" s="710"/>
      <c r="D2" s="710"/>
      <c r="E2" s="710"/>
      <c r="F2" s="710"/>
      <c r="G2" s="710"/>
      <c r="H2" s="710"/>
      <c r="I2" s="710"/>
      <c r="J2" s="710"/>
      <c r="K2" s="710"/>
      <c r="L2" s="710"/>
      <c r="M2" s="710"/>
      <c r="N2" s="710"/>
      <c r="O2" s="710"/>
      <c r="P2" s="710"/>
      <c r="Q2" s="710"/>
      <c r="R2" s="710"/>
      <c r="S2" s="710"/>
      <c r="T2" s="710"/>
      <c r="U2" s="710"/>
    </row>
    <row r="3" spans="1:21" ht="15" customHeight="1">
      <c r="A3" s="224"/>
      <c r="C3" s="710"/>
      <c r="D3" s="710"/>
      <c r="E3" s="710"/>
      <c r="F3" s="710"/>
      <c r="G3" s="710"/>
      <c r="H3" s="710"/>
      <c r="I3" s="710"/>
      <c r="J3" s="710"/>
      <c r="K3" s="710"/>
      <c r="L3" s="710"/>
      <c r="M3" s="710"/>
      <c r="N3" s="710"/>
      <c r="O3" s="710"/>
      <c r="P3" s="710"/>
      <c r="Q3" s="710"/>
      <c r="R3" s="710"/>
      <c r="S3" s="710"/>
      <c r="T3" s="710"/>
      <c r="U3" s="710"/>
    </row>
    <row r="4" spans="1:21" ht="15" customHeight="1">
      <c r="A4" s="224"/>
      <c r="C4" s="710"/>
      <c r="D4" s="710"/>
      <c r="E4" s="710"/>
      <c r="F4" s="710"/>
      <c r="G4" s="710"/>
      <c r="H4" s="710"/>
      <c r="I4" s="710"/>
      <c r="J4" s="710"/>
      <c r="K4" s="710"/>
      <c r="L4" s="710"/>
      <c r="M4" s="710"/>
      <c r="N4" s="710"/>
      <c r="O4" s="710"/>
      <c r="P4" s="710"/>
      <c r="Q4" s="710"/>
      <c r="R4" s="710"/>
      <c r="S4" s="710"/>
      <c r="T4" s="710"/>
      <c r="U4" s="710"/>
    </row>
    <row r="5" spans="1:21" ht="9" customHeight="1">
      <c r="A5" s="35"/>
      <c r="C5" s="710"/>
      <c r="D5" s="710"/>
      <c r="E5" s="710"/>
      <c r="F5" s="710"/>
      <c r="G5" s="710"/>
      <c r="H5" s="710"/>
      <c r="I5" s="710"/>
      <c r="J5" s="710"/>
      <c r="K5" s="710"/>
      <c r="L5" s="710"/>
      <c r="M5" s="710"/>
      <c r="N5" s="710"/>
      <c r="O5" s="710"/>
      <c r="P5" s="710"/>
      <c r="Q5" s="710"/>
      <c r="R5" s="710"/>
      <c r="S5" s="710"/>
      <c r="T5" s="710"/>
      <c r="U5" s="710"/>
    </row>
    <row r="6" spans="1:21" ht="15" hidden="1" customHeight="1">
      <c r="A6" s="35"/>
    </row>
    <row r="7" spans="1:21">
      <c r="A7" s="35"/>
    </row>
    <row r="8" spans="1:21">
      <c r="A8" s="35"/>
    </row>
    <row r="9" spans="1:21" ht="25.5">
      <c r="A9" s="25" t="s">
        <v>452</v>
      </c>
    </row>
    <row r="10" spans="1:21" ht="14.65" thickBot="1">
      <c r="A10" s="14" t="s">
        <v>451</v>
      </c>
    </row>
    <row r="11" spans="1:21">
      <c r="A11" s="36" t="s">
        <v>348</v>
      </c>
      <c r="B11" s="37" t="s">
        <v>51</v>
      </c>
      <c r="C11" s="37" t="s">
        <v>472</v>
      </c>
      <c r="D11" s="129" t="s">
        <v>473</v>
      </c>
      <c r="E11" s="38" t="s">
        <v>57</v>
      </c>
      <c r="F11" s="38" t="s">
        <v>47</v>
      </c>
      <c r="G11" s="39" t="s">
        <v>48</v>
      </c>
      <c r="I11" s="805" t="s">
        <v>445</v>
      </c>
      <c r="J11" s="805"/>
      <c r="K11" s="805"/>
      <c r="L11" s="805"/>
      <c r="M11" s="805"/>
    </row>
    <row r="12" spans="1:21" ht="31.5">
      <c r="A12" s="15" t="s">
        <v>35</v>
      </c>
      <c r="B12" s="9">
        <v>20</v>
      </c>
      <c r="C12" s="104" t="s">
        <v>52</v>
      </c>
      <c r="D12" s="9" t="s">
        <v>474</v>
      </c>
      <c r="E12" s="9" t="s">
        <v>41</v>
      </c>
      <c r="F12" s="11">
        <f>G12*12</f>
        <v>34320</v>
      </c>
      <c r="G12" s="17">
        <f>B12*'Rate Sheet'!$B$5</f>
        <v>2860</v>
      </c>
      <c r="I12" s="203" t="s">
        <v>360</v>
      </c>
      <c r="J12" s="222">
        <f>'Rate Sheet'!B8</f>
        <v>0.15</v>
      </c>
      <c r="K12" s="220"/>
      <c r="L12" s="226" t="s">
        <v>461</v>
      </c>
      <c r="M12" s="203"/>
    </row>
    <row r="13" spans="1:21" ht="15.75">
      <c r="A13" s="15" t="s">
        <v>36</v>
      </c>
      <c r="B13" s="9">
        <v>10</v>
      </c>
      <c r="C13" s="104" t="s">
        <v>53</v>
      </c>
      <c r="D13" s="9" t="s">
        <v>474</v>
      </c>
      <c r="E13" s="9" t="s">
        <v>41</v>
      </c>
      <c r="F13" s="11">
        <f t="shared" ref="F13:F17" si="0">G13*12</f>
        <v>17160</v>
      </c>
      <c r="G13" s="17">
        <f>B13*'Rate Sheet'!$B$5</f>
        <v>1430</v>
      </c>
      <c r="I13" s="203"/>
      <c r="J13" s="222"/>
      <c r="K13" s="220"/>
      <c r="L13" s="203" t="s">
        <v>463</v>
      </c>
      <c r="M13" s="221">
        <f>(G20+G27)*(1+J12)</f>
        <v>107856.2</v>
      </c>
    </row>
    <row r="14" spans="1:21" ht="15.75">
      <c r="A14" s="15" t="s">
        <v>58</v>
      </c>
      <c r="B14" s="9">
        <v>40</v>
      </c>
      <c r="C14" s="104" t="s">
        <v>59</v>
      </c>
      <c r="D14" s="9" t="s">
        <v>474</v>
      </c>
      <c r="E14" s="9" t="s">
        <v>41</v>
      </c>
      <c r="F14" s="11">
        <f t="shared" si="0"/>
        <v>68640</v>
      </c>
      <c r="G14" s="17">
        <f>B14*'Rate Sheet'!$B$5</f>
        <v>5720</v>
      </c>
      <c r="I14" s="203"/>
      <c r="J14" s="222"/>
      <c r="K14" s="220"/>
      <c r="L14" s="203"/>
      <c r="M14" s="203"/>
    </row>
    <row r="15" spans="1:21" ht="15.75">
      <c r="A15" s="15" t="s">
        <v>37</v>
      </c>
      <c r="B15" s="9">
        <v>40</v>
      </c>
      <c r="C15" s="104" t="s">
        <v>54</v>
      </c>
      <c r="D15" s="9" t="s">
        <v>474</v>
      </c>
      <c r="E15" s="9" t="s">
        <v>41</v>
      </c>
      <c r="F15" s="11">
        <f t="shared" si="0"/>
        <v>68640</v>
      </c>
      <c r="G15" s="17">
        <f>B15*'Rate Sheet'!$B$5</f>
        <v>5720</v>
      </c>
      <c r="I15" s="205"/>
      <c r="J15" s="206"/>
      <c r="K15" s="207"/>
      <c r="L15" s="5"/>
      <c r="M15" s="5"/>
    </row>
    <row r="16" spans="1:21" ht="15.75">
      <c r="A16" s="15" t="s">
        <v>38</v>
      </c>
      <c r="B16" s="9">
        <v>10</v>
      </c>
      <c r="C16" s="104" t="s">
        <v>56</v>
      </c>
      <c r="D16" s="9" t="s">
        <v>474</v>
      </c>
      <c r="E16" s="9" t="s">
        <v>41</v>
      </c>
      <c r="F16" s="11">
        <f t="shared" si="0"/>
        <v>17160</v>
      </c>
      <c r="G16" s="17">
        <f>B16*'Rate Sheet'!$B$5</f>
        <v>1430</v>
      </c>
      <c r="I16" s="205"/>
      <c r="J16" s="206"/>
      <c r="K16" s="207"/>
      <c r="L16" s="5"/>
      <c r="M16" s="5"/>
    </row>
    <row r="17" spans="1:14" ht="28.9">
      <c r="A17" s="15" t="s">
        <v>55</v>
      </c>
      <c r="B17" s="9">
        <v>16</v>
      </c>
      <c r="C17" s="104" t="s">
        <v>471</v>
      </c>
      <c r="D17" s="9" t="s">
        <v>474</v>
      </c>
      <c r="E17" s="9" t="s">
        <v>41</v>
      </c>
      <c r="F17" s="11">
        <f t="shared" si="0"/>
        <v>27456</v>
      </c>
      <c r="G17" s="17">
        <f>B17*'Rate Sheet'!$B$5</f>
        <v>2288</v>
      </c>
      <c r="I17" s="205"/>
      <c r="J17" s="206"/>
      <c r="K17" s="207"/>
      <c r="L17" s="5"/>
      <c r="M17" s="5"/>
    </row>
    <row r="18" spans="1:14">
      <c r="A18" s="437" t="s">
        <v>605</v>
      </c>
      <c r="B18" s="438">
        <v>20</v>
      </c>
      <c r="C18" s="439" t="s">
        <v>592</v>
      </c>
      <c r="D18" s="440" t="s">
        <v>474</v>
      </c>
      <c r="E18" s="440" t="s">
        <v>41</v>
      </c>
      <c r="F18" s="441">
        <f t="shared" ref="F18" si="1">G18*12</f>
        <v>39600</v>
      </c>
      <c r="G18" s="442">
        <f>B18*'Rate Sheet'!B7</f>
        <v>3300</v>
      </c>
      <c r="I18" s="5"/>
      <c r="J18" s="5"/>
      <c r="K18" s="5"/>
      <c r="L18" s="5"/>
      <c r="M18" s="5"/>
    </row>
    <row r="19" spans="1:14" ht="14.65" thickBot="1">
      <c r="A19" s="29"/>
      <c r="B19" s="30"/>
      <c r="C19" s="30"/>
      <c r="D19" s="30"/>
      <c r="E19" s="30"/>
      <c r="F19" s="31"/>
      <c r="G19" s="32"/>
      <c r="I19" s="6" t="s">
        <v>227</v>
      </c>
      <c r="J19" s="5"/>
      <c r="K19" s="5"/>
      <c r="L19" s="5" t="s">
        <v>259</v>
      </c>
      <c r="M19" s="5"/>
    </row>
    <row r="20" spans="1:14" ht="14.65" thickBot="1">
      <c r="A20" s="18" t="s">
        <v>40</v>
      </c>
      <c r="B20" s="19"/>
      <c r="C20" s="19"/>
      <c r="D20" s="19"/>
      <c r="E20" s="19"/>
      <c r="F20" s="20">
        <f>SUM(F12:F18)</f>
        <v>272976</v>
      </c>
      <c r="G20" s="21">
        <f>SUM(G12:G18)</f>
        <v>22748</v>
      </c>
      <c r="I20" s="208" t="s">
        <v>66</v>
      </c>
      <c r="J20" s="118" t="s">
        <v>69</v>
      </c>
      <c r="K20" s="118" t="s">
        <v>68</v>
      </c>
      <c r="L20" s="118" t="s">
        <v>101</v>
      </c>
      <c r="M20" s="119" t="s">
        <v>70</v>
      </c>
    </row>
    <row r="21" spans="1:14">
      <c r="A21" s="50"/>
      <c r="B21" s="50"/>
      <c r="C21" s="50"/>
      <c r="D21" s="50"/>
      <c r="E21" s="50"/>
      <c r="F21" s="170"/>
      <c r="G21" s="170"/>
      <c r="I21" s="120" t="s">
        <v>228</v>
      </c>
      <c r="J21" s="209">
        <v>0.05</v>
      </c>
      <c r="K21" s="210">
        <f>$M$13*J21</f>
        <v>5392.81</v>
      </c>
      <c r="L21" s="211">
        <f>Inputs!J3</f>
        <v>4</v>
      </c>
      <c r="M21" s="212">
        <f>K21/L21</f>
        <v>1348.2025000000001</v>
      </c>
    </row>
    <row r="22" spans="1:14" ht="25.9" thickBot="1">
      <c r="A22" s="25" t="s">
        <v>453</v>
      </c>
      <c r="I22" s="120" t="s">
        <v>30</v>
      </c>
      <c r="J22" s="209">
        <v>0.3</v>
      </c>
      <c r="K22" s="210">
        <f>$M$13*J22</f>
        <v>32356.859999999997</v>
      </c>
      <c r="L22" s="211">
        <v>2</v>
      </c>
      <c r="M22" s="212">
        <f>IF(L22=0,1,K22/L22)</f>
        <v>16178.429999999998</v>
      </c>
      <c r="N22" s="72"/>
    </row>
    <row r="23" spans="1:14">
      <c r="A23" s="40" t="s">
        <v>349</v>
      </c>
      <c r="B23" s="37" t="s">
        <v>350</v>
      </c>
      <c r="C23" s="231" t="s">
        <v>475</v>
      </c>
      <c r="D23" s="37" t="s">
        <v>470</v>
      </c>
      <c r="E23" s="37" t="s">
        <v>57</v>
      </c>
      <c r="F23" s="37" t="s">
        <v>47</v>
      </c>
      <c r="G23" s="41" t="s">
        <v>48</v>
      </c>
      <c r="I23" s="120" t="s">
        <v>8</v>
      </c>
      <c r="J23" s="209">
        <v>0.6</v>
      </c>
      <c r="K23" s="210">
        <f>$M$13*J23</f>
        <v>64713.719999999994</v>
      </c>
      <c r="L23" s="211">
        <f>Inputs!J5</f>
        <v>9</v>
      </c>
      <c r="M23" s="212">
        <f>K23/L23</f>
        <v>7190.413333333333</v>
      </c>
    </row>
    <row r="24" spans="1:14" ht="42.75">
      <c r="A24" s="15" t="s">
        <v>109</v>
      </c>
      <c r="B24" s="234">
        <v>1.5</v>
      </c>
      <c r="C24" s="104" t="s">
        <v>477</v>
      </c>
      <c r="D24" s="64" t="s">
        <v>478</v>
      </c>
      <c r="E24" s="9" t="s">
        <v>296</v>
      </c>
      <c r="F24" s="11">
        <f>G24*12</f>
        <v>440640</v>
      </c>
      <c r="G24" s="22">
        <f>B24*'Rate Sheet'!B9*'Rate Sheet'!B4</f>
        <v>36720</v>
      </c>
      <c r="I24" s="120" t="s">
        <v>84</v>
      </c>
      <c r="J24" s="209">
        <v>0.05</v>
      </c>
      <c r="K24" s="210">
        <f>$M$13*J24</f>
        <v>5392.81</v>
      </c>
      <c r="L24" s="211">
        <v>1</v>
      </c>
      <c r="M24" s="212">
        <f>IF(L24=0,1,K24/L24)</f>
        <v>5392.81</v>
      </c>
    </row>
    <row r="25" spans="1:14" ht="28.9" thickBot="1">
      <c r="A25" s="15" t="s">
        <v>479</v>
      </c>
      <c r="B25" s="234">
        <v>1.5</v>
      </c>
      <c r="C25" s="104" t="s">
        <v>476</v>
      </c>
      <c r="D25" s="64" t="s">
        <v>480</v>
      </c>
      <c r="E25" s="9" t="s">
        <v>296</v>
      </c>
      <c r="F25" s="11">
        <f>G25*12</f>
        <v>411840</v>
      </c>
      <c r="G25" s="22">
        <f>B25*'Rate Sheet'!B9*'Rate Sheet'!B5</f>
        <v>34320</v>
      </c>
      <c r="I25" s="213"/>
      <c r="J25" s="214"/>
      <c r="K25" s="215"/>
      <c r="L25" s="216"/>
      <c r="M25" s="217"/>
    </row>
    <row r="26" spans="1:14">
      <c r="A26" s="396"/>
      <c r="B26" s="399"/>
      <c r="C26" s="398"/>
      <c r="D26" s="400"/>
      <c r="E26" s="397"/>
      <c r="F26" s="401"/>
      <c r="G26" s="402"/>
      <c r="I26" s="7"/>
      <c r="J26" s="268"/>
      <c r="K26" s="269"/>
      <c r="L26" s="7"/>
      <c r="M26" s="269"/>
    </row>
    <row r="27" spans="1:14" ht="14.65" thickBot="1">
      <c r="A27" s="18" t="s">
        <v>40</v>
      </c>
      <c r="B27" s="23"/>
      <c r="C27" s="19"/>
      <c r="D27" s="19"/>
      <c r="E27" s="19"/>
      <c r="F27" s="20">
        <f>SUM(F24:F25)</f>
        <v>852480</v>
      </c>
      <c r="G27" s="24">
        <f>SUM(G24:G25)</f>
        <v>71040</v>
      </c>
      <c r="I27" s="5"/>
      <c r="J27" s="5"/>
      <c r="K27" s="5"/>
      <c r="L27" s="5"/>
      <c r="M27" s="5"/>
    </row>
    <row r="28" spans="1:14">
      <c r="I28" s="5" t="s">
        <v>446</v>
      </c>
      <c r="J28" s="218"/>
      <c r="K28" s="5"/>
      <c r="L28" s="218"/>
      <c r="M28" s="5"/>
    </row>
    <row r="29" spans="1:14">
      <c r="A29" t="s">
        <v>351</v>
      </c>
      <c r="I29" s="5"/>
      <c r="J29" s="5"/>
      <c r="K29" s="5"/>
      <c r="L29" s="5"/>
      <c r="M29" s="5"/>
    </row>
    <row r="30" spans="1:14">
      <c r="I30" s="5"/>
      <c r="J30" s="5"/>
      <c r="K30" s="5"/>
      <c r="L30" s="5"/>
      <c r="M30" s="5"/>
    </row>
    <row r="31" spans="1:14" ht="25.9" thickBot="1">
      <c r="A31" s="25" t="s">
        <v>454</v>
      </c>
      <c r="G31" s="72"/>
      <c r="I31" s="5"/>
      <c r="J31" s="5"/>
      <c r="K31" s="5"/>
      <c r="L31" s="5"/>
      <c r="M31" s="5"/>
    </row>
    <row r="32" spans="1:14" ht="29.25" thickBot="1">
      <c r="A32" s="150" t="s">
        <v>42</v>
      </c>
      <c r="B32" s="151" t="s">
        <v>465</v>
      </c>
      <c r="C32" s="152" t="s">
        <v>99</v>
      </c>
      <c r="D32" s="38" t="s">
        <v>470</v>
      </c>
      <c r="I32" s="203" t="s">
        <v>363</v>
      </c>
      <c r="J32" s="222">
        <f>'Rate Sheet'!$B$8</f>
        <v>0.15</v>
      </c>
      <c r="K32" s="203" t="s">
        <v>40</v>
      </c>
      <c r="L32" s="227" t="s">
        <v>462</v>
      </c>
      <c r="M32" s="204">
        <f>'Platform Cloud Costs'!B11* (1+J32)</f>
        <v>13523.148999999999</v>
      </c>
    </row>
    <row r="33" spans="1:13" ht="28.9" thickBot="1">
      <c r="A33" s="153" t="s">
        <v>359</v>
      </c>
      <c r="B33" s="154">
        <v>563.54999999999995</v>
      </c>
      <c r="C33" s="155">
        <v>0</v>
      </c>
      <c r="D33" s="104" t="s">
        <v>481</v>
      </c>
      <c r="I33" s="5"/>
      <c r="J33" s="5"/>
      <c r="K33" s="5"/>
      <c r="L33" s="5"/>
      <c r="M33" s="5"/>
    </row>
    <row r="34" spans="1:13" ht="28.9" thickBot="1">
      <c r="A34" s="153" t="s">
        <v>343</v>
      </c>
      <c r="B34" s="154">
        <v>834.37</v>
      </c>
      <c r="C34" s="156">
        <v>0</v>
      </c>
      <c r="D34" s="104" t="s">
        <v>481</v>
      </c>
      <c r="I34" s="6" t="s">
        <v>227</v>
      </c>
      <c r="J34" s="5"/>
      <c r="K34" s="5"/>
      <c r="L34" s="5"/>
      <c r="M34" s="5"/>
    </row>
    <row r="35" spans="1:13" ht="28.9" thickBot="1">
      <c r="A35" s="153" t="s">
        <v>344</v>
      </c>
      <c r="B35" s="154">
        <v>2351.63</v>
      </c>
      <c r="C35" s="155">
        <v>0.02</v>
      </c>
      <c r="D35" s="104" t="s">
        <v>481</v>
      </c>
      <c r="I35" s="208" t="s">
        <v>66</v>
      </c>
      <c r="J35" s="118" t="s">
        <v>69</v>
      </c>
      <c r="K35" s="118" t="s">
        <v>68</v>
      </c>
      <c r="L35" s="219" t="s">
        <v>229</v>
      </c>
      <c r="M35" s="119" t="s">
        <v>230</v>
      </c>
    </row>
    <row r="36" spans="1:13" ht="28.9" thickBot="1">
      <c r="A36" s="153" t="s">
        <v>345</v>
      </c>
      <c r="B36" s="154">
        <v>8009.71</v>
      </c>
      <c r="C36" s="155">
        <v>0.05</v>
      </c>
      <c r="D36" s="104" t="s">
        <v>481</v>
      </c>
      <c r="I36" s="120" t="s">
        <v>228</v>
      </c>
      <c r="J36" s="209">
        <v>0.05</v>
      </c>
      <c r="K36" s="210">
        <f>$M$32*J36</f>
        <v>676.15745000000004</v>
      </c>
      <c r="L36" s="211">
        <f>Inputs!J3</f>
        <v>4</v>
      </c>
      <c r="M36" s="212">
        <f>K36/L36</f>
        <v>169.03936250000001</v>
      </c>
    </row>
    <row r="37" spans="1:13">
      <c r="A37" s="51"/>
      <c r="B37" s="61"/>
      <c r="C37" s="43"/>
      <c r="D37" s="9"/>
      <c r="I37" s="120" t="s">
        <v>30</v>
      </c>
      <c r="J37" s="209">
        <v>0.15</v>
      </c>
      <c r="K37" s="210">
        <f>$M$32*J37</f>
        <v>2028.4723499999998</v>
      </c>
      <c r="L37" s="211">
        <v>2</v>
      </c>
      <c r="M37" s="212">
        <f>K37/L37</f>
        <v>1014.2361749999999</v>
      </c>
    </row>
    <row r="38" spans="1:13">
      <c r="A38" s="38" t="s">
        <v>40</v>
      </c>
      <c r="B38" s="62">
        <f>SUM(B33:B37)</f>
        <v>11759.26</v>
      </c>
      <c r="C38" s="38"/>
      <c r="D38" s="38"/>
      <c r="I38" s="120" t="s">
        <v>8</v>
      </c>
      <c r="J38" s="209">
        <v>0.8</v>
      </c>
      <c r="K38" s="210">
        <f>$M$32*J38</f>
        <v>10818.519200000001</v>
      </c>
      <c r="L38" s="211">
        <f>Inputs!J5</f>
        <v>9</v>
      </c>
      <c r="M38" s="212">
        <f>K38/L38</f>
        <v>1202.0576888888891</v>
      </c>
    </row>
    <row r="39" spans="1:13">
      <c r="I39" s="120" t="s">
        <v>84</v>
      </c>
      <c r="J39" s="209">
        <v>0.05</v>
      </c>
      <c r="K39" s="210">
        <f>$M$32*J39</f>
        <v>676.15745000000004</v>
      </c>
      <c r="L39" s="211">
        <v>1</v>
      </c>
      <c r="M39" s="212">
        <f>K39/L39</f>
        <v>676.15745000000004</v>
      </c>
    </row>
    <row r="40" spans="1:13" ht="14.65" thickBot="1">
      <c r="A40" s="42"/>
      <c r="I40" s="213"/>
      <c r="J40" s="214"/>
      <c r="K40" s="215"/>
      <c r="L40" s="216"/>
      <c r="M40" s="217"/>
    </row>
    <row r="41" spans="1:13">
      <c r="I41" s="5"/>
      <c r="J41" s="5"/>
      <c r="K41" s="5"/>
      <c r="L41" s="5"/>
      <c r="M41" s="5"/>
    </row>
    <row r="42" spans="1:13">
      <c r="I42" s="5" t="s">
        <v>447</v>
      </c>
      <c r="J42" s="5"/>
      <c r="K42" s="5"/>
      <c r="L42" s="5"/>
      <c r="M42" s="5"/>
    </row>
    <row r="43" spans="1:13">
      <c r="I43" s="5"/>
      <c r="J43" s="5"/>
      <c r="K43" s="5"/>
      <c r="L43" s="5"/>
      <c r="M43" s="5"/>
    </row>
    <row r="44" spans="1:13">
      <c r="I44" s="5"/>
      <c r="J44" s="5"/>
      <c r="K44" s="5"/>
      <c r="L44" s="5"/>
      <c r="M44" s="5"/>
    </row>
    <row r="45" spans="1:13">
      <c r="I45" s="5"/>
      <c r="J45" s="5"/>
      <c r="K45" s="5"/>
      <c r="L45" s="5"/>
      <c r="M45" s="5"/>
    </row>
    <row r="46" spans="1:13">
      <c r="I46" s="5"/>
      <c r="J46" s="5"/>
      <c r="K46" s="5"/>
      <c r="L46" s="5"/>
      <c r="M46" s="5"/>
    </row>
    <row r="47" spans="1:13">
      <c r="I47" s="5"/>
      <c r="J47" s="5"/>
      <c r="K47" s="5"/>
      <c r="L47" s="5"/>
      <c r="M47" s="5"/>
    </row>
    <row r="48" spans="1:13">
      <c r="I48" s="5"/>
      <c r="J48" s="5"/>
      <c r="K48" s="5"/>
      <c r="L48" s="5"/>
      <c r="M48" s="5"/>
    </row>
  </sheetData>
  <sheetProtection algorithmName="SHA-512" hashValue="Pzth+UAWO2zEC7/92Q3TBNzJN5qC1UHQSFYUPjfyPmxwIkFTuQNvIB4ZSLuHIYhILQO1XEo61eagxUaKkoU1pg==" saltValue="/RsAIpzU9ppGO8MRriS53A==" spinCount="100000" sheet="1" objects="1" scenarios="1" selectLockedCells="1" selectUnlockedCells="1"/>
  <mergeCells count="2">
    <mergeCell ref="I11:M11"/>
    <mergeCell ref="C1:U5"/>
  </mergeCells>
  <hyperlinks>
    <hyperlink ref="A2" location="Intro!A1" display="Back to Intro" xr:uid="{00000000-0004-0000-0900-000000000000}"/>
  </hyperlink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Results">
                <anchor moveWithCells="1" sizeWithCells="1">
                  <from>
                    <xdr:col>0</xdr:col>
                    <xdr:colOff>733425</xdr:colOff>
                    <xdr:row>3</xdr:row>
                    <xdr:rowOff>0</xdr:rowOff>
                  </from>
                  <to>
                    <xdr:col>0</xdr:col>
                    <xdr:colOff>1905000</xdr:colOff>
                    <xdr:row>6</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G14"/>
  <sheetViews>
    <sheetView workbookViewId="0">
      <selection activeCell="D8" sqref="D8"/>
    </sheetView>
  </sheetViews>
  <sheetFormatPr defaultRowHeight="14.25"/>
  <cols>
    <col min="1" max="1" width="40.1328125" customWidth="1"/>
  </cols>
  <sheetData>
    <row r="1" spans="1:7">
      <c r="A1" s="806" t="s">
        <v>361</v>
      </c>
      <c r="B1" s="806"/>
      <c r="C1" s="806"/>
      <c r="D1" s="806"/>
      <c r="E1" s="806"/>
      <c r="F1" s="806"/>
      <c r="G1" s="806"/>
    </row>
    <row r="3" spans="1:7">
      <c r="A3" s="14" t="s">
        <v>362</v>
      </c>
      <c r="B3" s="14"/>
    </row>
    <row r="4" spans="1:7">
      <c r="A4" s="225" t="s">
        <v>45</v>
      </c>
      <c r="B4" s="687">
        <v>153</v>
      </c>
    </row>
    <row r="5" spans="1:7">
      <c r="A5" s="225" t="s">
        <v>78</v>
      </c>
      <c r="B5" s="687">
        <v>143</v>
      </c>
    </row>
    <row r="6" spans="1:7">
      <c r="A6" s="225" t="s">
        <v>77</v>
      </c>
      <c r="B6" s="687">
        <v>120</v>
      </c>
    </row>
    <row r="7" spans="1:7">
      <c r="A7" s="225" t="s">
        <v>605</v>
      </c>
      <c r="B7" s="687">
        <v>165</v>
      </c>
    </row>
    <row r="8" spans="1:7">
      <c r="A8" s="14" t="s">
        <v>363</v>
      </c>
      <c r="B8" s="688">
        <v>0.15</v>
      </c>
    </row>
    <row r="9" spans="1:7">
      <c r="A9" s="14" t="s">
        <v>46</v>
      </c>
      <c r="B9" s="228">
        <f>160</f>
        <v>160</v>
      </c>
    </row>
    <row r="12" spans="1:7">
      <c r="A12" s="807" t="s">
        <v>651</v>
      </c>
      <c r="B12" s="807"/>
      <c r="C12" s="807"/>
      <c r="D12" s="622"/>
      <c r="E12" s="622"/>
    </row>
    <row r="13" spans="1:7" ht="25.9" customHeight="1">
      <c r="A13" s="807"/>
      <c r="B13" s="807"/>
      <c r="C13" s="807"/>
      <c r="D13" s="622"/>
      <c r="E13" s="622"/>
    </row>
    <row r="14" spans="1:7">
      <c r="A14" s="622"/>
      <c r="B14" s="622"/>
      <c r="C14" s="622"/>
      <c r="D14" s="622"/>
      <c r="E14" s="622"/>
    </row>
  </sheetData>
  <sheetProtection algorithmName="SHA-512" hashValue="elp1aBLe0EdNX4zNMlahcy6WYiEAXcAkC2PiBHyR1ZW0P6Xe6gQVaFrP3tp9o10Jg20cQsNClrjocJU+D42Pyg==" saltValue="4IPN7IzN2aPEakaQAv4OTA==" spinCount="100000" sheet="1" objects="1" scenarios="1" selectLockedCells="1" selectUnlockedCells="1"/>
  <mergeCells count="2">
    <mergeCell ref="A1:G1"/>
    <mergeCell ref="A12:C1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I12"/>
  <sheetViews>
    <sheetView zoomScale="69" zoomScaleNormal="69" workbookViewId="0"/>
  </sheetViews>
  <sheetFormatPr defaultRowHeight="14.25"/>
  <cols>
    <col min="1" max="1" width="35.86328125" customWidth="1"/>
    <col min="2" max="2" width="50.265625" customWidth="1"/>
    <col min="3" max="3" width="7.59765625" bestFit="1" customWidth="1"/>
    <col min="4" max="4" width="9" bestFit="1" customWidth="1"/>
    <col min="5" max="5" width="9.3984375" bestFit="1" customWidth="1"/>
    <col min="6" max="6" width="7.265625" customWidth="1"/>
    <col min="7" max="7" width="8.3984375" bestFit="1" customWidth="1"/>
    <col min="8" max="8" width="9.265625" customWidth="1"/>
    <col min="9" max="9" width="43.86328125" customWidth="1"/>
    <col min="10" max="10" width="40" customWidth="1"/>
    <col min="12" max="12" width="44.86328125" customWidth="1"/>
  </cols>
  <sheetData>
    <row r="1" spans="1:9">
      <c r="A1" s="13" t="s">
        <v>1</v>
      </c>
      <c r="B1" s="13"/>
    </row>
    <row r="2" spans="1:9" ht="18.399999999999999" thickBot="1">
      <c r="A2" s="34" t="s">
        <v>289</v>
      </c>
      <c r="B2" s="34"/>
      <c r="I2" s="13"/>
    </row>
    <row r="3" spans="1:9">
      <c r="A3" s="808" t="s">
        <v>154</v>
      </c>
      <c r="B3" s="818" t="s">
        <v>448</v>
      </c>
      <c r="C3" s="814" t="s">
        <v>155</v>
      </c>
      <c r="D3" s="814"/>
      <c r="E3" s="814"/>
      <c r="F3" s="814" t="s">
        <v>234</v>
      </c>
      <c r="G3" s="814"/>
      <c r="H3" s="815"/>
      <c r="I3" s="816" t="s">
        <v>449</v>
      </c>
    </row>
    <row r="4" spans="1:9" ht="14.65" thickBot="1">
      <c r="A4" s="809"/>
      <c r="B4" s="819"/>
      <c r="C4" s="173" t="s">
        <v>33</v>
      </c>
      <c r="D4" s="173" t="s">
        <v>32</v>
      </c>
      <c r="E4" s="173" t="s">
        <v>31</v>
      </c>
      <c r="F4" s="173" t="s">
        <v>33</v>
      </c>
      <c r="G4" s="173" t="s">
        <v>32</v>
      </c>
      <c r="H4" s="223" t="s">
        <v>31</v>
      </c>
      <c r="I4" s="817"/>
    </row>
    <row r="5" spans="1:9" ht="57">
      <c r="A5" s="235" t="s">
        <v>232</v>
      </c>
      <c r="B5" s="232" t="s">
        <v>482</v>
      </c>
      <c r="C5" s="236">
        <v>69.39</v>
      </c>
      <c r="D5" s="236">
        <v>121.76750000000001</v>
      </c>
      <c r="E5" s="236">
        <v>173.34</v>
      </c>
      <c r="F5" s="237">
        <v>0.01</v>
      </c>
      <c r="G5" s="237">
        <v>0.03</v>
      </c>
      <c r="H5" s="238">
        <v>0.05</v>
      </c>
      <c r="I5" s="63" t="s">
        <v>485</v>
      </c>
    </row>
    <row r="6" spans="1:9" ht="42.75">
      <c r="A6" s="239" t="s">
        <v>233</v>
      </c>
      <c r="B6" s="233" t="s">
        <v>483</v>
      </c>
      <c r="C6" s="240">
        <v>233.33333333333334</v>
      </c>
      <c r="D6" s="240">
        <v>466.66666666666669</v>
      </c>
      <c r="E6" s="240">
        <v>700</v>
      </c>
      <c r="F6" s="241">
        <v>0.02</v>
      </c>
      <c r="G6" s="241">
        <v>0.05</v>
      </c>
      <c r="H6" s="242">
        <v>0.1</v>
      </c>
      <c r="I6" s="63" t="s">
        <v>486</v>
      </c>
    </row>
    <row r="7" spans="1:9" ht="46.5" customHeight="1">
      <c r="A7" s="239" t="s">
        <v>346</v>
      </c>
      <c r="B7" s="810" t="s">
        <v>484</v>
      </c>
      <c r="C7" s="240">
        <v>132.32</v>
      </c>
      <c r="D7" s="240">
        <v>264.64</v>
      </c>
      <c r="E7" s="240">
        <v>396.96</v>
      </c>
      <c r="F7" s="241">
        <v>0.01</v>
      </c>
      <c r="G7" s="241">
        <v>0.02</v>
      </c>
      <c r="H7" s="242">
        <v>0.03</v>
      </c>
      <c r="I7" s="812" t="s">
        <v>487</v>
      </c>
    </row>
    <row r="8" spans="1:9" ht="62.25" customHeight="1">
      <c r="A8" s="239" t="s">
        <v>347</v>
      </c>
      <c r="B8" s="811"/>
      <c r="C8" s="240">
        <v>394.33333333333331</v>
      </c>
      <c r="D8" s="240">
        <v>788.66666666666663</v>
      </c>
      <c r="E8" s="240">
        <v>1183</v>
      </c>
      <c r="F8" s="241">
        <v>0.02</v>
      </c>
      <c r="G8" s="241">
        <v>0.03</v>
      </c>
      <c r="H8" s="242">
        <v>0.04</v>
      </c>
      <c r="I8" s="813"/>
    </row>
    <row r="9" spans="1:9" ht="57.4" thickBot="1">
      <c r="A9" s="243" t="s">
        <v>253</v>
      </c>
      <c r="B9" s="244" t="s">
        <v>488</v>
      </c>
      <c r="C9" s="245">
        <v>125.25333333333333</v>
      </c>
      <c r="D9" s="245">
        <v>250.50666666666666</v>
      </c>
      <c r="E9" s="245">
        <v>375.76</v>
      </c>
      <c r="F9" s="246">
        <v>0.01</v>
      </c>
      <c r="G9" s="246">
        <v>0.02</v>
      </c>
      <c r="H9" s="247">
        <v>0.03</v>
      </c>
      <c r="I9" s="248" t="s">
        <v>489</v>
      </c>
    </row>
    <row r="10" spans="1:9">
      <c r="A10" s="157" t="s">
        <v>273</v>
      </c>
      <c r="B10" s="65"/>
      <c r="C10" s="145">
        <f>SUM(C5:C9)</f>
        <v>954.63</v>
      </c>
      <c r="D10" s="145">
        <f t="shared" ref="D10:E10" si="0">SUM(D5:D9)</f>
        <v>1892.2474999999999</v>
      </c>
      <c r="E10" s="145">
        <f t="shared" si="0"/>
        <v>2829.0600000000004</v>
      </c>
    </row>
    <row r="11" spans="1:9">
      <c r="A11" s="157"/>
      <c r="B11" s="65"/>
    </row>
    <row r="12" spans="1:9">
      <c r="A12" s="157"/>
      <c r="B12" s="65"/>
    </row>
  </sheetData>
  <sheetProtection algorithmName="SHA-512" hashValue="6V37XiaRxCadbZx8m5yI8A0Ml2TxIQ9z4RTrKy5qC/8mSxmqCpeH9avfFgE4c4bWpZ3mCUmWLNvxsj7DD+S7/Q==" saltValue="1VmERmyp3lyGd6DWq70sKw==" spinCount="100000" sheet="1" objects="1" scenarios="1" selectLockedCells="1" selectUnlockedCells="1"/>
  <mergeCells count="7">
    <mergeCell ref="A3:A4"/>
    <mergeCell ref="B7:B8"/>
    <mergeCell ref="I7:I8"/>
    <mergeCell ref="C3:E3"/>
    <mergeCell ref="F3:H3"/>
    <mergeCell ref="I3:I4"/>
    <mergeCell ref="B3:B4"/>
  </mergeCells>
  <hyperlinks>
    <hyperlink ref="A1" location="Intro!A1" display="Back to Intro" xr:uid="{00000000-0004-0000-0B00-0000000000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D132"/>
  <sheetViews>
    <sheetView topLeftCell="A37" zoomScale="70" zoomScaleNormal="70" workbookViewId="0">
      <selection activeCell="F44" sqref="F44"/>
    </sheetView>
  </sheetViews>
  <sheetFormatPr defaultRowHeight="14.25"/>
  <cols>
    <col min="1" max="13" width="28.3984375" customWidth="1"/>
    <col min="14" max="14" width="24.265625" customWidth="1"/>
    <col min="15" max="15" width="25.3984375" customWidth="1"/>
    <col min="16" max="16" width="19.1328125" customWidth="1"/>
    <col min="17" max="17" width="27.265625" customWidth="1"/>
    <col min="18" max="18" width="28.59765625" customWidth="1"/>
    <col min="19" max="19" width="24.73046875" customWidth="1"/>
    <col min="20" max="20" width="21.59765625" customWidth="1"/>
    <col min="21" max="21" width="20.59765625" customWidth="1"/>
    <col min="22" max="22" width="31.59765625" customWidth="1"/>
    <col min="23" max="23" width="32.86328125" customWidth="1"/>
    <col min="24" max="29" width="28.3984375" customWidth="1"/>
  </cols>
  <sheetData>
    <row r="1" spans="1:30" ht="28.5">
      <c r="A1" s="104" t="s">
        <v>18</v>
      </c>
      <c r="B1" s="104" t="s">
        <v>237</v>
      </c>
      <c r="C1" s="104" t="s">
        <v>236</v>
      </c>
      <c r="D1" s="104" t="s">
        <v>235</v>
      </c>
      <c r="E1" s="104" t="s">
        <v>240</v>
      </c>
      <c r="F1" s="104" t="s">
        <v>239</v>
      </c>
      <c r="G1" s="104" t="s">
        <v>238</v>
      </c>
      <c r="H1" s="104" t="s">
        <v>455</v>
      </c>
      <c r="I1" s="104" t="s">
        <v>456</v>
      </c>
      <c r="J1" s="104" t="s">
        <v>457</v>
      </c>
      <c r="K1" s="104" t="s">
        <v>458</v>
      </c>
      <c r="L1" s="104" t="s">
        <v>459</v>
      </c>
      <c r="M1" s="104" t="s">
        <v>460</v>
      </c>
      <c r="N1" s="104" t="s">
        <v>178</v>
      </c>
      <c r="O1" s="104" t="s">
        <v>177</v>
      </c>
      <c r="P1" s="104" t="s">
        <v>176</v>
      </c>
      <c r="Q1" s="104" t="s">
        <v>249</v>
      </c>
      <c r="R1" s="104" t="s">
        <v>247</v>
      </c>
      <c r="S1" s="104" t="s">
        <v>250</v>
      </c>
      <c r="T1" s="9" t="s">
        <v>179</v>
      </c>
      <c r="U1" s="9" t="s">
        <v>180</v>
      </c>
      <c r="V1" s="349" t="s">
        <v>573</v>
      </c>
      <c r="W1" s="347" t="s">
        <v>257</v>
      </c>
      <c r="X1" s="348" t="s">
        <v>258</v>
      </c>
      <c r="Y1" s="9" t="s">
        <v>248</v>
      </c>
      <c r="Z1" s="9" t="s">
        <v>49</v>
      </c>
      <c r="AA1" s="9" t="s">
        <v>9</v>
      </c>
      <c r="AB1" s="9" t="s">
        <v>40</v>
      </c>
      <c r="AC1" s="9"/>
      <c r="AD1" s="9"/>
    </row>
    <row r="2" spans="1:30">
      <c r="A2" s="9">
        <v>1</v>
      </c>
      <c r="B2" s="70">
        <f>IF(COUNT($A2)&gt;0,'Cloud Consumption'!$C$5,0)</f>
        <v>69.39</v>
      </c>
      <c r="C2" s="70">
        <f>IF(COUNT($A2)&gt;0,'Cloud Consumption'!$D$5,0)</f>
        <v>121.76750000000001</v>
      </c>
      <c r="D2" s="70">
        <f>IF(COUNT($A2)&gt;0,'Cloud Consumption'!$E$5,0)</f>
        <v>173.34</v>
      </c>
      <c r="E2" s="70">
        <f>IF(COUNT($A2)&gt;0,'Cloud Consumption'!C6,0)</f>
        <v>233.33333333333334</v>
      </c>
      <c r="F2" s="70">
        <f>IF(COUNT($A2)&gt;0,'Cloud Consumption'!D6,0)</f>
        <v>466.66666666666669</v>
      </c>
      <c r="G2" s="70">
        <f>IF(COUNT($A2)&gt;0,'Cloud Consumption'!E6,0)</f>
        <v>700</v>
      </c>
      <c r="H2" s="70">
        <f>IF(COUNT($A2)&gt;0,'Cloud Consumption'!C7,0)</f>
        <v>132.32</v>
      </c>
      <c r="I2" s="70">
        <f>IF(COUNT($A2)&gt;0,'Cloud Consumption'!D7,0)</f>
        <v>264.64</v>
      </c>
      <c r="J2" s="70">
        <f>IF(COUNT($A2)&gt;0,'Cloud Consumption'!D8,0)</f>
        <v>788.66666666666663</v>
      </c>
      <c r="K2" s="70">
        <f>IF(COUNT($A2)&gt;0,'Cloud Consumption'!C8,0)</f>
        <v>394.33333333333331</v>
      </c>
      <c r="L2" s="70">
        <f>IF(COUNT($A2)&gt;0,'Cloud Consumption'!D8,0)</f>
        <v>788.66666666666663</v>
      </c>
      <c r="M2" s="70">
        <f>IF(COUNT($A2)&gt;0,'Cloud Consumption'!E8,0)</f>
        <v>1183</v>
      </c>
      <c r="N2" s="9">
        <f>IF(COUNT($A2)&gt;0,'Cloud Consumption'!C9,0)</f>
        <v>125.25333333333333</v>
      </c>
      <c r="O2" s="9">
        <f>IF(COUNT($A2)&gt;0,'Cloud Consumption'!D9,0)</f>
        <v>250.50666666666666</v>
      </c>
      <c r="P2" s="9">
        <f>IF(COUNT($A2)&gt;0,'Cloud Consumption'!E9,0)</f>
        <v>375.76</v>
      </c>
      <c r="Q2" s="11">
        <f>B2+E2+H2</f>
        <v>435.04333333333335</v>
      </c>
      <c r="R2" s="11">
        <f>C2+F2+I2</f>
        <v>853.07416666666666</v>
      </c>
      <c r="S2" s="11">
        <f>D2+G2+M2</f>
        <v>2056.34</v>
      </c>
      <c r="T2" s="9">
        <f>IF(COUNT($A2)&gt;0,'Platform Overhead C '!$M$23,0)</f>
        <v>7190.413333333333</v>
      </c>
      <c r="U2" s="9">
        <f>IF(COUNT($A2)&gt;0,'Platform Overhead C '!$M$38,0)</f>
        <v>1202.0576888888891</v>
      </c>
      <c r="V2" s="349">
        <f>'Custom ESPO Selection'!$D$30</f>
        <v>0</v>
      </c>
      <c r="W2" s="347">
        <f>'ESPO Calculator'!$D$56</f>
        <v>4600</v>
      </c>
      <c r="X2" s="348">
        <f>'ESPO Calculator'!$D$73</f>
        <v>4600</v>
      </c>
      <c r="Y2" s="9">
        <f>IF('Prospective Project'!$D$23="High",'Prospective Project Calculation'!S2,IF('Prospective Project'!$D$23="Medium",'Prospective Project Calculation'!R2,'Prospective Project Calculation'!Q2))</f>
        <v>2056.34</v>
      </c>
      <c r="Z2" s="9">
        <f>IF('Prospective Project'!$D$30="High",'Prospective Project Calculation'!P2,IF('Prospective Project'!$D$30="Medium",'Prospective Project Calculation'!O2,'Prospective Project Calculation'!N2))</f>
        <v>125.25333333333333</v>
      </c>
      <c r="AA2" s="9">
        <f>IF('Prospective Project'!$D$32="None",0,IF('Prospective Project'!$D$32="Gold",X2,IF('Prospective Project'!$D$32="Silver",'Prospective Project Calculation'!W2,'Prospective Project Calculation'!V2)))</f>
        <v>0</v>
      </c>
      <c r="AB2" s="9">
        <f>SUM(Y2:AA2)</f>
        <v>2181.5933333333332</v>
      </c>
      <c r="AC2" s="9"/>
      <c r="AD2" s="9"/>
    </row>
    <row r="3" spans="1:30">
      <c r="A3" s="9">
        <f>IF(ROW()&lt;='Prospective Project'!$D$20+1,A2+1,"")</f>
        <v>2</v>
      </c>
      <c r="B3" s="70">
        <f>IF(COUNT($A3)&gt;0,(B2*(1+'Cloud Consumption'!$F$5)),0)</f>
        <v>70.0839</v>
      </c>
      <c r="C3" s="70">
        <f>IF(COUNT($A3)&gt;0,(C2*(1+'Cloud Consumption'!$G$5)),0)</f>
        <v>125.42052500000001</v>
      </c>
      <c r="D3" s="70">
        <f>IF(COUNT($A3)&gt;0,(D2*(1+'Cloud Consumption'!$H$5)),0)</f>
        <v>182.00700000000001</v>
      </c>
      <c r="E3" s="70">
        <f>IF(COUNT($A3)&gt;0,(E2*(1+'Cloud Consumption'!$F$6)),0)</f>
        <v>238</v>
      </c>
      <c r="F3" s="70">
        <f>IF(COUNT($A3)&gt;0,(F2*(1+'Cloud Consumption'!$G$6)),0)</f>
        <v>490.00000000000006</v>
      </c>
      <c r="G3" s="70">
        <f>IF(COUNT($A3)&gt;0,(G2*(1+'Cloud Consumption'!$H$6)),0)</f>
        <v>770.00000000000011</v>
      </c>
      <c r="H3" s="70">
        <f>IF(COUNT($A3)&gt;0,(H2*(1+'Cloud Consumption'!$F$7)),0)</f>
        <v>133.64320000000001</v>
      </c>
      <c r="I3" s="70">
        <f>IF(COUNT($A3)&gt;0,(I2*(1+'Cloud Consumption'!$G$7)),0)</f>
        <v>269.93279999999999</v>
      </c>
      <c r="J3" s="70">
        <f>IF(COUNT($A3)&gt;0,(J2*(1+'Cloud Consumption'!$H$7)),0)</f>
        <v>812.3266666666666</v>
      </c>
      <c r="K3" s="70">
        <f>IF(COUNT($A3)&gt;0,(K2*(1+'Cloud Consumption'!$F$8)),0)</f>
        <v>402.21999999999997</v>
      </c>
      <c r="L3" s="70">
        <f>IF(COUNT($A3)&gt;0,(L2*(1+'Cloud Consumption'!$G$8)),0)</f>
        <v>812.3266666666666</v>
      </c>
      <c r="M3" s="70">
        <f>IF(COUNT($A3)&gt;0,(M2*(1+'Cloud Consumption'!$H$8)),0)</f>
        <v>1230.32</v>
      </c>
      <c r="N3" s="9">
        <f>IF(COUNT($A3)&gt;0,(N2*(1+'Cloud Consumption'!$F$9)),0)</f>
        <v>126.50586666666666</v>
      </c>
      <c r="O3" s="9">
        <f>IF(COUNT($A3)&gt;0,(O2*(1+'Cloud Consumption'!$G$9)),0)</f>
        <v>255.51679999999999</v>
      </c>
      <c r="P3" s="9">
        <f>IF(COUNT($A3)&gt;0,(P2*(1+'Cloud Consumption'!$H$9)),0)</f>
        <v>387.03280000000001</v>
      </c>
      <c r="Q3" s="11">
        <f t="shared" ref="Q3:Q36" si="0">B3+E3+H3</f>
        <v>441.72709999999995</v>
      </c>
      <c r="R3" s="11">
        <f t="shared" ref="R3:R36" si="1">C3+F3+I3</f>
        <v>885.35332500000004</v>
      </c>
      <c r="S3" s="11">
        <f t="shared" ref="S3:S36" si="2">D3+G3+M3</f>
        <v>2182.3270000000002</v>
      </c>
      <c r="T3" s="9">
        <f>IF(COUNT($A3)&gt;0,'Platform Overhead C '!$M$23,0)</f>
        <v>7190.413333333333</v>
      </c>
      <c r="U3" s="9">
        <f>IF(COUNT($A3)&gt;0,'Platform Overhead C '!$M$38,0)</f>
        <v>1202.0576888888891</v>
      </c>
      <c r="V3" s="349">
        <f>'Custom ESPO Selection'!$D$30</f>
        <v>0</v>
      </c>
      <c r="W3" s="347">
        <f>'ESPO Calculator'!$D$56</f>
        <v>4600</v>
      </c>
      <c r="X3" s="348">
        <f>'ESPO Calculator'!$D$73</f>
        <v>4600</v>
      </c>
      <c r="Y3" s="9">
        <f>IF('Prospective Project'!$D$23="High",'Prospective Project Calculation'!S3,IF('Prospective Project'!$D$23="Medium",'Prospective Project Calculation'!R3,'Prospective Project Calculation'!Q3))</f>
        <v>2182.3270000000002</v>
      </c>
      <c r="Z3" s="9">
        <f>IF('Prospective Project'!$D$30="High",'Prospective Project Calculation'!P3,IF('Prospective Project'!$D$30="Medium",'Prospective Project Calculation'!O3,'Prospective Project Calculation'!N3))</f>
        <v>126.50586666666666</v>
      </c>
      <c r="AA3" s="9">
        <f>IF('Prospective Project'!$D$32="None",0,IF('Prospective Project'!$D$32="Gold",X3,IF('Prospective Project'!$D$32="Silver",'Prospective Project Calculation'!W3,'Prospective Project Calculation'!V3)))</f>
        <v>0</v>
      </c>
      <c r="AB3" s="9">
        <f t="shared" ref="AB3:AB36" si="3">SUM(Y3:AA3)</f>
        <v>2308.8328666666671</v>
      </c>
      <c r="AC3" s="9"/>
      <c r="AD3" s="9"/>
    </row>
    <row r="4" spans="1:30">
      <c r="A4" s="9">
        <f>IF(ROW()&lt;='Prospective Project'!$D$20+1,A3+1,"")</f>
        <v>3</v>
      </c>
      <c r="B4" s="70">
        <f>IF(COUNT($A4)&gt;0,(B3*(1+'Cloud Consumption'!$F$5)),0)</f>
        <v>70.784739000000002</v>
      </c>
      <c r="C4" s="70">
        <f>IF(COUNT($A4)&gt;0,(C3*(1+'Cloud Consumption'!$G$5)),0)</f>
        <v>129.18314075000001</v>
      </c>
      <c r="D4" s="70">
        <f>IF(COUNT($A4)&gt;0,(D3*(1+'Cloud Consumption'!$H$5)),0)</f>
        <v>191.10735000000003</v>
      </c>
      <c r="E4" s="70">
        <f>IF(COUNT($A4)&gt;0,(E3*(1+'Cloud Consumption'!$F$6)),0)</f>
        <v>242.76</v>
      </c>
      <c r="F4" s="70">
        <f>IF(COUNT($A4)&gt;0,(F3*(1+'Cloud Consumption'!$G$6)),0)</f>
        <v>514.50000000000011</v>
      </c>
      <c r="G4" s="70">
        <f>IF(COUNT($A4)&gt;0,(G3*(1+'Cloud Consumption'!$H$6)),0)</f>
        <v>847.00000000000023</v>
      </c>
      <c r="H4" s="70">
        <f>IF(COUNT($A4)&gt;0,(H3*(1+'Cloud Consumption'!$F$7)),0)</f>
        <v>134.97963200000001</v>
      </c>
      <c r="I4" s="70">
        <f>IF(COUNT($A4)&gt;0,(I3*(1+'Cloud Consumption'!$G$7)),0)</f>
        <v>275.331456</v>
      </c>
      <c r="J4" s="70">
        <f>IF(COUNT($A4)&gt;0,(J3*(1+'Cloud Consumption'!$H$7)),0)</f>
        <v>836.69646666666665</v>
      </c>
      <c r="K4" s="70">
        <f>IF(COUNT($A4)&gt;0,(K3*(1+'Cloud Consumption'!$F$8)),0)</f>
        <v>410.26439999999997</v>
      </c>
      <c r="L4" s="70">
        <f>IF(COUNT($A4)&gt;0,(L3*(1+'Cloud Consumption'!$G$8)),0)</f>
        <v>836.69646666666665</v>
      </c>
      <c r="M4" s="70">
        <f>IF(COUNT($A4)&gt;0,(M3*(1+'Cloud Consumption'!$H$8)),0)</f>
        <v>1279.5328</v>
      </c>
      <c r="N4" s="9">
        <f>IF(COUNT($A4)&gt;0,(N3*(1+'Cloud Consumption'!$F$9)),0)</f>
        <v>127.77092533333332</v>
      </c>
      <c r="O4" s="9">
        <f>IF(COUNT($A4)&gt;0,(O3*(1+'Cloud Consumption'!$G$9)),0)</f>
        <v>260.62713600000001</v>
      </c>
      <c r="P4" s="9">
        <f>IF(COUNT($A4)&gt;0,(P3*(1+'Cloud Consumption'!$H$9)),0)</f>
        <v>398.64378400000004</v>
      </c>
      <c r="Q4" s="11">
        <f t="shared" si="0"/>
        <v>448.52437099999997</v>
      </c>
      <c r="R4" s="11">
        <f t="shared" si="1"/>
        <v>919.01459675000012</v>
      </c>
      <c r="S4" s="11">
        <f t="shared" si="2"/>
        <v>2317.6401500000002</v>
      </c>
      <c r="T4" s="9">
        <f>IF(COUNT($A4)&gt;0,'Platform Overhead C '!$M$23,0)</f>
        <v>7190.413333333333</v>
      </c>
      <c r="U4" s="9">
        <f>IF(COUNT($A4)&gt;0,'Platform Overhead C '!$M$38,0)</f>
        <v>1202.0576888888891</v>
      </c>
      <c r="V4" s="349">
        <f>'Custom ESPO Selection'!$D$31</f>
        <v>0</v>
      </c>
      <c r="W4" s="347">
        <f>'ESPO Calculator'!$D$57</f>
        <v>33125</v>
      </c>
      <c r="X4" s="348">
        <f>'ESPO Calculator'!$D$74</f>
        <v>60075</v>
      </c>
      <c r="Y4" s="9">
        <f>IF('Prospective Project'!$D$23="High",'Prospective Project Calculation'!S4,IF('Prospective Project'!$D$23="Medium",'Prospective Project Calculation'!R4,'Prospective Project Calculation'!Q4))</f>
        <v>2317.6401500000002</v>
      </c>
      <c r="Z4" s="9">
        <f>IF('Prospective Project'!$D$30="High",'Prospective Project Calculation'!P4,IF('Prospective Project'!$D$30="Medium",'Prospective Project Calculation'!O4,'Prospective Project Calculation'!N4))</f>
        <v>127.77092533333332</v>
      </c>
      <c r="AA4" s="9">
        <f>IF('Prospective Project'!$D$32="None",0,IF('Prospective Project'!$D$32="Gold",X4,IF('Prospective Project'!$D$32="Silver",'Prospective Project Calculation'!W4,'Prospective Project Calculation'!V4)))</f>
        <v>0</v>
      </c>
      <c r="AB4" s="9">
        <f t="shared" si="3"/>
        <v>2445.4110753333334</v>
      </c>
      <c r="AC4" s="9"/>
      <c r="AD4" s="9"/>
    </row>
    <row r="5" spans="1:30">
      <c r="A5" s="9">
        <f>IF(ROW()&lt;='Prospective Project'!$D$20+1,A4+1,"")</f>
        <v>4</v>
      </c>
      <c r="B5" s="70">
        <f>IF(COUNT($A5)&gt;0,(B4*(1+'Cloud Consumption'!$F$5)),0)</f>
        <v>71.49258639</v>
      </c>
      <c r="C5" s="70">
        <f>IF(COUNT($A5)&gt;0,(C4*(1+'Cloud Consumption'!$G$5)),0)</f>
        <v>133.05863497250002</v>
      </c>
      <c r="D5" s="70">
        <f>IF(COUNT($A5)&gt;0,(D4*(1+'Cloud Consumption'!$H$5)),0)</f>
        <v>200.66271750000004</v>
      </c>
      <c r="E5" s="70">
        <f>IF(COUNT($A5)&gt;0,(E4*(1+'Cloud Consumption'!$F$6)),0)</f>
        <v>247.61519999999999</v>
      </c>
      <c r="F5" s="70">
        <f>IF(COUNT($A5)&gt;0,(F4*(1+'Cloud Consumption'!$G$6)),0)</f>
        <v>540.22500000000014</v>
      </c>
      <c r="G5" s="70">
        <f>IF(COUNT($A5)&gt;0,(G4*(1+'Cloud Consumption'!$H$6)),0)</f>
        <v>931.70000000000027</v>
      </c>
      <c r="H5" s="70">
        <f>IF(COUNT($A5)&gt;0,(H4*(1+'Cloud Consumption'!$F$7)),0)</f>
        <v>136.32942832000001</v>
      </c>
      <c r="I5" s="70">
        <f>IF(COUNT($A5)&gt;0,(I4*(1+'Cloud Consumption'!$G$7)),0)</f>
        <v>280.83808512000002</v>
      </c>
      <c r="J5" s="70">
        <f>IF(COUNT($A5)&gt;0,(J4*(1+'Cloud Consumption'!$H$7)),0)</f>
        <v>861.79736066666669</v>
      </c>
      <c r="K5" s="70">
        <f>IF(COUNT($A5)&gt;0,(K4*(1+'Cloud Consumption'!$F$8)),0)</f>
        <v>418.46968799999996</v>
      </c>
      <c r="L5" s="70">
        <f>IF(COUNT($A5)&gt;0,(L4*(1+'Cloud Consumption'!$G$8)),0)</f>
        <v>861.79736066666669</v>
      </c>
      <c r="M5" s="70">
        <f>IF(COUNT($A5)&gt;0,(M4*(1+'Cloud Consumption'!$H$8)),0)</f>
        <v>1330.7141119999999</v>
      </c>
      <c r="N5" s="9">
        <f>IF(COUNT($A5)&gt;0,(N4*(1+'Cloud Consumption'!$F$9)),0)</f>
        <v>129.04863458666665</v>
      </c>
      <c r="O5" s="9">
        <f>IF(COUNT($A5)&gt;0,(O4*(1+'Cloud Consumption'!$G$9)),0)</f>
        <v>265.83967871999999</v>
      </c>
      <c r="P5" s="9">
        <f>IF(COUNT($A5)&gt;0,(P4*(1+'Cloud Consumption'!$H$9)),0)</f>
        <v>410.60309752000006</v>
      </c>
      <c r="Q5" s="11">
        <f t="shared" si="0"/>
        <v>455.43721471000003</v>
      </c>
      <c r="R5" s="11">
        <f t="shared" si="1"/>
        <v>954.12172009250025</v>
      </c>
      <c r="S5" s="11">
        <f t="shared" si="2"/>
        <v>2463.0768295000003</v>
      </c>
      <c r="T5" s="9">
        <f>IF(COUNT($A5)&gt;0,'Platform Overhead C '!$M$23,0)</f>
        <v>7190.413333333333</v>
      </c>
      <c r="U5" s="9">
        <f>IF(COUNT($A5)&gt;0,'Platform Overhead C '!$M$38,0)</f>
        <v>1202.0576888888891</v>
      </c>
      <c r="V5" s="349">
        <f>'Custom ESPO Selection'!$D$31</f>
        <v>0</v>
      </c>
      <c r="W5" s="347">
        <f>'ESPO Calculator'!$D$57</f>
        <v>33125</v>
      </c>
      <c r="X5" s="348">
        <f>'ESPO Calculator'!$D$74</f>
        <v>60075</v>
      </c>
      <c r="Y5" s="9">
        <f>IF('Prospective Project'!$D$23="High",'Prospective Project Calculation'!S5,IF('Prospective Project'!$D$23="Medium",'Prospective Project Calculation'!R5,'Prospective Project Calculation'!Q5))</f>
        <v>2463.0768295000003</v>
      </c>
      <c r="Z5" s="9">
        <f>IF('Prospective Project'!$D$30="High",'Prospective Project Calculation'!P5,IF('Prospective Project'!$D$30="Medium",'Prospective Project Calculation'!O5,'Prospective Project Calculation'!N5))</f>
        <v>129.04863458666665</v>
      </c>
      <c r="AA5" s="9">
        <f>IF('Prospective Project'!$D$32="None",0,IF('Prospective Project'!$D$32="Gold",X5,IF('Prospective Project'!$D$32="Silver",'Prospective Project Calculation'!W5,'Prospective Project Calculation'!V5)))</f>
        <v>0</v>
      </c>
      <c r="AB5" s="9">
        <f t="shared" si="3"/>
        <v>2592.1254640866669</v>
      </c>
      <c r="AC5" s="9"/>
      <c r="AD5" s="9"/>
    </row>
    <row r="6" spans="1:30">
      <c r="A6" s="9">
        <f>IF(ROW()&lt;='Prospective Project'!$D$20+1,A5+1,"")</f>
        <v>5</v>
      </c>
      <c r="B6" s="70">
        <f>IF(COUNT($A6)&gt;0,(B5*(1+'Cloud Consumption'!$F$5)),0)</f>
        <v>72.207512253900006</v>
      </c>
      <c r="C6" s="70">
        <f>IF(COUNT($A6)&gt;0,(C5*(1+'Cloud Consumption'!$G$5)),0)</f>
        <v>137.05039402167503</v>
      </c>
      <c r="D6" s="70">
        <f>IF(COUNT($A6)&gt;0,(D5*(1+'Cloud Consumption'!$H$5)),0)</f>
        <v>210.69585337500004</v>
      </c>
      <c r="E6" s="70">
        <f>IF(COUNT($A6)&gt;0,(E5*(1+'Cloud Consumption'!$F$6)),0)</f>
        <v>252.56750399999999</v>
      </c>
      <c r="F6" s="70">
        <f>IF(COUNT($A6)&gt;0,(F5*(1+'Cloud Consumption'!$G$6)),0)</f>
        <v>567.23625000000015</v>
      </c>
      <c r="G6" s="70">
        <f>IF(COUNT($A6)&gt;0,(G5*(1+'Cloud Consumption'!$H$6)),0)</f>
        <v>1024.8700000000003</v>
      </c>
      <c r="H6" s="70">
        <f>IF(COUNT($A6)&gt;0,(H5*(1+'Cloud Consumption'!$F$7)),0)</f>
        <v>137.6927226032</v>
      </c>
      <c r="I6" s="70">
        <f>IF(COUNT($A6)&gt;0,(I5*(1+'Cloud Consumption'!$G$7)),0)</f>
        <v>286.45484682240004</v>
      </c>
      <c r="J6" s="70">
        <f>IF(COUNT($A6)&gt;0,(J5*(1+'Cloud Consumption'!$H$7)),0)</f>
        <v>887.65128148666668</v>
      </c>
      <c r="K6" s="70">
        <f>IF(COUNT($A6)&gt;0,(K5*(1+'Cloud Consumption'!$F$8)),0)</f>
        <v>426.83908175999994</v>
      </c>
      <c r="L6" s="70">
        <f>IF(COUNT($A6)&gt;0,(L5*(1+'Cloud Consumption'!$G$8)),0)</f>
        <v>887.65128148666668</v>
      </c>
      <c r="M6" s="70">
        <f>IF(COUNT($A6)&gt;0,(M5*(1+'Cloud Consumption'!$H$8)),0)</f>
        <v>1383.9426764799998</v>
      </c>
      <c r="N6" s="9">
        <f>IF(COUNT($A6)&gt;0,(N5*(1+'Cloud Consumption'!$F$9)),0)</f>
        <v>130.33912093253332</v>
      </c>
      <c r="O6" s="9">
        <f>IF(COUNT($A6)&gt;0,(O5*(1+'Cloud Consumption'!$G$9)),0)</f>
        <v>271.15647229439998</v>
      </c>
      <c r="P6" s="9">
        <f>IF(COUNT($A6)&gt;0,(P5*(1+'Cloud Consumption'!$H$9)),0)</f>
        <v>422.92119044560008</v>
      </c>
      <c r="Q6" s="11">
        <f t="shared" si="0"/>
        <v>462.46773885710002</v>
      </c>
      <c r="R6" s="11">
        <f t="shared" si="1"/>
        <v>990.74149084407532</v>
      </c>
      <c r="S6" s="11">
        <f t="shared" si="2"/>
        <v>2619.5085298550002</v>
      </c>
      <c r="T6" s="9">
        <f>IF(COUNT($A6)&gt;0,'Platform Overhead C '!$M$23,0)</f>
        <v>7190.413333333333</v>
      </c>
      <c r="U6" s="9">
        <f>IF(COUNT($A6)&gt;0,'Platform Overhead C '!$M$38,0)</f>
        <v>1202.0576888888891</v>
      </c>
      <c r="V6" s="349">
        <f>'Custom ESPO Selection'!$D$32</f>
        <v>0</v>
      </c>
      <c r="W6" s="347">
        <f>'ESPO Calculator'!$D$58</f>
        <v>26142.857142857141</v>
      </c>
      <c r="X6" s="348">
        <f>'ESPO Calculator'!$D$75</f>
        <v>84014.28571428571</v>
      </c>
      <c r="Y6" s="9">
        <f>IF('Prospective Project'!$D$23="High",'Prospective Project Calculation'!S6,IF('Prospective Project'!$D$23="Medium",'Prospective Project Calculation'!R6,'Prospective Project Calculation'!Q6))</f>
        <v>2619.5085298550002</v>
      </c>
      <c r="Z6" s="9">
        <f>IF('Prospective Project'!$D$30="High",'Prospective Project Calculation'!P6,IF('Prospective Project'!$D$30="Medium",'Prospective Project Calculation'!O6,'Prospective Project Calculation'!N6))</f>
        <v>130.33912093253332</v>
      </c>
      <c r="AA6" s="9">
        <f>IF('Prospective Project'!$D$32="None",0,IF('Prospective Project'!$D$32="Gold",X6,IF('Prospective Project'!$D$32="Silver",'Prospective Project Calculation'!W6,'Prospective Project Calculation'!V6)))</f>
        <v>0</v>
      </c>
      <c r="AB6" s="9">
        <f t="shared" si="3"/>
        <v>2749.8476507875334</v>
      </c>
      <c r="AC6" s="9"/>
      <c r="AD6" s="9"/>
    </row>
    <row r="7" spans="1:30">
      <c r="A7" s="9">
        <f>IF(ROW()&lt;='Prospective Project'!$D$20+1,A6+1,"")</f>
        <v>6</v>
      </c>
      <c r="B7" s="70">
        <f>IF(COUNT($A7)&gt;0,(B6*(1+'Cloud Consumption'!$F$5)),0)</f>
        <v>72.929587376439002</v>
      </c>
      <c r="C7" s="70">
        <f>IF(COUNT($A7)&gt;0,(C6*(1+'Cloud Consumption'!$G$5)),0)</f>
        <v>141.1619058423253</v>
      </c>
      <c r="D7" s="70">
        <f>IF(COUNT($A7)&gt;0,(D6*(1+'Cloud Consumption'!$H$5)),0)</f>
        <v>221.23064604375006</v>
      </c>
      <c r="E7" s="70">
        <f>IF(COUNT($A7)&gt;0,(E6*(1+'Cloud Consumption'!$F$6)),0)</f>
        <v>257.61885408000001</v>
      </c>
      <c r="F7" s="70">
        <f>IF(COUNT($A7)&gt;0,(F6*(1+'Cloud Consumption'!$G$6)),0)</f>
        <v>595.5980625000002</v>
      </c>
      <c r="G7" s="70">
        <f>IF(COUNT($A7)&gt;0,(G6*(1+'Cloud Consumption'!$H$6)),0)</f>
        <v>1127.3570000000004</v>
      </c>
      <c r="H7" s="70">
        <f>IF(COUNT($A7)&gt;0,(H6*(1+'Cloud Consumption'!$F$7)),0)</f>
        <v>139.06964982923199</v>
      </c>
      <c r="I7" s="70">
        <f>IF(COUNT($A7)&gt;0,(I6*(1+'Cloud Consumption'!$G$7)),0)</f>
        <v>292.18394375884805</v>
      </c>
      <c r="J7" s="70">
        <f>IF(COUNT($A7)&gt;0,(J6*(1+'Cloud Consumption'!$H$7)),0)</f>
        <v>914.28081993126671</v>
      </c>
      <c r="K7" s="70">
        <f>IF(COUNT($A7)&gt;0,(K6*(1+'Cloud Consumption'!$F$8)),0)</f>
        <v>435.37586339519993</v>
      </c>
      <c r="L7" s="70">
        <f>IF(COUNT($A7)&gt;0,(L6*(1+'Cloud Consumption'!$G$8)),0)</f>
        <v>914.28081993126671</v>
      </c>
      <c r="M7" s="70">
        <f>IF(COUNT($A7)&gt;0,(M6*(1+'Cloud Consumption'!$H$8)),0)</f>
        <v>1439.3003835391999</v>
      </c>
      <c r="N7" s="9">
        <f>IF(COUNT($A7)&gt;0,(N6*(1+'Cloud Consumption'!$F$9)),0)</f>
        <v>131.64251214185865</v>
      </c>
      <c r="O7" s="9">
        <f>IF(COUNT($A7)&gt;0,(O6*(1+'Cloud Consumption'!$G$9)),0)</f>
        <v>276.57960174028796</v>
      </c>
      <c r="P7" s="9">
        <f>IF(COUNT($A7)&gt;0,(P6*(1+'Cloud Consumption'!$H$9)),0)</f>
        <v>435.6088261589681</v>
      </c>
      <c r="Q7" s="11">
        <f t="shared" si="0"/>
        <v>469.61809128567103</v>
      </c>
      <c r="R7" s="11">
        <f t="shared" si="1"/>
        <v>1028.9439121011735</v>
      </c>
      <c r="S7" s="11">
        <f t="shared" si="2"/>
        <v>2787.8880295829504</v>
      </c>
      <c r="T7" s="9">
        <f>IF(COUNT($A7)&gt;0,'Platform Overhead C '!$M$23,0)</f>
        <v>7190.413333333333</v>
      </c>
      <c r="U7" s="9">
        <f>IF(COUNT($A7)&gt;0,'Platform Overhead C '!$M$38,0)</f>
        <v>1202.0576888888891</v>
      </c>
      <c r="V7" s="349">
        <f>'Custom ESPO Selection'!$D$32</f>
        <v>0</v>
      </c>
      <c r="W7" s="347">
        <f>'ESPO Calculator'!$D$58</f>
        <v>26142.857142857141</v>
      </c>
      <c r="X7" s="348">
        <f>'ESPO Calculator'!$D$75</f>
        <v>84014.28571428571</v>
      </c>
      <c r="Y7" s="9">
        <f>IF('Prospective Project'!$D$23="High",'Prospective Project Calculation'!S7,IF('Prospective Project'!$D$23="Medium",'Prospective Project Calculation'!R7,'Prospective Project Calculation'!Q7))</f>
        <v>2787.8880295829504</v>
      </c>
      <c r="Z7" s="9">
        <f>IF('Prospective Project'!$D$30="High",'Prospective Project Calculation'!P7,IF('Prospective Project'!$D$30="Medium",'Prospective Project Calculation'!O7,'Prospective Project Calculation'!N7))</f>
        <v>131.64251214185865</v>
      </c>
      <c r="AA7" s="9">
        <f>IF('Prospective Project'!$D$32="None",0,IF('Prospective Project'!$D$32="Gold",X7,IF('Prospective Project'!$D$32="Silver",'Prospective Project Calculation'!W7,'Prospective Project Calculation'!V7)))</f>
        <v>0</v>
      </c>
      <c r="AB7" s="9">
        <f t="shared" si="3"/>
        <v>2919.5305417248092</v>
      </c>
      <c r="AC7" s="9"/>
      <c r="AD7" s="9"/>
    </row>
    <row r="8" spans="1:30">
      <c r="A8" s="9">
        <f>IF(ROW()&lt;='Prospective Project'!$D$20+1,A7+1,"")</f>
        <v>7</v>
      </c>
      <c r="B8" s="70">
        <f>IF(COUNT($A8)&gt;0,(B7*(1+'Cloud Consumption'!$F$5)),0)</f>
        <v>73.658883250203388</v>
      </c>
      <c r="C8" s="70">
        <f>IF(COUNT($A8)&gt;0,(C7*(1+'Cloud Consumption'!$G$5)),0)</f>
        <v>145.39676301759505</v>
      </c>
      <c r="D8" s="70">
        <f>IF(COUNT($A8)&gt;0,(D7*(1+'Cloud Consumption'!$H$5)),0)</f>
        <v>232.29217834593757</v>
      </c>
      <c r="E8" s="70">
        <f>IF(COUNT($A8)&gt;0,(E7*(1+'Cloud Consumption'!$F$6)),0)</f>
        <v>262.77123116159999</v>
      </c>
      <c r="F8" s="70">
        <f>IF(COUNT($A8)&gt;0,(F7*(1+'Cloud Consumption'!$G$6)),0)</f>
        <v>625.37796562500023</v>
      </c>
      <c r="G8" s="70">
        <f>IF(COUNT($A8)&gt;0,(G7*(1+'Cloud Consumption'!$H$6)),0)</f>
        <v>1240.0927000000006</v>
      </c>
      <c r="H8" s="70">
        <f>IF(COUNT($A8)&gt;0,(H7*(1+'Cloud Consumption'!$F$7)),0)</f>
        <v>140.46034632752432</v>
      </c>
      <c r="I8" s="70">
        <f>IF(COUNT($A8)&gt;0,(I7*(1+'Cloud Consumption'!$G$7)),0)</f>
        <v>298.02762263402502</v>
      </c>
      <c r="J8" s="70">
        <f>IF(COUNT($A8)&gt;0,(J7*(1+'Cloud Consumption'!$H$7)),0)</f>
        <v>941.70924452920474</v>
      </c>
      <c r="K8" s="70">
        <f>IF(COUNT($A8)&gt;0,(K7*(1+'Cloud Consumption'!$F$8)),0)</f>
        <v>444.08338066310392</v>
      </c>
      <c r="L8" s="70">
        <f>IF(COUNT($A8)&gt;0,(L7*(1+'Cloud Consumption'!$G$8)),0)</f>
        <v>941.70924452920474</v>
      </c>
      <c r="M8" s="70">
        <f>IF(COUNT($A8)&gt;0,(M7*(1+'Cloud Consumption'!$H$8)),0)</f>
        <v>1496.8723988807678</v>
      </c>
      <c r="N8" s="9">
        <f>IF(COUNT($A8)&gt;0,(N7*(1+'Cloud Consumption'!$F$9)),0)</f>
        <v>132.95893726327722</v>
      </c>
      <c r="O8" s="9">
        <f>IF(COUNT($A8)&gt;0,(O7*(1+'Cloud Consumption'!$G$9)),0)</f>
        <v>282.11119377509374</v>
      </c>
      <c r="P8" s="9">
        <f>IF(COUNT($A8)&gt;0,(P7*(1+'Cloud Consumption'!$H$9)),0)</f>
        <v>448.67709094373714</v>
      </c>
      <c r="Q8" s="11">
        <f t="shared" si="0"/>
        <v>476.89046073932775</v>
      </c>
      <c r="R8" s="11">
        <f t="shared" si="1"/>
        <v>1068.8023512766204</v>
      </c>
      <c r="S8" s="11">
        <f t="shared" si="2"/>
        <v>2969.2572772267058</v>
      </c>
      <c r="T8" s="9">
        <f>IF(COUNT($A8)&gt;0,'Platform Overhead C '!$M$23,0)</f>
        <v>7190.413333333333</v>
      </c>
      <c r="U8" s="9">
        <f>IF(COUNT($A8)&gt;0,'Platform Overhead C '!$M$38,0)</f>
        <v>1202.0576888888891</v>
      </c>
      <c r="V8" s="349">
        <f>'Custom ESPO Selection'!$D$32</f>
        <v>0</v>
      </c>
      <c r="W8" s="347">
        <f>'ESPO Calculator'!$D$58</f>
        <v>26142.857142857141</v>
      </c>
      <c r="X8" s="348">
        <f>'ESPO Calculator'!$D$75</f>
        <v>84014.28571428571</v>
      </c>
      <c r="Y8" s="9">
        <f>IF('Prospective Project'!$D$23="High",'Prospective Project Calculation'!S8,IF('Prospective Project'!$D$23="Medium",'Prospective Project Calculation'!R8,'Prospective Project Calculation'!Q8))</f>
        <v>2969.2572772267058</v>
      </c>
      <c r="Z8" s="9">
        <f>IF('Prospective Project'!$D$30="High",'Prospective Project Calculation'!P8,IF('Prospective Project'!$D$30="Medium",'Prospective Project Calculation'!O8,'Prospective Project Calculation'!N8))</f>
        <v>132.95893726327722</v>
      </c>
      <c r="AA8" s="9">
        <f>IF('Prospective Project'!$D$32="None",0,IF('Prospective Project'!$D$32="Gold",X8,IF('Prospective Project'!$D$32="Silver",'Prospective Project Calculation'!W8,'Prospective Project Calculation'!V8)))</f>
        <v>0</v>
      </c>
      <c r="AB8" s="9">
        <f t="shared" si="3"/>
        <v>3102.216214489983</v>
      </c>
      <c r="AC8" s="9"/>
      <c r="AD8" s="9"/>
    </row>
    <row r="9" spans="1:30">
      <c r="A9" s="9">
        <f>IF(ROW()&lt;='Prospective Project'!$D$20+1,A8+1,"")</f>
        <v>8</v>
      </c>
      <c r="B9" s="70">
        <f>IF(COUNT($A9)&gt;0,(B8*(1+'Cloud Consumption'!$F$5)),0)</f>
        <v>74.395472082705425</v>
      </c>
      <c r="C9" s="70">
        <f>IF(COUNT($A9)&gt;0,(C8*(1+'Cloud Consumption'!$G$5)),0)</f>
        <v>149.75866590812291</v>
      </c>
      <c r="D9" s="70">
        <f>IF(COUNT($A9)&gt;0,(D8*(1+'Cloud Consumption'!$H$5)),0)</f>
        <v>243.90678726323446</v>
      </c>
      <c r="E9" s="70">
        <f>IF(COUNT($A9)&gt;0,(E8*(1+'Cloud Consumption'!$F$6)),0)</f>
        <v>268.02665578483197</v>
      </c>
      <c r="F9" s="70">
        <f>IF(COUNT($A9)&gt;0,(F8*(1+'Cloud Consumption'!$G$6)),0)</f>
        <v>656.64686390625025</v>
      </c>
      <c r="G9" s="70">
        <f>IF(COUNT($A9)&gt;0,(G8*(1+'Cloud Consumption'!$H$6)),0)</f>
        <v>1364.1019700000008</v>
      </c>
      <c r="H9" s="70">
        <f>IF(COUNT($A9)&gt;0,(H8*(1+'Cloud Consumption'!$F$7)),0)</f>
        <v>141.86494979079956</v>
      </c>
      <c r="I9" s="70">
        <f>IF(COUNT($A9)&gt;0,(I8*(1+'Cloud Consumption'!$G$7)),0)</f>
        <v>303.98817508670555</v>
      </c>
      <c r="J9" s="70">
        <f>IF(COUNT($A9)&gt;0,(J8*(1+'Cloud Consumption'!$H$7)),0)</f>
        <v>969.96052186508086</v>
      </c>
      <c r="K9" s="70">
        <f>IF(COUNT($A9)&gt;0,(K8*(1+'Cloud Consumption'!$F$8)),0)</f>
        <v>452.96504827636602</v>
      </c>
      <c r="L9" s="70">
        <f>IF(COUNT($A9)&gt;0,(L8*(1+'Cloud Consumption'!$G$8)),0)</f>
        <v>969.96052186508086</v>
      </c>
      <c r="M9" s="70">
        <f>IF(COUNT($A9)&gt;0,(M8*(1+'Cloud Consumption'!$H$8)),0)</f>
        <v>1556.7472948359987</v>
      </c>
      <c r="N9" s="9">
        <f>IF(COUNT($A9)&gt;0,(N8*(1+'Cloud Consumption'!$F$9)),0)</f>
        <v>134.28852663590999</v>
      </c>
      <c r="O9" s="9">
        <f>IF(COUNT($A9)&gt;0,(O8*(1+'Cloud Consumption'!$G$9)),0)</f>
        <v>287.75341765059562</v>
      </c>
      <c r="P9" s="9">
        <f>IF(COUNT($A9)&gt;0,(P8*(1+'Cloud Consumption'!$H$9)),0)</f>
        <v>462.13740367204929</v>
      </c>
      <c r="Q9" s="11">
        <f t="shared" si="0"/>
        <v>484.2870776583369</v>
      </c>
      <c r="R9" s="11">
        <f t="shared" si="1"/>
        <v>1110.3937049010788</v>
      </c>
      <c r="S9" s="11">
        <f t="shared" si="2"/>
        <v>3164.7560520992338</v>
      </c>
      <c r="T9" s="9">
        <f>IF(COUNT($A9)&gt;0,'Platform Overhead C '!$M$23,0)</f>
        <v>7190.413333333333</v>
      </c>
      <c r="U9" s="9">
        <f>IF(COUNT($A9)&gt;0,'Platform Overhead C '!$M$38,0)</f>
        <v>1202.0576888888891</v>
      </c>
      <c r="V9" s="349">
        <f>'Custom ESPO Selection'!$D$32</f>
        <v>0</v>
      </c>
      <c r="W9" s="347">
        <f>'ESPO Calculator'!$D$58</f>
        <v>26142.857142857141</v>
      </c>
      <c r="X9" s="348">
        <f>'ESPO Calculator'!$D$75</f>
        <v>84014.28571428571</v>
      </c>
      <c r="Y9" s="9">
        <f>IF('Prospective Project'!$D$23="High",'Prospective Project Calculation'!S9,IF('Prospective Project'!$D$23="Medium",'Prospective Project Calculation'!R9,'Prospective Project Calculation'!Q9))</f>
        <v>3164.7560520992338</v>
      </c>
      <c r="Z9" s="9">
        <f>IF('Prospective Project'!$D$30="High",'Prospective Project Calculation'!P9,IF('Prospective Project'!$D$30="Medium",'Prospective Project Calculation'!O9,'Prospective Project Calculation'!N9))</f>
        <v>134.28852663590999</v>
      </c>
      <c r="AA9" s="9">
        <f>IF('Prospective Project'!$D$32="None",0,IF('Prospective Project'!$D$32="Gold",X9,IF('Prospective Project'!$D$32="Silver",'Prospective Project Calculation'!W9,'Prospective Project Calculation'!V9)))</f>
        <v>0</v>
      </c>
      <c r="AB9" s="9">
        <f t="shared" si="3"/>
        <v>3299.0445787351437</v>
      </c>
      <c r="AC9" s="9"/>
      <c r="AD9" s="9"/>
    </row>
    <row r="10" spans="1:30">
      <c r="A10" s="9">
        <f>IF(ROW()&lt;='Prospective Project'!$D$20+1,A9+1,"")</f>
        <v>9</v>
      </c>
      <c r="B10" s="70">
        <f>IF(COUNT($A10)&gt;0,(B9*(1+'Cloud Consumption'!$F$5)),0)</f>
        <v>75.139426803532473</v>
      </c>
      <c r="C10" s="70">
        <f>IF(COUNT($A10)&gt;0,(C9*(1+'Cloud Consumption'!$G$5)),0)</f>
        <v>154.25142588536659</v>
      </c>
      <c r="D10" s="70">
        <f>IF(COUNT($A10)&gt;0,(D9*(1+'Cloud Consumption'!$H$5)),0)</f>
        <v>256.10212662639617</v>
      </c>
      <c r="E10" s="70">
        <f>IF(COUNT($A10)&gt;0,(E9*(1+'Cloud Consumption'!$F$6)),0)</f>
        <v>273.3871889005286</v>
      </c>
      <c r="F10" s="70">
        <f>IF(COUNT($A10)&gt;0,(F9*(1+'Cloud Consumption'!$G$6)),0)</f>
        <v>689.47920710156279</v>
      </c>
      <c r="G10" s="70">
        <f>IF(COUNT($A10)&gt;0,(G9*(1+'Cloud Consumption'!$H$6)),0)</f>
        <v>1500.512167000001</v>
      </c>
      <c r="H10" s="70">
        <f>IF(COUNT($A10)&gt;0,(H9*(1+'Cloud Consumption'!$F$7)),0)</f>
        <v>143.28359928870756</v>
      </c>
      <c r="I10" s="70">
        <f>IF(COUNT($A10)&gt;0,(I9*(1+'Cloud Consumption'!$G$7)),0)</f>
        <v>310.06793858843969</v>
      </c>
      <c r="J10" s="70">
        <f>IF(COUNT($A10)&gt;0,(J9*(1+'Cloud Consumption'!$H$7)),0)</f>
        <v>999.05933752103329</v>
      </c>
      <c r="K10" s="70">
        <f>IF(COUNT($A10)&gt;0,(K9*(1+'Cloud Consumption'!$F$8)),0)</f>
        <v>462.02434924189333</v>
      </c>
      <c r="L10" s="70">
        <f>IF(COUNT($A10)&gt;0,(L9*(1+'Cloud Consumption'!$G$8)),0)</f>
        <v>999.05933752103329</v>
      </c>
      <c r="M10" s="70">
        <f>IF(COUNT($A10)&gt;0,(M9*(1+'Cloud Consumption'!$H$8)),0)</f>
        <v>1619.0171866294386</v>
      </c>
      <c r="N10" s="9">
        <f>IF(COUNT($A10)&gt;0,(N9*(1+'Cloud Consumption'!$F$9)),0)</f>
        <v>135.63141190226909</v>
      </c>
      <c r="O10" s="9">
        <f>IF(COUNT($A10)&gt;0,(O9*(1+'Cloud Consumption'!$G$9)),0)</f>
        <v>293.50848600360752</v>
      </c>
      <c r="P10" s="9">
        <f>IF(COUNT($A10)&gt;0,(P9*(1+'Cloud Consumption'!$H$9)),0)</f>
        <v>476.00152578221076</v>
      </c>
      <c r="Q10" s="11">
        <f t="shared" si="0"/>
        <v>491.81021499276869</v>
      </c>
      <c r="R10" s="11">
        <f t="shared" si="1"/>
        <v>1153.7985715753689</v>
      </c>
      <c r="S10" s="11">
        <f t="shared" si="2"/>
        <v>3375.6314802558359</v>
      </c>
      <c r="T10" s="9">
        <f>IF(COUNT($A10)&gt;0,'Platform Overhead C '!$M$23,0)</f>
        <v>7190.413333333333</v>
      </c>
      <c r="U10" s="9">
        <f>IF(COUNT($A10)&gt;0,'Platform Overhead C '!$M$38,0)</f>
        <v>1202.0576888888891</v>
      </c>
      <c r="V10" s="349">
        <f>'Custom ESPO Selection'!$D$32</f>
        <v>0</v>
      </c>
      <c r="W10" s="347">
        <f>'ESPO Calculator'!$D$58</f>
        <v>26142.857142857141</v>
      </c>
      <c r="X10" s="348">
        <f>'ESPO Calculator'!$D$75</f>
        <v>84014.28571428571</v>
      </c>
      <c r="Y10" s="9">
        <f>IF('Prospective Project'!$D$23="High",'Prospective Project Calculation'!S10,IF('Prospective Project'!$D$23="Medium",'Prospective Project Calculation'!R10,'Prospective Project Calculation'!Q10))</f>
        <v>3375.6314802558359</v>
      </c>
      <c r="Z10" s="9">
        <f>IF('Prospective Project'!$D$30="High",'Prospective Project Calculation'!P10,IF('Prospective Project'!$D$30="Medium",'Prospective Project Calculation'!O10,'Prospective Project Calculation'!N10))</f>
        <v>135.63141190226909</v>
      </c>
      <c r="AA10" s="9">
        <f>IF('Prospective Project'!$D$32="None",0,IF('Prospective Project'!$D$32="Gold",X10,IF('Prospective Project'!$D$32="Silver",'Prospective Project Calculation'!W10,'Prospective Project Calculation'!V10)))</f>
        <v>0</v>
      </c>
      <c r="AB10" s="9">
        <f t="shared" si="3"/>
        <v>3511.2628921581049</v>
      </c>
      <c r="AC10" s="9"/>
      <c r="AD10" s="9"/>
    </row>
    <row r="11" spans="1:30">
      <c r="A11" s="9">
        <f>IF(ROW()&lt;='Prospective Project'!$D$20+1,A10+1,"")</f>
        <v>10</v>
      </c>
      <c r="B11" s="70">
        <f>IF(COUNT($A11)&gt;0,(B10*(1+'Cloud Consumption'!$F$5)),0)</f>
        <v>75.8908210715678</v>
      </c>
      <c r="C11" s="70">
        <f>IF(COUNT($A11)&gt;0,(C10*(1+'Cloud Consumption'!$G$5)),0)</f>
        <v>158.87896866192759</v>
      </c>
      <c r="D11" s="70">
        <f>IF(COUNT($A11)&gt;0,(D10*(1+'Cloud Consumption'!$H$5)),0)</f>
        <v>268.90723295771602</v>
      </c>
      <c r="E11" s="70">
        <f>IF(COUNT($A11)&gt;0,(E10*(1+'Cloud Consumption'!$F$6)),0)</f>
        <v>278.85493267853917</v>
      </c>
      <c r="F11" s="70">
        <f>IF(COUNT($A11)&gt;0,(F10*(1+'Cloud Consumption'!$G$6)),0)</f>
        <v>723.95316745664093</v>
      </c>
      <c r="G11" s="70">
        <f>IF(COUNT($A11)&gt;0,(G10*(1+'Cloud Consumption'!$H$6)),0)</f>
        <v>1650.5633837000012</v>
      </c>
      <c r="H11" s="70">
        <f>IF(COUNT($A11)&gt;0,(H10*(1+'Cloud Consumption'!$F$7)),0)</f>
        <v>144.71643528159464</v>
      </c>
      <c r="I11" s="70">
        <f>IF(COUNT($A11)&gt;0,(I10*(1+'Cloud Consumption'!$G$7)),0)</f>
        <v>316.2692973602085</v>
      </c>
      <c r="J11" s="70">
        <f>IF(COUNT($A11)&gt;0,(J10*(1+'Cloud Consumption'!$H$7)),0)</f>
        <v>1029.0311176466644</v>
      </c>
      <c r="K11" s="70">
        <f>IF(COUNT($A11)&gt;0,(K10*(1+'Cloud Consumption'!$F$8)),0)</f>
        <v>471.26483622673123</v>
      </c>
      <c r="L11" s="70">
        <f>IF(COUNT($A11)&gt;0,(L10*(1+'Cloud Consumption'!$G$8)),0)</f>
        <v>1029.0311176466644</v>
      </c>
      <c r="M11" s="70">
        <f>IF(COUNT($A11)&gt;0,(M10*(1+'Cloud Consumption'!$H$8)),0)</f>
        <v>1683.7778740946162</v>
      </c>
      <c r="N11" s="9">
        <f>IF(COUNT($A11)&gt;0,(N10*(1+'Cloud Consumption'!$F$9)),0)</f>
        <v>136.98772602129179</v>
      </c>
      <c r="O11" s="9">
        <f>IF(COUNT($A11)&gt;0,(O10*(1+'Cloud Consumption'!$G$9)),0)</f>
        <v>299.37865572367969</v>
      </c>
      <c r="P11" s="9">
        <f>IF(COUNT($A11)&gt;0,(P10*(1+'Cloud Consumption'!$H$9)),0)</f>
        <v>490.28157155567709</v>
      </c>
      <c r="Q11" s="11">
        <f t="shared" si="0"/>
        <v>499.46218903170166</v>
      </c>
      <c r="R11" s="11">
        <f t="shared" si="1"/>
        <v>1199.1014334787769</v>
      </c>
      <c r="S11" s="11">
        <f t="shared" si="2"/>
        <v>3603.2484907523331</v>
      </c>
      <c r="T11" s="9">
        <f>IF(COUNT($A11)&gt;0,'Platform Overhead C '!$M$23,0)</f>
        <v>7190.413333333333</v>
      </c>
      <c r="U11" s="9">
        <f>IF(COUNT($A11)&gt;0,'Platform Overhead C '!$M$38,0)</f>
        <v>1202.0576888888891</v>
      </c>
      <c r="V11" s="349">
        <f>'Custom ESPO Selection'!$D$32</f>
        <v>0</v>
      </c>
      <c r="W11" s="347">
        <f>'ESPO Calculator'!$D$58</f>
        <v>26142.857142857141</v>
      </c>
      <c r="X11" s="348">
        <f>'ESPO Calculator'!$D$75</f>
        <v>84014.28571428571</v>
      </c>
      <c r="Y11" s="9">
        <f>IF('Prospective Project'!$D$23="High",'Prospective Project Calculation'!S11,IF('Prospective Project'!$D$23="Medium",'Prospective Project Calculation'!R11,'Prospective Project Calculation'!Q11))</f>
        <v>3603.2484907523331</v>
      </c>
      <c r="Z11" s="9">
        <f>IF('Prospective Project'!$D$30="High",'Prospective Project Calculation'!P11,IF('Prospective Project'!$D$30="Medium",'Prospective Project Calculation'!O11,'Prospective Project Calculation'!N11))</f>
        <v>136.98772602129179</v>
      </c>
      <c r="AA11" s="9">
        <f>IF('Prospective Project'!$D$32="None",0,IF('Prospective Project'!$D$32="Gold",X11,IF('Prospective Project'!$D$32="Silver",'Prospective Project Calculation'!W11,'Prospective Project Calculation'!V11)))</f>
        <v>0</v>
      </c>
      <c r="AB11" s="9">
        <f t="shared" si="3"/>
        <v>3740.2362167736246</v>
      </c>
      <c r="AC11" s="9"/>
      <c r="AD11" s="9"/>
    </row>
    <row r="12" spans="1:30">
      <c r="A12" s="9" t="str">
        <f>IF(ROW()&lt;='Prospective Project'!$D$20+1,A11+1,"")</f>
        <v/>
      </c>
      <c r="B12" s="70">
        <f>IF(COUNT($A12)&gt;0,(B11*(1+'Cloud Consumption'!$F$5)),0)</f>
        <v>0</v>
      </c>
      <c r="C12" s="70">
        <f>IF(COUNT($A12)&gt;0,(C11*(1+'Cloud Consumption'!$G$5)),0)</f>
        <v>0</v>
      </c>
      <c r="D12" s="70">
        <f>IF(COUNT($A12)&gt;0,(D11*(1+'Cloud Consumption'!$H$5)),0)</f>
        <v>0</v>
      </c>
      <c r="E12" s="70">
        <f>IF(COUNT($A12)&gt;0,(E11*(1+'Cloud Consumption'!$F$6)),0)</f>
        <v>0</v>
      </c>
      <c r="F12" s="70">
        <f>IF(COUNT($A12)&gt;0,(F11*(1+'Cloud Consumption'!$G$6)),0)</f>
        <v>0</v>
      </c>
      <c r="G12" s="70">
        <f>IF(COUNT($A12)&gt;0,(G11*(1+'Cloud Consumption'!$H$6)),0)</f>
        <v>0</v>
      </c>
      <c r="H12" s="70">
        <f>IF(COUNT($A12)&gt;0,(H11*(1+'Cloud Consumption'!$F$7)),0)</f>
        <v>0</v>
      </c>
      <c r="I12" s="70">
        <f>IF(COUNT($A12)&gt;0,(I11*(1+'Cloud Consumption'!$G$7)),0)</f>
        <v>0</v>
      </c>
      <c r="J12" s="70">
        <f>IF(COUNT($A12)&gt;0,(J11*(1+'Cloud Consumption'!$H$7)),0)</f>
        <v>0</v>
      </c>
      <c r="K12" s="70">
        <f>IF(COUNT($A12)&gt;0,(K11*(1+'Cloud Consumption'!$F$8)),0)</f>
        <v>0</v>
      </c>
      <c r="L12" s="70">
        <f>IF(COUNT($A12)&gt;0,(L11*(1+'Cloud Consumption'!$G$8)),0)</f>
        <v>0</v>
      </c>
      <c r="M12" s="70">
        <f>IF(COUNT($A12)&gt;0,(M11*(1+'Cloud Consumption'!$H$8)),0)</f>
        <v>0</v>
      </c>
      <c r="N12" s="9">
        <f>IF(COUNT($A12)&gt;0,(N11*(1+'Cloud Consumption'!$F$9)),0)</f>
        <v>0</v>
      </c>
      <c r="O12" s="9">
        <f>IF(COUNT($A12)&gt;0,(O11*(1+'Cloud Consumption'!$G$9)),0)</f>
        <v>0</v>
      </c>
      <c r="P12" s="9">
        <f>IF(COUNT($A12)&gt;0,(P11*(1+'Cloud Consumption'!$H$9)),0)</f>
        <v>0</v>
      </c>
      <c r="Q12" s="11">
        <f t="shared" si="0"/>
        <v>0</v>
      </c>
      <c r="R12" s="11">
        <f t="shared" si="1"/>
        <v>0</v>
      </c>
      <c r="S12" s="11">
        <f t="shared" si="2"/>
        <v>0</v>
      </c>
      <c r="T12" s="9">
        <f>IF(COUNT($A12)&gt;0,'Platform Overhead C '!$M$23,0)</f>
        <v>0</v>
      </c>
      <c r="U12" s="9">
        <f>IF(COUNT($A12)&gt;0,'Platform Overhead C '!$M$38,0)</f>
        <v>0</v>
      </c>
      <c r="V12" s="349">
        <f>'Custom ESPO Selection'!$D$32</f>
        <v>0</v>
      </c>
      <c r="W12" s="347">
        <f>'ESPO Calculator'!$D$58</f>
        <v>26142.857142857141</v>
      </c>
      <c r="X12" s="348">
        <f>'ESPO Calculator'!$D$75</f>
        <v>84014.28571428571</v>
      </c>
      <c r="Y12" s="9">
        <f>IF('Prospective Project'!$D$23="High",'Prospective Project Calculation'!S12,IF('Prospective Project'!$D$23="Medium",'Prospective Project Calculation'!R12,'Prospective Project Calculation'!Q12))</f>
        <v>0</v>
      </c>
      <c r="Z12" s="9">
        <f>IF('Prospective Project'!$D$30="High",'Prospective Project Calculation'!P12,IF('Prospective Project'!$D$30="Medium",'Prospective Project Calculation'!O12,'Prospective Project Calculation'!N12))</f>
        <v>0</v>
      </c>
      <c r="AA12" s="9">
        <f>IF('Prospective Project'!$D$32="None",0,IF('Prospective Project'!$D$32="Gold",X12,IF('Prospective Project'!$D$32="Silver",'Prospective Project Calculation'!W12,'Prospective Project Calculation'!V12)))</f>
        <v>0</v>
      </c>
      <c r="AB12" s="9">
        <f t="shared" si="3"/>
        <v>0</v>
      </c>
      <c r="AC12" s="9"/>
      <c r="AD12" s="9"/>
    </row>
    <row r="13" spans="1:30">
      <c r="A13" s="9" t="str">
        <f>IF(ROW()&lt;='Prospective Project'!$D$20+1,A12+1,"")</f>
        <v/>
      </c>
      <c r="B13" s="70">
        <f>IF(COUNT($A13)&gt;0,(B12*(1+'Cloud Consumption'!$F$5)),0)</f>
        <v>0</v>
      </c>
      <c r="C13" s="70">
        <f>IF(COUNT($A13)&gt;0,(C12*(1+'Cloud Consumption'!$G$5)),0)</f>
        <v>0</v>
      </c>
      <c r="D13" s="70">
        <f>IF(COUNT($A13)&gt;0,(D12*(1+'Cloud Consumption'!$H$5)),0)</f>
        <v>0</v>
      </c>
      <c r="E13" s="70">
        <f>IF(COUNT($A13)&gt;0,(E12*(1+'Cloud Consumption'!$F$6)),0)</f>
        <v>0</v>
      </c>
      <c r="F13" s="70">
        <f>IF(COUNT($A13)&gt;0,(F12*(1+'Cloud Consumption'!$G$6)),0)</f>
        <v>0</v>
      </c>
      <c r="G13" s="70">
        <f>IF(COUNT($A13)&gt;0,(G12*(1+'Cloud Consumption'!$H$6)),0)</f>
        <v>0</v>
      </c>
      <c r="H13" s="70">
        <f>IF(COUNT($A13)&gt;0,(H12*(1+'Cloud Consumption'!$F$7)),0)</f>
        <v>0</v>
      </c>
      <c r="I13" s="70">
        <f>IF(COUNT($A13)&gt;0,(I12*(1+'Cloud Consumption'!$G$7)),0)</f>
        <v>0</v>
      </c>
      <c r="J13" s="70">
        <f>IF(COUNT($A13)&gt;0,(J12*(1+'Cloud Consumption'!$H$7)),0)</f>
        <v>0</v>
      </c>
      <c r="K13" s="70">
        <f>IF(COUNT($A13)&gt;0,(K12*(1+'Cloud Consumption'!$F$8)),0)</f>
        <v>0</v>
      </c>
      <c r="L13" s="70">
        <f>IF(COUNT($A13)&gt;0,(L12*(1+'Cloud Consumption'!$G$8)),0)</f>
        <v>0</v>
      </c>
      <c r="M13" s="70">
        <f>IF(COUNT($A13)&gt;0,(M12*(1+'Cloud Consumption'!$H$8)),0)</f>
        <v>0</v>
      </c>
      <c r="N13" s="9">
        <f>IF(COUNT($A13)&gt;0,(N12*(1+'Cloud Consumption'!$F$9)),0)</f>
        <v>0</v>
      </c>
      <c r="O13" s="9">
        <f>IF(COUNT($A13)&gt;0,(O12*(1+'Cloud Consumption'!$G$9)),0)</f>
        <v>0</v>
      </c>
      <c r="P13" s="9">
        <f>IF(COUNT($A13)&gt;0,(P12*(1+'Cloud Consumption'!$H$9)),0)</f>
        <v>0</v>
      </c>
      <c r="Q13" s="11">
        <f t="shared" si="0"/>
        <v>0</v>
      </c>
      <c r="R13" s="11">
        <f t="shared" si="1"/>
        <v>0</v>
      </c>
      <c r="S13" s="11">
        <f t="shared" si="2"/>
        <v>0</v>
      </c>
      <c r="T13" s="9">
        <f>IF(COUNT($A13)&gt;0,'Platform Overhead C '!$M$23,0)</f>
        <v>0</v>
      </c>
      <c r="U13" s="9">
        <f>IF(COUNT($A13)&gt;0,'Platform Overhead C '!$M$38,0)</f>
        <v>0</v>
      </c>
      <c r="V13" s="349">
        <f>'Custom ESPO Selection'!D33</f>
        <v>0</v>
      </c>
      <c r="W13" s="347">
        <f>'ESPO Calculator'!D59</f>
        <v>2550</v>
      </c>
      <c r="X13" s="348">
        <f>'ESPO Calculator'!D76</f>
        <v>2550</v>
      </c>
      <c r="Y13" s="9">
        <f>IF('Prospective Project'!$D$23="High",'Prospective Project Calculation'!S13,IF('Prospective Project'!$D$23="Medium",'Prospective Project Calculation'!R13,'Prospective Project Calculation'!Q13))</f>
        <v>0</v>
      </c>
      <c r="Z13" s="9">
        <f>IF('Prospective Project'!$D$30="High",'Prospective Project Calculation'!P13,IF('Prospective Project'!$D$30="Medium",'Prospective Project Calculation'!O13,'Prospective Project Calculation'!N13))</f>
        <v>0</v>
      </c>
      <c r="AA13" s="9">
        <f>IF('Prospective Project'!$D$32="None",0,IF('Prospective Project'!$D$32="Gold",X13,IF('Prospective Project'!$D$32="Silver",'Prospective Project Calculation'!W13,'Prospective Project Calculation'!V13)))</f>
        <v>0</v>
      </c>
      <c r="AB13" s="9">
        <f t="shared" si="3"/>
        <v>0</v>
      </c>
      <c r="AC13" s="9"/>
      <c r="AD13" s="9"/>
    </row>
    <row r="14" spans="1:30">
      <c r="A14" s="9" t="str">
        <f>IF(ROW()&lt;='Prospective Project'!$D$20+1,A13+1,"")</f>
        <v/>
      </c>
      <c r="B14" s="70">
        <f>IF(COUNT($A14)&gt;0,(B13*(1+'Cloud Consumption'!$F$5)),0)</f>
        <v>0</v>
      </c>
      <c r="C14" s="70">
        <f>IF(COUNT($A14)&gt;0,(C13*(1+'Cloud Consumption'!$G$5)),0)</f>
        <v>0</v>
      </c>
      <c r="D14" s="70">
        <f>IF(COUNT($A14)&gt;0,(D13*(1+'Cloud Consumption'!$H$5)),0)</f>
        <v>0</v>
      </c>
      <c r="E14" s="70">
        <f>IF(COUNT($A14)&gt;0,(E13*(1+'Cloud Consumption'!$F$6)),0)</f>
        <v>0</v>
      </c>
      <c r="F14" s="70">
        <f>IF(COUNT($A14)&gt;0,(F13*(1+'Cloud Consumption'!$G$6)),0)</f>
        <v>0</v>
      </c>
      <c r="G14" s="70">
        <f>IF(COUNT($A14)&gt;0,(G13*(1+'Cloud Consumption'!$H$6)),0)</f>
        <v>0</v>
      </c>
      <c r="H14" s="70">
        <f>IF(COUNT($A14)&gt;0,(H13*(1+'Cloud Consumption'!$F$7)),0)</f>
        <v>0</v>
      </c>
      <c r="I14" s="70">
        <f>IF(COUNT($A14)&gt;0,(I13*(1+'Cloud Consumption'!$G$7)),0)</f>
        <v>0</v>
      </c>
      <c r="J14" s="70">
        <f>IF(COUNT($A14)&gt;0,(J13*(1+'Cloud Consumption'!$H$7)),0)</f>
        <v>0</v>
      </c>
      <c r="K14" s="70">
        <f>IF(COUNT($A14)&gt;0,(K13*(1+'Cloud Consumption'!$F$8)),0)</f>
        <v>0</v>
      </c>
      <c r="L14" s="70">
        <f>IF(COUNT($A14)&gt;0,(L13*(1+'Cloud Consumption'!$G$8)),0)</f>
        <v>0</v>
      </c>
      <c r="M14" s="70">
        <f>IF(COUNT($A14)&gt;0,(M13*(1+'Cloud Consumption'!$H$8)),0)</f>
        <v>0</v>
      </c>
      <c r="N14" s="9">
        <f>IF(COUNT($A14)&gt;0,(N13*(1+'Cloud Consumption'!$F$9)),0)</f>
        <v>0</v>
      </c>
      <c r="O14" s="9">
        <f>IF(COUNT($A14)&gt;0,(O13*(1+'Cloud Consumption'!$G$9)),0)</f>
        <v>0</v>
      </c>
      <c r="P14" s="9">
        <f>IF(COUNT($A14)&gt;0,(P13*(1+'Cloud Consumption'!$H$9)),0)</f>
        <v>0</v>
      </c>
      <c r="Q14" s="11">
        <f t="shared" si="0"/>
        <v>0</v>
      </c>
      <c r="R14" s="11">
        <f t="shared" si="1"/>
        <v>0</v>
      </c>
      <c r="S14" s="11">
        <f t="shared" si="2"/>
        <v>0</v>
      </c>
      <c r="T14" s="9">
        <f>IF(COUNT($A14)&gt;0,'Platform Overhead C '!$M$23,0)</f>
        <v>0</v>
      </c>
      <c r="U14" s="9">
        <f>IF(COUNT($A14)&gt;0,'Platform Overhead C '!$M$38,0)</f>
        <v>0</v>
      </c>
      <c r="V14" s="349">
        <f>'Custom ESPO Selection'!$D$41</f>
        <v>0</v>
      </c>
      <c r="W14" s="347">
        <f>'ESPO Calculator'!$D$67</f>
        <v>15250</v>
      </c>
      <c r="X14" s="348">
        <f>'ESPO Calculator'!$D$84</f>
        <v>49008.333333333336</v>
      </c>
      <c r="Y14" s="9">
        <f>IF('Prospective Project'!$D$23="High",'Prospective Project Calculation'!S14,IF('Prospective Project'!$D$23="Medium",'Prospective Project Calculation'!R14,'Prospective Project Calculation'!Q14))</f>
        <v>0</v>
      </c>
      <c r="Z14" s="9">
        <f>IF('Prospective Project'!$D$30="High",'Prospective Project Calculation'!P14,IF('Prospective Project'!$D$30="Medium",'Prospective Project Calculation'!O14,'Prospective Project Calculation'!N14))</f>
        <v>0</v>
      </c>
      <c r="AA14" s="9">
        <f>IF('Prospective Project'!$D$32="None",0,IF('Prospective Project'!$D$32="Gold",X14,IF('Prospective Project'!$D$32="Silver",'Prospective Project Calculation'!W14,'Prospective Project Calculation'!V14)))</f>
        <v>0</v>
      </c>
      <c r="AB14" s="9">
        <f t="shared" si="3"/>
        <v>0</v>
      </c>
      <c r="AC14" s="9"/>
      <c r="AD14" s="9"/>
    </row>
    <row r="15" spans="1:30">
      <c r="A15" s="9" t="str">
        <f>IF(ROW()&lt;='Prospective Project'!$D$20+1,A14+1,"")</f>
        <v/>
      </c>
      <c r="B15" s="70">
        <f>IF(COUNT($A15)&gt;0,(B14*(1+'Cloud Consumption'!$F$5)),0)</f>
        <v>0</v>
      </c>
      <c r="C15" s="70">
        <f>IF(COUNT($A15)&gt;0,(C14*(1+'Cloud Consumption'!$G$5)),0)</f>
        <v>0</v>
      </c>
      <c r="D15" s="70">
        <f>IF(COUNT($A15)&gt;0,(D14*(1+'Cloud Consumption'!$H$5)),0)</f>
        <v>0</v>
      </c>
      <c r="E15" s="70">
        <f>IF(COUNT($A15)&gt;0,(E14*(1+'Cloud Consumption'!$F$6)),0)</f>
        <v>0</v>
      </c>
      <c r="F15" s="70">
        <f>IF(COUNT($A15)&gt;0,(F14*(1+'Cloud Consumption'!$G$6)),0)</f>
        <v>0</v>
      </c>
      <c r="G15" s="70">
        <f>IF(COUNT($A15)&gt;0,(G14*(1+'Cloud Consumption'!$H$6)),0)</f>
        <v>0</v>
      </c>
      <c r="H15" s="70">
        <f>IF(COUNT($A15)&gt;0,(H14*(1+'Cloud Consumption'!$F$7)),0)</f>
        <v>0</v>
      </c>
      <c r="I15" s="70">
        <f>IF(COUNT($A15)&gt;0,(I14*(1+'Cloud Consumption'!$G$7)),0)</f>
        <v>0</v>
      </c>
      <c r="J15" s="70">
        <f>IF(COUNT($A15)&gt;0,(J14*(1+'Cloud Consumption'!$H$7)),0)</f>
        <v>0</v>
      </c>
      <c r="K15" s="70">
        <f>IF(COUNT($A15)&gt;0,(K14*(1+'Cloud Consumption'!$F$8)),0)</f>
        <v>0</v>
      </c>
      <c r="L15" s="70">
        <f>IF(COUNT($A15)&gt;0,(L14*(1+'Cloud Consumption'!$G$8)),0)</f>
        <v>0</v>
      </c>
      <c r="M15" s="70">
        <f>IF(COUNT($A15)&gt;0,(M14*(1+'Cloud Consumption'!$H$8)),0)</f>
        <v>0</v>
      </c>
      <c r="N15" s="9">
        <f>IF(COUNT($A15)&gt;0,(N14*(1+'Cloud Consumption'!$F$9)),0)</f>
        <v>0</v>
      </c>
      <c r="O15" s="9">
        <f>IF(COUNT($A15)&gt;0,(O14*(1+'Cloud Consumption'!$G$9)),0)</f>
        <v>0</v>
      </c>
      <c r="P15" s="9">
        <f>IF(COUNT($A15)&gt;0,(P14*(1+'Cloud Consumption'!$H$9)),0)</f>
        <v>0</v>
      </c>
      <c r="Q15" s="11">
        <f t="shared" si="0"/>
        <v>0</v>
      </c>
      <c r="R15" s="11">
        <f t="shared" si="1"/>
        <v>0</v>
      </c>
      <c r="S15" s="11">
        <f t="shared" si="2"/>
        <v>0</v>
      </c>
      <c r="T15" s="9">
        <f>IF(COUNT($A15)&gt;0,'Platform Overhead C '!$M$23,0)</f>
        <v>0</v>
      </c>
      <c r="U15" s="9">
        <f>IF(COUNT($A15)&gt;0,'Platform Overhead C '!$M$38,0)</f>
        <v>0</v>
      </c>
      <c r="V15" s="349">
        <f>'Custom ESPO Selection'!$D$41</f>
        <v>0</v>
      </c>
      <c r="W15" s="347">
        <f>'ESPO Calculator'!$D$67</f>
        <v>15250</v>
      </c>
      <c r="X15" s="348">
        <f>'ESPO Calculator'!$D$84</f>
        <v>49008.333333333336</v>
      </c>
      <c r="Y15" s="9">
        <f>IF('Prospective Project'!$D$23="High",'Prospective Project Calculation'!S15,IF('Prospective Project'!$D$23="Medium",'Prospective Project Calculation'!R15,'Prospective Project Calculation'!Q15))</f>
        <v>0</v>
      </c>
      <c r="Z15" s="9">
        <f>IF('Prospective Project'!$D$30="High",'Prospective Project Calculation'!P15,IF('Prospective Project'!$D$30="Medium",'Prospective Project Calculation'!O15,'Prospective Project Calculation'!N15))</f>
        <v>0</v>
      </c>
      <c r="AA15" s="9">
        <f>IF('Prospective Project'!$D$32="None",0,IF('Prospective Project'!$D$32="Gold",X15,IF('Prospective Project'!$D$32="Silver",'Prospective Project Calculation'!W15,'Prospective Project Calculation'!V15)))</f>
        <v>0</v>
      </c>
      <c r="AB15" s="9">
        <f t="shared" si="3"/>
        <v>0</v>
      </c>
      <c r="AC15" s="9"/>
      <c r="AD15" s="9"/>
    </row>
    <row r="16" spans="1:30">
      <c r="A16" s="9" t="str">
        <f>IF(ROW()&lt;='Prospective Project'!$D$20+1,A15+1,"")</f>
        <v/>
      </c>
      <c r="B16" s="70">
        <f>IF(COUNT($A16)&gt;0,(B15*(1+'Cloud Consumption'!$F$5)),0)</f>
        <v>0</v>
      </c>
      <c r="C16" s="70">
        <f>IF(COUNT($A16)&gt;0,(C15*(1+'Cloud Consumption'!$G$5)),0)</f>
        <v>0</v>
      </c>
      <c r="D16" s="70">
        <f>IF(COUNT($A16)&gt;0,(D15*(1+'Cloud Consumption'!$H$5)),0)</f>
        <v>0</v>
      </c>
      <c r="E16" s="70">
        <f>IF(COUNT($A16)&gt;0,(E15*(1+'Cloud Consumption'!$F$6)),0)</f>
        <v>0</v>
      </c>
      <c r="F16" s="70">
        <f>IF(COUNT($A16)&gt;0,(F15*(1+'Cloud Consumption'!$G$6)),0)</f>
        <v>0</v>
      </c>
      <c r="G16" s="70">
        <f>IF(COUNT($A16)&gt;0,(G15*(1+'Cloud Consumption'!$H$6)),0)</f>
        <v>0</v>
      </c>
      <c r="H16" s="70">
        <f>IF(COUNT($A16)&gt;0,(H15*(1+'Cloud Consumption'!$F$7)),0)</f>
        <v>0</v>
      </c>
      <c r="I16" s="70">
        <f>IF(COUNT($A16)&gt;0,(I15*(1+'Cloud Consumption'!$G$7)),0)</f>
        <v>0</v>
      </c>
      <c r="J16" s="70">
        <f>IF(COUNT($A16)&gt;0,(J15*(1+'Cloud Consumption'!$H$7)),0)</f>
        <v>0</v>
      </c>
      <c r="K16" s="70">
        <f>IF(COUNT($A16)&gt;0,(K15*(1+'Cloud Consumption'!$F$8)),0)</f>
        <v>0</v>
      </c>
      <c r="L16" s="70">
        <f>IF(COUNT($A16)&gt;0,(L15*(1+'Cloud Consumption'!$G$8)),0)</f>
        <v>0</v>
      </c>
      <c r="M16" s="70">
        <f>IF(COUNT($A16)&gt;0,(M15*(1+'Cloud Consumption'!$H$8)),0)</f>
        <v>0</v>
      </c>
      <c r="N16" s="9">
        <f>IF(COUNT($A16)&gt;0,(N15*(1+'Cloud Consumption'!$F$9)),0)</f>
        <v>0</v>
      </c>
      <c r="O16" s="9">
        <f>IF(COUNT($A16)&gt;0,(O15*(1+'Cloud Consumption'!$G$9)),0)</f>
        <v>0</v>
      </c>
      <c r="P16" s="9">
        <f>IF(COUNT($A16)&gt;0,(P15*(1+'Cloud Consumption'!$H$9)),0)</f>
        <v>0</v>
      </c>
      <c r="Q16" s="11">
        <f t="shared" si="0"/>
        <v>0</v>
      </c>
      <c r="R16" s="11">
        <f t="shared" si="1"/>
        <v>0</v>
      </c>
      <c r="S16" s="11">
        <f t="shared" si="2"/>
        <v>0</v>
      </c>
      <c r="T16" s="9">
        <f>IF(COUNT($A16)&gt;0,'Platform Overhead C '!$M$23,0)</f>
        <v>0</v>
      </c>
      <c r="U16" s="9">
        <f>IF(COUNT($A16)&gt;0,'Platform Overhead C '!$M$38,0)</f>
        <v>0</v>
      </c>
      <c r="V16" s="349">
        <f>'Custom ESPO Selection'!$D$41</f>
        <v>0</v>
      </c>
      <c r="W16" s="347">
        <f>'ESPO Calculator'!$D$67</f>
        <v>15250</v>
      </c>
      <c r="X16" s="348">
        <f>'ESPO Calculator'!$D$84</f>
        <v>49008.333333333336</v>
      </c>
      <c r="Y16" s="9">
        <f>IF('Prospective Project'!$D$23="High",'Prospective Project Calculation'!S16,IF('Prospective Project'!$D$23="Medium",'Prospective Project Calculation'!R16,'Prospective Project Calculation'!Q16))</f>
        <v>0</v>
      </c>
      <c r="Z16" s="9">
        <f>IF('Prospective Project'!$D$30="High",'Prospective Project Calculation'!P16,IF('Prospective Project'!$D$30="Medium",'Prospective Project Calculation'!O16,'Prospective Project Calculation'!N16))</f>
        <v>0</v>
      </c>
      <c r="AA16" s="9">
        <f>IF('Prospective Project'!$D$32="None",0,IF('Prospective Project'!$D$32="Gold",X16,IF('Prospective Project'!$D$32="Silver",'Prospective Project Calculation'!W16,'Prospective Project Calculation'!V16)))</f>
        <v>0</v>
      </c>
      <c r="AB16" s="9">
        <f t="shared" si="3"/>
        <v>0</v>
      </c>
      <c r="AC16" s="9"/>
      <c r="AD16" s="9"/>
    </row>
    <row r="17" spans="1:30">
      <c r="A17" s="9" t="str">
        <f>IF(ROW()&lt;='Prospective Project'!$D$20+1,A16+1,"")</f>
        <v/>
      </c>
      <c r="B17" s="70">
        <f>IF(COUNT($A17)&gt;0,(B16*(1+'Cloud Consumption'!$F$5)),0)</f>
        <v>0</v>
      </c>
      <c r="C17" s="70">
        <f>IF(COUNT($A17)&gt;0,(C16*(1+'Cloud Consumption'!$G$5)),0)</f>
        <v>0</v>
      </c>
      <c r="D17" s="70">
        <f>IF(COUNT($A17)&gt;0,(D16*(1+'Cloud Consumption'!$H$5)),0)</f>
        <v>0</v>
      </c>
      <c r="E17" s="70">
        <f>IF(COUNT($A17)&gt;0,(E16*(1+'Cloud Consumption'!$F$6)),0)</f>
        <v>0</v>
      </c>
      <c r="F17" s="70">
        <f>IF(COUNT($A17)&gt;0,(F16*(1+'Cloud Consumption'!$G$6)),0)</f>
        <v>0</v>
      </c>
      <c r="G17" s="70">
        <f>IF(COUNT($A17)&gt;0,(G16*(1+'Cloud Consumption'!$H$6)),0)</f>
        <v>0</v>
      </c>
      <c r="H17" s="70">
        <f>IF(COUNT($A17)&gt;0,(H16*(1+'Cloud Consumption'!$F$7)),0)</f>
        <v>0</v>
      </c>
      <c r="I17" s="70">
        <f>IF(COUNT($A17)&gt;0,(I16*(1+'Cloud Consumption'!$G$7)),0)</f>
        <v>0</v>
      </c>
      <c r="J17" s="70">
        <f>IF(COUNT($A17)&gt;0,(J16*(1+'Cloud Consumption'!$H$7)),0)</f>
        <v>0</v>
      </c>
      <c r="K17" s="70">
        <f>IF(COUNT($A17)&gt;0,(K16*(1+'Cloud Consumption'!$F$8)),0)</f>
        <v>0</v>
      </c>
      <c r="L17" s="70">
        <f>IF(COUNT($A17)&gt;0,(L16*(1+'Cloud Consumption'!$G$8)),0)</f>
        <v>0</v>
      </c>
      <c r="M17" s="70">
        <f>IF(COUNT($A17)&gt;0,(M16*(1+'Cloud Consumption'!$H$8)),0)</f>
        <v>0</v>
      </c>
      <c r="N17" s="9">
        <f>IF(COUNT($A17)&gt;0,(N16*(1+'Cloud Consumption'!$F$9)),0)</f>
        <v>0</v>
      </c>
      <c r="O17" s="9">
        <f>IF(COUNT($A17)&gt;0,(O16*(1+'Cloud Consumption'!$G$9)),0)</f>
        <v>0</v>
      </c>
      <c r="P17" s="9">
        <f>IF(COUNT($A17)&gt;0,(P16*(1+'Cloud Consumption'!$H$9)),0)</f>
        <v>0</v>
      </c>
      <c r="Q17" s="11">
        <f t="shared" si="0"/>
        <v>0</v>
      </c>
      <c r="R17" s="11">
        <f t="shared" si="1"/>
        <v>0</v>
      </c>
      <c r="S17" s="11">
        <f t="shared" si="2"/>
        <v>0</v>
      </c>
      <c r="T17" s="9">
        <f>IF(COUNT($A17)&gt;0,'Platform Overhead C '!$M$23,0)</f>
        <v>0</v>
      </c>
      <c r="U17" s="9">
        <f>IF(COUNT($A17)&gt;0,'Platform Overhead C '!$M$38,0)</f>
        <v>0</v>
      </c>
      <c r="V17" s="349">
        <f>'Custom ESPO Selection'!$D$41</f>
        <v>0</v>
      </c>
      <c r="W17" s="347">
        <f>'ESPO Calculator'!$D$67</f>
        <v>15250</v>
      </c>
      <c r="X17" s="348">
        <f>'ESPO Calculator'!$D$84</f>
        <v>49008.333333333336</v>
      </c>
      <c r="Y17" s="9">
        <f>IF('Prospective Project'!$D$23="High",'Prospective Project Calculation'!S17,IF('Prospective Project'!$D$23="Medium",'Prospective Project Calculation'!R17,'Prospective Project Calculation'!Q17))</f>
        <v>0</v>
      </c>
      <c r="Z17" s="9">
        <f>IF('Prospective Project'!$D$30="High",'Prospective Project Calculation'!P17,IF('Prospective Project'!$D$30="Medium",'Prospective Project Calculation'!O17,'Prospective Project Calculation'!N17))</f>
        <v>0</v>
      </c>
      <c r="AA17" s="9">
        <f>IF('Prospective Project'!$D$32="None",0,IF('Prospective Project'!$D$32="Gold",X17,IF('Prospective Project'!$D$32="Silver",'Prospective Project Calculation'!W17,'Prospective Project Calculation'!V17)))</f>
        <v>0</v>
      </c>
      <c r="AB17" s="9">
        <f t="shared" si="3"/>
        <v>0</v>
      </c>
      <c r="AC17" s="9"/>
      <c r="AD17" s="9"/>
    </row>
    <row r="18" spans="1:30">
      <c r="A18" s="9" t="str">
        <f>IF(ROW()&lt;='Prospective Project'!$D$20+1,A17+1,"")</f>
        <v/>
      </c>
      <c r="B18" s="70">
        <f>IF(COUNT($A18)&gt;0,(B17*(1+'Cloud Consumption'!$F$5)),0)</f>
        <v>0</v>
      </c>
      <c r="C18" s="70">
        <f>IF(COUNT($A18)&gt;0,(C17*(1+'Cloud Consumption'!$G$5)),0)</f>
        <v>0</v>
      </c>
      <c r="D18" s="70">
        <f>IF(COUNT($A18)&gt;0,(D17*(1+'Cloud Consumption'!$H$5)),0)</f>
        <v>0</v>
      </c>
      <c r="E18" s="70">
        <f>IF(COUNT($A18)&gt;0,(E17*(1+'Cloud Consumption'!$F$6)),0)</f>
        <v>0</v>
      </c>
      <c r="F18" s="70">
        <f>IF(COUNT($A18)&gt;0,(F17*(1+'Cloud Consumption'!$G$6)),0)</f>
        <v>0</v>
      </c>
      <c r="G18" s="70">
        <f>IF(COUNT($A18)&gt;0,(G17*(1+'Cloud Consumption'!$H$6)),0)</f>
        <v>0</v>
      </c>
      <c r="H18" s="70">
        <f>IF(COUNT($A18)&gt;0,(H17*(1+'Cloud Consumption'!$F$7)),0)</f>
        <v>0</v>
      </c>
      <c r="I18" s="70">
        <f>IF(COUNT($A18)&gt;0,(I17*(1+'Cloud Consumption'!$G$7)),0)</f>
        <v>0</v>
      </c>
      <c r="J18" s="70">
        <f>IF(COUNT($A18)&gt;0,(J17*(1+'Cloud Consumption'!$H$7)),0)</f>
        <v>0</v>
      </c>
      <c r="K18" s="70">
        <f>IF(COUNT($A18)&gt;0,(K17*(1+'Cloud Consumption'!$F$8)),0)</f>
        <v>0</v>
      </c>
      <c r="L18" s="70">
        <f>IF(COUNT($A18)&gt;0,(L17*(1+'Cloud Consumption'!$G$8)),0)</f>
        <v>0</v>
      </c>
      <c r="M18" s="70">
        <f>IF(COUNT($A18)&gt;0,(M17*(1+'Cloud Consumption'!$H$8)),0)</f>
        <v>0</v>
      </c>
      <c r="N18" s="9">
        <f>IF(COUNT($A18)&gt;0,(N17*(1+'Cloud Consumption'!$F$9)),0)</f>
        <v>0</v>
      </c>
      <c r="O18" s="9">
        <f>IF(COUNT($A18)&gt;0,(O17*(1+'Cloud Consumption'!$G$9)),0)</f>
        <v>0</v>
      </c>
      <c r="P18" s="9">
        <f>IF(COUNT($A18)&gt;0,(P17*(1+'Cloud Consumption'!$H$9)),0)</f>
        <v>0</v>
      </c>
      <c r="Q18" s="11">
        <f t="shared" si="0"/>
        <v>0</v>
      </c>
      <c r="R18" s="11">
        <f t="shared" si="1"/>
        <v>0</v>
      </c>
      <c r="S18" s="11">
        <f t="shared" si="2"/>
        <v>0</v>
      </c>
      <c r="T18" s="9">
        <f>IF(COUNT($A18)&gt;0,'Platform Overhead C '!$M$23,0)</f>
        <v>0</v>
      </c>
      <c r="U18" s="9">
        <f>IF(COUNT($A18)&gt;0,'Platform Overhead C '!$M$38,0)</f>
        <v>0</v>
      </c>
      <c r="V18" s="349">
        <f>'Custom ESPO Selection'!$D$41</f>
        <v>0</v>
      </c>
      <c r="W18" s="347">
        <f>'ESPO Calculator'!$D$67</f>
        <v>15250</v>
      </c>
      <c r="X18" s="348">
        <f>'ESPO Calculator'!$D$84</f>
        <v>49008.333333333336</v>
      </c>
      <c r="Y18" s="9">
        <f>IF('Prospective Project'!$D$23="High",'Prospective Project Calculation'!S18,IF('Prospective Project'!$D$23="Medium",'Prospective Project Calculation'!R18,'Prospective Project Calculation'!Q18))</f>
        <v>0</v>
      </c>
      <c r="Z18" s="9">
        <f>IF('Prospective Project'!$D$30="High",'Prospective Project Calculation'!P18,IF('Prospective Project'!$D$30="Medium",'Prospective Project Calculation'!O18,'Prospective Project Calculation'!N18))</f>
        <v>0</v>
      </c>
      <c r="AA18" s="9">
        <f>IF('Prospective Project'!$D$32="None",0,IF('Prospective Project'!$D$32="Gold",X18,IF('Prospective Project'!$D$32="Silver",'Prospective Project Calculation'!W18,'Prospective Project Calculation'!V18)))</f>
        <v>0</v>
      </c>
      <c r="AB18" s="9">
        <f t="shared" si="3"/>
        <v>0</v>
      </c>
      <c r="AC18" s="9"/>
      <c r="AD18" s="9"/>
    </row>
    <row r="19" spans="1:30">
      <c r="A19" s="9" t="str">
        <f>IF(ROW()&lt;='Prospective Project'!$D$20+1,A18+1,"")</f>
        <v/>
      </c>
      <c r="B19" s="70">
        <f>IF(COUNT($A19)&gt;0,(B18*(1+'Cloud Consumption'!$F$5)),0)</f>
        <v>0</v>
      </c>
      <c r="C19" s="70">
        <f>IF(COUNT($A19)&gt;0,(C18*(1+'Cloud Consumption'!$G$5)),0)</f>
        <v>0</v>
      </c>
      <c r="D19" s="70">
        <f>IF(COUNT($A19)&gt;0,(D18*(1+'Cloud Consumption'!$H$5)),0)</f>
        <v>0</v>
      </c>
      <c r="E19" s="70">
        <f>IF(COUNT($A19)&gt;0,(E18*(1+'Cloud Consumption'!$F$6)),0)</f>
        <v>0</v>
      </c>
      <c r="F19" s="70">
        <f>IF(COUNT($A19)&gt;0,(F18*(1+'Cloud Consumption'!$G$6)),0)</f>
        <v>0</v>
      </c>
      <c r="G19" s="70">
        <f>IF(COUNT($A19)&gt;0,(G18*(1+'Cloud Consumption'!$H$6)),0)</f>
        <v>0</v>
      </c>
      <c r="H19" s="70">
        <f>IF(COUNT($A19)&gt;0,(H18*(1+'Cloud Consumption'!$F$7)),0)</f>
        <v>0</v>
      </c>
      <c r="I19" s="70">
        <f>IF(COUNT($A19)&gt;0,(I18*(1+'Cloud Consumption'!$G$7)),0)</f>
        <v>0</v>
      </c>
      <c r="J19" s="70">
        <f>IF(COUNT($A19)&gt;0,(J18*(1+'Cloud Consumption'!$H$7)),0)</f>
        <v>0</v>
      </c>
      <c r="K19" s="70">
        <f>IF(COUNT($A19)&gt;0,(K18*(1+'Cloud Consumption'!$F$8)),0)</f>
        <v>0</v>
      </c>
      <c r="L19" s="70">
        <f>IF(COUNT($A19)&gt;0,(L18*(1+'Cloud Consumption'!$G$8)),0)</f>
        <v>0</v>
      </c>
      <c r="M19" s="70">
        <f>IF(COUNT($A19)&gt;0,(M18*(1+'Cloud Consumption'!$H$8)),0)</f>
        <v>0</v>
      </c>
      <c r="N19" s="9">
        <f>IF(COUNT($A19)&gt;0,(N18*(1+'Cloud Consumption'!$F$9)),0)</f>
        <v>0</v>
      </c>
      <c r="O19" s="9">
        <f>IF(COUNT($A19)&gt;0,(O18*(1+'Cloud Consumption'!$G$9)),0)</f>
        <v>0</v>
      </c>
      <c r="P19" s="9">
        <f>IF(COUNT($A19)&gt;0,(P18*(1+'Cloud Consumption'!$H$9)),0)</f>
        <v>0</v>
      </c>
      <c r="Q19" s="11">
        <f t="shared" si="0"/>
        <v>0</v>
      </c>
      <c r="R19" s="11">
        <f t="shared" si="1"/>
        <v>0</v>
      </c>
      <c r="S19" s="11">
        <f t="shared" si="2"/>
        <v>0</v>
      </c>
      <c r="T19" s="9">
        <f>IF(COUNT($A19)&gt;0,'Platform Overhead C '!$M$23,0)</f>
        <v>0</v>
      </c>
      <c r="U19" s="9">
        <f>IF(COUNT($A19)&gt;0,'Platform Overhead C '!$M$38,0)</f>
        <v>0</v>
      </c>
      <c r="V19" s="349">
        <f>'Custom ESPO Selection'!$D$41</f>
        <v>0</v>
      </c>
      <c r="W19" s="347">
        <f>'ESPO Calculator'!$D$67</f>
        <v>15250</v>
      </c>
      <c r="X19" s="348">
        <f>'ESPO Calculator'!$D$84</f>
        <v>49008.333333333336</v>
      </c>
      <c r="Y19" s="9">
        <f>IF('Prospective Project'!$D$23="High",'Prospective Project Calculation'!S19,IF('Prospective Project'!$D$23="Medium",'Prospective Project Calculation'!R19,'Prospective Project Calculation'!Q19))</f>
        <v>0</v>
      </c>
      <c r="Z19" s="9">
        <f>IF('Prospective Project'!$D$30="High",'Prospective Project Calculation'!P19,IF('Prospective Project'!$D$30="Medium",'Prospective Project Calculation'!O19,'Prospective Project Calculation'!N19))</f>
        <v>0</v>
      </c>
      <c r="AA19" s="9">
        <f>IF('Prospective Project'!$D$32="None",0,IF('Prospective Project'!$D$32="Gold",X19,IF('Prospective Project'!$D$32="Silver",'Prospective Project Calculation'!W19,'Prospective Project Calculation'!V19)))</f>
        <v>0</v>
      </c>
      <c r="AB19" s="9">
        <f t="shared" si="3"/>
        <v>0</v>
      </c>
      <c r="AC19" s="9"/>
      <c r="AD19" s="9"/>
    </row>
    <row r="20" spans="1:30">
      <c r="A20" s="9" t="str">
        <f>IF(ROW()&lt;='Prospective Project'!$D$20+1,A19+1,"")</f>
        <v/>
      </c>
      <c r="B20" s="70">
        <f>IF(COUNT($A20)&gt;0,(B19*(1+'Cloud Consumption'!$F$5)),0)</f>
        <v>0</v>
      </c>
      <c r="C20" s="70">
        <f>IF(COUNT($A20)&gt;0,(C19*(1+'Cloud Consumption'!$G$5)),0)</f>
        <v>0</v>
      </c>
      <c r="D20" s="70">
        <f>IF(COUNT($A20)&gt;0,(D19*(1+'Cloud Consumption'!$H$5)),0)</f>
        <v>0</v>
      </c>
      <c r="E20" s="70">
        <f>IF(COUNT($A20)&gt;0,(E19*(1+'Cloud Consumption'!$F$6)),0)</f>
        <v>0</v>
      </c>
      <c r="F20" s="70">
        <f>IF(COUNT($A20)&gt;0,(F19*(1+'Cloud Consumption'!$G$6)),0)</f>
        <v>0</v>
      </c>
      <c r="G20" s="70">
        <f>IF(COUNT($A20)&gt;0,(G19*(1+'Cloud Consumption'!$H$6)),0)</f>
        <v>0</v>
      </c>
      <c r="H20" s="70">
        <f>IF(COUNT($A20)&gt;0,(H19*(1+'Cloud Consumption'!$F$7)),0)</f>
        <v>0</v>
      </c>
      <c r="I20" s="70">
        <f>IF(COUNT($A20)&gt;0,(I19*(1+'Cloud Consumption'!$G$7)),0)</f>
        <v>0</v>
      </c>
      <c r="J20" s="70">
        <f>IF(COUNT($A20)&gt;0,(J19*(1+'Cloud Consumption'!$H$7)),0)</f>
        <v>0</v>
      </c>
      <c r="K20" s="70">
        <f>IF(COUNT($A20)&gt;0,(K19*(1+'Cloud Consumption'!$F$8)),0)</f>
        <v>0</v>
      </c>
      <c r="L20" s="70">
        <f>IF(COUNT($A20)&gt;0,(L19*(1+'Cloud Consumption'!$G$8)),0)</f>
        <v>0</v>
      </c>
      <c r="M20" s="70">
        <f>IF(COUNT($A20)&gt;0,(M19*(1+'Cloud Consumption'!$H$8)),0)</f>
        <v>0</v>
      </c>
      <c r="N20" s="9">
        <f>IF(COUNT($A20)&gt;0,(N19*(1+'Cloud Consumption'!$F$9)),0)</f>
        <v>0</v>
      </c>
      <c r="O20" s="9">
        <f>IF(COUNT($A20)&gt;0,(O19*(1+'Cloud Consumption'!$G$9)),0)</f>
        <v>0</v>
      </c>
      <c r="P20" s="9">
        <f>IF(COUNT($A20)&gt;0,(P19*(1+'Cloud Consumption'!$H$9)),0)</f>
        <v>0</v>
      </c>
      <c r="Q20" s="11">
        <f t="shared" si="0"/>
        <v>0</v>
      </c>
      <c r="R20" s="11">
        <f t="shared" si="1"/>
        <v>0</v>
      </c>
      <c r="S20" s="11">
        <f t="shared" si="2"/>
        <v>0</v>
      </c>
      <c r="T20" s="9">
        <f>IF(COUNT($A20)&gt;0,'Platform Overhead C '!$M$23,0)</f>
        <v>0</v>
      </c>
      <c r="U20" s="9">
        <f>IF(COUNT($A20)&gt;0,'Platform Overhead C '!$M$38,0)</f>
        <v>0</v>
      </c>
      <c r="V20" s="349">
        <f>'Custom ESPO Selection'!$D$41</f>
        <v>0</v>
      </c>
      <c r="W20" s="347">
        <f>'ESPO Calculator'!$D$67</f>
        <v>15250</v>
      </c>
      <c r="X20" s="348">
        <f>'ESPO Calculator'!$D$84</f>
        <v>49008.333333333336</v>
      </c>
      <c r="Y20" s="9">
        <f>IF('Prospective Project'!$D$23="High",'Prospective Project Calculation'!S20,IF('Prospective Project'!$D$23="Medium",'Prospective Project Calculation'!R20,'Prospective Project Calculation'!Q20))</f>
        <v>0</v>
      </c>
      <c r="Z20" s="9">
        <f>IF('Prospective Project'!$D$30="High",'Prospective Project Calculation'!P20,IF('Prospective Project'!$D$30="Medium",'Prospective Project Calculation'!O20,'Prospective Project Calculation'!N20))</f>
        <v>0</v>
      </c>
      <c r="AA20" s="9">
        <f>IF('Prospective Project'!$D$32="None",0,IF('Prospective Project'!$D$32="Gold",X20,IF('Prospective Project'!$D$32="Silver",'Prospective Project Calculation'!W20,'Prospective Project Calculation'!V20)))</f>
        <v>0</v>
      </c>
      <c r="AB20" s="9">
        <f t="shared" si="3"/>
        <v>0</v>
      </c>
      <c r="AC20" s="9"/>
      <c r="AD20" s="9"/>
    </row>
    <row r="21" spans="1:30">
      <c r="A21" s="9" t="str">
        <f>IF(ROW()&lt;='Prospective Project'!$D$20+1,A20+1,"")</f>
        <v/>
      </c>
      <c r="B21" s="70">
        <f>IF(COUNT($A21)&gt;0,(B20*(1+'Cloud Consumption'!$F$5)),0)</f>
        <v>0</v>
      </c>
      <c r="C21" s="70">
        <f>IF(COUNT($A21)&gt;0,(C20*(1+'Cloud Consumption'!$G$5)),0)</f>
        <v>0</v>
      </c>
      <c r="D21" s="70">
        <f>IF(COUNT($A21)&gt;0,(D20*(1+'Cloud Consumption'!$H$5)),0)</f>
        <v>0</v>
      </c>
      <c r="E21" s="70">
        <f>IF(COUNT($A21)&gt;0,(E20*(1+'Cloud Consumption'!$F$6)),0)</f>
        <v>0</v>
      </c>
      <c r="F21" s="70">
        <f>IF(COUNT($A21)&gt;0,(F20*(1+'Cloud Consumption'!$G$6)),0)</f>
        <v>0</v>
      </c>
      <c r="G21" s="70">
        <f>IF(COUNT($A21)&gt;0,(G20*(1+'Cloud Consumption'!$H$6)),0)</f>
        <v>0</v>
      </c>
      <c r="H21" s="70">
        <f>IF(COUNT($A21)&gt;0,(H20*(1+'Cloud Consumption'!$F$7)),0)</f>
        <v>0</v>
      </c>
      <c r="I21" s="70">
        <f>IF(COUNT($A21)&gt;0,(I20*(1+'Cloud Consumption'!$G$7)),0)</f>
        <v>0</v>
      </c>
      <c r="J21" s="70">
        <f>IF(COUNT($A21)&gt;0,(J20*(1+'Cloud Consumption'!$H$7)),0)</f>
        <v>0</v>
      </c>
      <c r="K21" s="70">
        <f>IF(COUNT($A21)&gt;0,(K20*(1+'Cloud Consumption'!$F$8)),0)</f>
        <v>0</v>
      </c>
      <c r="L21" s="70">
        <f>IF(COUNT($A21)&gt;0,(L20*(1+'Cloud Consumption'!$G$8)),0)</f>
        <v>0</v>
      </c>
      <c r="M21" s="70">
        <f>IF(COUNT($A21)&gt;0,(M20*(1+'Cloud Consumption'!$H$8)),0)</f>
        <v>0</v>
      </c>
      <c r="N21" s="9">
        <f>IF(COUNT($A21)&gt;0,(N20*(1+'Cloud Consumption'!$F$9)),0)</f>
        <v>0</v>
      </c>
      <c r="O21" s="9">
        <f>IF(COUNT($A21)&gt;0,(O20*(1+'Cloud Consumption'!$G$9)),0)</f>
        <v>0</v>
      </c>
      <c r="P21" s="9">
        <f>IF(COUNT($A21)&gt;0,(P20*(1+'Cloud Consumption'!$H$9)),0)</f>
        <v>0</v>
      </c>
      <c r="Q21" s="11">
        <f t="shared" si="0"/>
        <v>0</v>
      </c>
      <c r="R21" s="11">
        <f t="shared" si="1"/>
        <v>0</v>
      </c>
      <c r="S21" s="11">
        <f t="shared" si="2"/>
        <v>0</v>
      </c>
      <c r="T21" s="9">
        <f>IF(COUNT($A21)&gt;0,'Platform Overhead C '!$M$23,0)</f>
        <v>0</v>
      </c>
      <c r="U21" s="9">
        <f>IF(COUNT($A21)&gt;0,'Platform Overhead C '!$M$38,0)</f>
        <v>0</v>
      </c>
      <c r="V21" s="349">
        <f>'Custom ESPO Selection'!$D$41</f>
        <v>0</v>
      </c>
      <c r="W21" s="347">
        <f>'ESPO Calculator'!$D$67</f>
        <v>15250</v>
      </c>
      <c r="X21" s="348">
        <f>'ESPO Calculator'!$D$84</f>
        <v>49008.333333333336</v>
      </c>
      <c r="Y21" s="9">
        <f>IF('Prospective Project'!$D$23="High",'Prospective Project Calculation'!S21,IF('Prospective Project'!$D$23="Medium",'Prospective Project Calculation'!R21,'Prospective Project Calculation'!Q21))</f>
        <v>0</v>
      </c>
      <c r="Z21" s="9">
        <f>IF('Prospective Project'!$D$30="High",'Prospective Project Calculation'!P21,IF('Prospective Project'!$D$30="Medium",'Prospective Project Calculation'!O21,'Prospective Project Calculation'!N21))</f>
        <v>0</v>
      </c>
      <c r="AA21" s="9">
        <f>IF('Prospective Project'!$D$32="None",0,IF('Prospective Project'!$D$32="Gold",X21,IF('Prospective Project'!$D$32="Silver",'Prospective Project Calculation'!W21,'Prospective Project Calculation'!V21)))</f>
        <v>0</v>
      </c>
      <c r="AB21" s="9">
        <f t="shared" si="3"/>
        <v>0</v>
      </c>
      <c r="AC21" s="9"/>
      <c r="AD21" s="9"/>
    </row>
    <row r="22" spans="1:30">
      <c r="A22" s="9" t="str">
        <f>IF(ROW()&lt;='Prospective Project'!$D$20+1,A21+1,"")</f>
        <v/>
      </c>
      <c r="B22" s="70">
        <f>IF(COUNT($A22)&gt;0,(B21*(1+'Cloud Consumption'!$F$5)),0)</f>
        <v>0</v>
      </c>
      <c r="C22" s="70">
        <f>IF(COUNT($A22)&gt;0,(C21*(1+'Cloud Consumption'!$G$5)),0)</f>
        <v>0</v>
      </c>
      <c r="D22" s="70">
        <f>IF(COUNT($A22)&gt;0,(D21*(1+'Cloud Consumption'!$H$5)),0)</f>
        <v>0</v>
      </c>
      <c r="E22" s="70">
        <f>IF(COUNT($A22)&gt;0,(E21*(1+'Cloud Consumption'!$F$6)),0)</f>
        <v>0</v>
      </c>
      <c r="F22" s="70">
        <f>IF(COUNT($A22)&gt;0,(F21*(1+'Cloud Consumption'!$G$6)),0)</f>
        <v>0</v>
      </c>
      <c r="G22" s="70">
        <f>IF(COUNT($A22)&gt;0,(G21*(1+'Cloud Consumption'!$H$6)),0)</f>
        <v>0</v>
      </c>
      <c r="H22" s="70">
        <f>IF(COUNT($A22)&gt;0,(H21*(1+'Cloud Consumption'!$F$7)),0)</f>
        <v>0</v>
      </c>
      <c r="I22" s="70">
        <f>IF(COUNT($A22)&gt;0,(I21*(1+'Cloud Consumption'!$G$7)),0)</f>
        <v>0</v>
      </c>
      <c r="J22" s="70">
        <f>IF(COUNT($A22)&gt;0,(J21*(1+'Cloud Consumption'!$H$7)),0)</f>
        <v>0</v>
      </c>
      <c r="K22" s="70">
        <f>IF(COUNT($A22)&gt;0,(K21*(1+'Cloud Consumption'!$F$8)),0)</f>
        <v>0</v>
      </c>
      <c r="L22" s="70">
        <f>IF(COUNT($A22)&gt;0,(L21*(1+'Cloud Consumption'!$G$8)),0)</f>
        <v>0</v>
      </c>
      <c r="M22" s="70">
        <f>IF(COUNT($A22)&gt;0,(M21*(1+'Cloud Consumption'!$H$8)),0)</f>
        <v>0</v>
      </c>
      <c r="N22" s="9">
        <f>IF(COUNT($A22)&gt;0,(N21*(1+'Cloud Consumption'!$F$9)),0)</f>
        <v>0</v>
      </c>
      <c r="O22" s="9">
        <f>IF(COUNT($A22)&gt;0,(O21*(1+'Cloud Consumption'!$G$9)),0)</f>
        <v>0</v>
      </c>
      <c r="P22" s="9">
        <f>IF(COUNT($A22)&gt;0,(P21*(1+'Cloud Consumption'!$H$9)),0)</f>
        <v>0</v>
      </c>
      <c r="Q22" s="11">
        <f t="shared" si="0"/>
        <v>0</v>
      </c>
      <c r="R22" s="11">
        <f t="shared" si="1"/>
        <v>0</v>
      </c>
      <c r="S22" s="11">
        <f t="shared" si="2"/>
        <v>0</v>
      </c>
      <c r="T22" s="9">
        <f>IF(COUNT($A22)&gt;0,'Platform Overhead C '!$M$23,0)</f>
        <v>0</v>
      </c>
      <c r="U22" s="9">
        <f>IF(COUNT($A22)&gt;0,'Platform Overhead C '!$M$38,0)</f>
        <v>0</v>
      </c>
      <c r="V22" s="349">
        <f>'Custom ESPO Selection'!$D$41</f>
        <v>0</v>
      </c>
      <c r="W22" s="347">
        <f>'ESPO Calculator'!$D$67</f>
        <v>15250</v>
      </c>
      <c r="X22" s="348">
        <f>'ESPO Calculator'!$D$84</f>
        <v>49008.333333333336</v>
      </c>
      <c r="Y22" s="9">
        <f>IF('Prospective Project'!$D$23="High",'Prospective Project Calculation'!S22,IF('Prospective Project'!$D$23="Medium",'Prospective Project Calculation'!R22,'Prospective Project Calculation'!Q22))</f>
        <v>0</v>
      </c>
      <c r="Z22" s="9">
        <f>IF('Prospective Project'!$D$30="High",'Prospective Project Calculation'!P22,IF('Prospective Project'!$D$30="Medium",'Prospective Project Calculation'!O22,'Prospective Project Calculation'!N22))</f>
        <v>0</v>
      </c>
      <c r="AA22" s="9">
        <f>IF('Prospective Project'!$D$32="None",0,IF('Prospective Project'!$D$32="Gold",X22,IF('Prospective Project'!$D$32="Silver",'Prospective Project Calculation'!W22,'Prospective Project Calculation'!V22)))</f>
        <v>0</v>
      </c>
      <c r="AB22" s="9">
        <f t="shared" si="3"/>
        <v>0</v>
      </c>
      <c r="AC22" s="9"/>
      <c r="AD22" s="9"/>
    </row>
    <row r="23" spans="1:30">
      <c r="A23" s="9" t="str">
        <f>IF(ROW()&lt;='Prospective Project'!$D$20+1,A22+1,"")</f>
        <v/>
      </c>
      <c r="B23" s="70">
        <f>IF(COUNT($A23)&gt;0,(B22*(1+'Cloud Consumption'!$F$5)),0)</f>
        <v>0</v>
      </c>
      <c r="C23" s="70">
        <f>IF(COUNT($A23)&gt;0,(C22*(1+'Cloud Consumption'!$G$5)),0)</f>
        <v>0</v>
      </c>
      <c r="D23" s="70">
        <f>IF(COUNT($A23)&gt;0,(D22*(1+'Cloud Consumption'!$H$5)),0)</f>
        <v>0</v>
      </c>
      <c r="E23" s="70">
        <f>IF(COUNT($A23)&gt;0,(E22*(1+'Cloud Consumption'!$F$6)),0)</f>
        <v>0</v>
      </c>
      <c r="F23" s="70">
        <f>IF(COUNT($A23)&gt;0,(F22*(1+'Cloud Consumption'!$G$6)),0)</f>
        <v>0</v>
      </c>
      <c r="G23" s="70">
        <f>IF(COUNT($A23)&gt;0,(G22*(1+'Cloud Consumption'!$H$6)),0)</f>
        <v>0</v>
      </c>
      <c r="H23" s="70">
        <f>IF(COUNT($A23)&gt;0,(H22*(1+'Cloud Consumption'!$F$7)),0)</f>
        <v>0</v>
      </c>
      <c r="I23" s="70">
        <f>IF(COUNT($A23)&gt;0,(I22*(1+'Cloud Consumption'!$G$7)),0)</f>
        <v>0</v>
      </c>
      <c r="J23" s="70">
        <f>IF(COUNT($A23)&gt;0,(J22*(1+'Cloud Consumption'!$H$7)),0)</f>
        <v>0</v>
      </c>
      <c r="K23" s="70">
        <f>IF(COUNT($A23)&gt;0,(K22*(1+'Cloud Consumption'!$F$8)),0)</f>
        <v>0</v>
      </c>
      <c r="L23" s="70">
        <f>IF(COUNT($A23)&gt;0,(L22*(1+'Cloud Consumption'!$G$8)),0)</f>
        <v>0</v>
      </c>
      <c r="M23" s="70">
        <f>IF(COUNT($A23)&gt;0,(M22*(1+'Cloud Consumption'!$H$8)),0)</f>
        <v>0</v>
      </c>
      <c r="N23" s="9">
        <f>IF(COUNT($A23)&gt;0,(N22*(1+'Cloud Consumption'!$F$9)),0)</f>
        <v>0</v>
      </c>
      <c r="O23" s="9">
        <f>IF(COUNT($A23)&gt;0,(O22*(1+'Cloud Consumption'!$G$9)),0)</f>
        <v>0</v>
      </c>
      <c r="P23" s="9">
        <f>IF(COUNT($A23)&gt;0,(P22*(1+'Cloud Consumption'!$H$9)),0)</f>
        <v>0</v>
      </c>
      <c r="Q23" s="11">
        <f t="shared" si="0"/>
        <v>0</v>
      </c>
      <c r="R23" s="11">
        <f t="shared" si="1"/>
        <v>0</v>
      </c>
      <c r="S23" s="11">
        <f t="shared" si="2"/>
        <v>0</v>
      </c>
      <c r="T23" s="9">
        <f>IF(COUNT($A23)&gt;0,'Platform Overhead C '!$M$23,0)</f>
        <v>0</v>
      </c>
      <c r="U23" s="9">
        <f>IF(COUNT($A23)&gt;0,'Platform Overhead C '!$M$38,0)</f>
        <v>0</v>
      </c>
      <c r="V23" s="349">
        <f>'Custom ESPO Selection'!$D$41</f>
        <v>0</v>
      </c>
      <c r="W23" s="347">
        <f>'ESPO Calculator'!$D$67</f>
        <v>15250</v>
      </c>
      <c r="X23" s="348">
        <f>'ESPO Calculator'!$D$84</f>
        <v>49008.333333333336</v>
      </c>
      <c r="Y23" s="9">
        <f>IF('Prospective Project'!$D$23="High",'Prospective Project Calculation'!S23,IF('Prospective Project'!$D$23="Medium",'Prospective Project Calculation'!R23,'Prospective Project Calculation'!Q23))</f>
        <v>0</v>
      </c>
      <c r="Z23" s="9">
        <f>IF('Prospective Project'!$D$30="High",'Prospective Project Calculation'!P23,IF('Prospective Project'!$D$30="Medium",'Prospective Project Calculation'!O23,'Prospective Project Calculation'!N23))</f>
        <v>0</v>
      </c>
      <c r="AA23" s="9">
        <f>IF('Prospective Project'!$D$32="None",0,IF('Prospective Project'!$D$32="Gold",X23,IF('Prospective Project'!$D$32="Silver",'Prospective Project Calculation'!W23,'Prospective Project Calculation'!V23)))</f>
        <v>0</v>
      </c>
      <c r="AB23" s="9">
        <f t="shared" si="3"/>
        <v>0</v>
      </c>
      <c r="AC23" s="9"/>
      <c r="AD23" s="9"/>
    </row>
    <row r="24" spans="1:30">
      <c r="A24" s="9" t="str">
        <f>IF(ROW()&lt;='Prospective Project'!$D$20+1,A23+1,"")</f>
        <v/>
      </c>
      <c r="B24" s="70">
        <f>IF(COUNT($A24)&gt;0,(B23*(1+'Cloud Consumption'!$F$5)),0)</f>
        <v>0</v>
      </c>
      <c r="C24" s="70">
        <f>IF(COUNT($A24)&gt;0,(C23*(1+'Cloud Consumption'!$G$5)),0)</f>
        <v>0</v>
      </c>
      <c r="D24" s="70">
        <f>IF(COUNT($A24)&gt;0,(D23*(1+'Cloud Consumption'!$H$5)),0)</f>
        <v>0</v>
      </c>
      <c r="E24" s="70">
        <f>IF(COUNT($A24)&gt;0,(E23*(1+'Cloud Consumption'!$F$6)),0)</f>
        <v>0</v>
      </c>
      <c r="F24" s="70">
        <f>IF(COUNT($A24)&gt;0,(F23*(1+'Cloud Consumption'!$G$6)),0)</f>
        <v>0</v>
      </c>
      <c r="G24" s="70">
        <f>IF(COUNT($A24)&gt;0,(G23*(1+'Cloud Consumption'!$H$6)),0)</f>
        <v>0</v>
      </c>
      <c r="H24" s="70">
        <f>IF(COUNT($A24)&gt;0,(H23*(1+'Cloud Consumption'!$F$7)),0)</f>
        <v>0</v>
      </c>
      <c r="I24" s="70">
        <f>IF(COUNT($A24)&gt;0,(I23*(1+'Cloud Consumption'!$G$7)),0)</f>
        <v>0</v>
      </c>
      <c r="J24" s="70">
        <f>IF(COUNT($A24)&gt;0,(J23*(1+'Cloud Consumption'!$H$7)),0)</f>
        <v>0</v>
      </c>
      <c r="K24" s="70">
        <f>IF(COUNT($A24)&gt;0,(K23*(1+'Cloud Consumption'!$F$8)),0)</f>
        <v>0</v>
      </c>
      <c r="L24" s="70">
        <f>IF(COUNT($A24)&gt;0,(L23*(1+'Cloud Consumption'!$G$8)),0)</f>
        <v>0</v>
      </c>
      <c r="M24" s="70">
        <f>IF(COUNT($A24)&gt;0,(M23*(1+'Cloud Consumption'!$H$8)),0)</f>
        <v>0</v>
      </c>
      <c r="N24" s="9">
        <f>IF(COUNT($A24)&gt;0,(N23*(1+'Cloud Consumption'!$F$9)),0)</f>
        <v>0</v>
      </c>
      <c r="O24" s="9">
        <f>IF(COUNT($A24)&gt;0,(O23*(1+'Cloud Consumption'!$G$9)),0)</f>
        <v>0</v>
      </c>
      <c r="P24" s="9">
        <f>IF(COUNT($A24)&gt;0,(P23*(1+'Cloud Consumption'!$H$9)),0)</f>
        <v>0</v>
      </c>
      <c r="Q24" s="11">
        <f t="shared" si="0"/>
        <v>0</v>
      </c>
      <c r="R24" s="11">
        <f t="shared" si="1"/>
        <v>0</v>
      </c>
      <c r="S24" s="11">
        <f t="shared" si="2"/>
        <v>0</v>
      </c>
      <c r="T24" s="9">
        <f>IF(COUNT($A24)&gt;0,'Platform Overhead C '!$M$23,0)</f>
        <v>0</v>
      </c>
      <c r="U24" s="9">
        <f>IF(COUNT($A24)&gt;0,'Platform Overhead C '!$M$38,0)</f>
        <v>0</v>
      </c>
      <c r="V24" s="349">
        <f>'Custom ESPO Selection'!$D$41</f>
        <v>0</v>
      </c>
      <c r="W24" s="347">
        <f>'ESPO Calculator'!$D$67</f>
        <v>15250</v>
      </c>
      <c r="X24" s="348">
        <f>'ESPO Calculator'!$D$84</f>
        <v>49008.333333333336</v>
      </c>
      <c r="Y24" s="9">
        <f>IF('Prospective Project'!$D$23="High",'Prospective Project Calculation'!S24,IF('Prospective Project'!$D$23="Medium",'Prospective Project Calculation'!R24,'Prospective Project Calculation'!Q24))</f>
        <v>0</v>
      </c>
      <c r="Z24" s="9">
        <f>IF('Prospective Project'!$D$30="High",'Prospective Project Calculation'!P24,IF('Prospective Project'!$D$30="Medium",'Prospective Project Calculation'!O24,'Prospective Project Calculation'!N24))</f>
        <v>0</v>
      </c>
      <c r="AA24" s="9">
        <f>IF('Prospective Project'!$D$32="None",0,IF('Prospective Project'!$D$32="Gold",X24,IF('Prospective Project'!$D$32="Silver",'Prospective Project Calculation'!W24,'Prospective Project Calculation'!V24)))</f>
        <v>0</v>
      </c>
      <c r="AB24" s="9">
        <f t="shared" si="3"/>
        <v>0</v>
      </c>
      <c r="AC24" s="9"/>
      <c r="AD24" s="9"/>
    </row>
    <row r="25" spans="1:30">
      <c r="A25" s="9" t="str">
        <f>IF(ROW()&lt;='Prospective Project'!$D$20+1,A24+1,"")</f>
        <v/>
      </c>
      <c r="B25" s="70">
        <f>IF(COUNT($A25)&gt;0,(B24*(1+'Cloud Consumption'!$F$5)),0)</f>
        <v>0</v>
      </c>
      <c r="C25" s="70">
        <f>IF(COUNT($A25)&gt;0,(C24*(1+'Cloud Consumption'!$G$5)),0)</f>
        <v>0</v>
      </c>
      <c r="D25" s="70">
        <f>IF(COUNT($A25)&gt;0,(D24*(1+'Cloud Consumption'!$H$5)),0)</f>
        <v>0</v>
      </c>
      <c r="E25" s="70">
        <f>IF(COUNT($A25)&gt;0,(E24*(1+'Cloud Consumption'!$F$6)),0)</f>
        <v>0</v>
      </c>
      <c r="F25" s="70">
        <f>IF(COUNT($A25)&gt;0,(F24*(1+'Cloud Consumption'!$G$6)),0)</f>
        <v>0</v>
      </c>
      <c r="G25" s="70">
        <f>IF(COUNT($A25)&gt;0,(G24*(1+'Cloud Consumption'!$H$6)),0)</f>
        <v>0</v>
      </c>
      <c r="H25" s="70">
        <f>IF(COUNT($A25)&gt;0,(H24*(1+'Cloud Consumption'!$F$7)),0)</f>
        <v>0</v>
      </c>
      <c r="I25" s="70">
        <f>IF(COUNT($A25)&gt;0,(I24*(1+'Cloud Consumption'!$G$7)),0)</f>
        <v>0</v>
      </c>
      <c r="J25" s="70">
        <f>IF(COUNT($A25)&gt;0,(J24*(1+'Cloud Consumption'!$H$7)),0)</f>
        <v>0</v>
      </c>
      <c r="K25" s="70">
        <f>IF(COUNT($A25)&gt;0,(K24*(1+'Cloud Consumption'!$F$8)),0)</f>
        <v>0</v>
      </c>
      <c r="L25" s="70">
        <f>IF(COUNT($A25)&gt;0,(L24*(1+'Cloud Consumption'!$G$8)),0)</f>
        <v>0</v>
      </c>
      <c r="M25" s="70">
        <f>IF(COUNT($A25)&gt;0,(M24*(1+'Cloud Consumption'!$H$8)),0)</f>
        <v>0</v>
      </c>
      <c r="N25" s="9">
        <f>IF(COUNT($A25)&gt;0,(N24*(1+'Cloud Consumption'!$F$9)),0)</f>
        <v>0</v>
      </c>
      <c r="O25" s="9">
        <f>IF(COUNT($A25)&gt;0,(O24*(1+'Cloud Consumption'!$G$9)),0)</f>
        <v>0</v>
      </c>
      <c r="P25" s="9">
        <f>IF(COUNT($A25)&gt;0,(P24*(1+'Cloud Consumption'!$H$9)),0)</f>
        <v>0</v>
      </c>
      <c r="Q25" s="11">
        <f t="shared" si="0"/>
        <v>0</v>
      </c>
      <c r="R25" s="11">
        <f t="shared" si="1"/>
        <v>0</v>
      </c>
      <c r="S25" s="11">
        <f t="shared" si="2"/>
        <v>0</v>
      </c>
      <c r="T25" s="9">
        <f>IF(COUNT($A25)&gt;0,'Platform Overhead C '!$M$23,0)</f>
        <v>0</v>
      </c>
      <c r="U25" s="9">
        <f>IF(COUNT($A25)&gt;0,'Platform Overhead C '!$M$38,0)</f>
        <v>0</v>
      </c>
      <c r="V25" s="349">
        <f>'Custom ESPO Selection'!$D$41</f>
        <v>0</v>
      </c>
      <c r="W25" s="347">
        <f>'ESPO Calculator'!$D$67</f>
        <v>15250</v>
      </c>
      <c r="X25" s="348">
        <f>'ESPO Calculator'!$D$84</f>
        <v>49008.333333333336</v>
      </c>
      <c r="Y25" s="9">
        <f>IF('Prospective Project'!$D$23="High",'Prospective Project Calculation'!S25,IF('Prospective Project'!$D$23="Medium",'Prospective Project Calculation'!R25,'Prospective Project Calculation'!Q25))</f>
        <v>0</v>
      </c>
      <c r="Z25" s="9">
        <f>IF('Prospective Project'!$D$30="High",'Prospective Project Calculation'!P25,IF('Prospective Project'!$D$30="Medium",'Prospective Project Calculation'!O25,'Prospective Project Calculation'!N25))</f>
        <v>0</v>
      </c>
      <c r="AA25" s="9">
        <f>IF('Prospective Project'!$D$32="None",0,IF('Prospective Project'!$D$32="Gold",X25,IF('Prospective Project'!$D$32="Silver",'Prospective Project Calculation'!W25,'Prospective Project Calculation'!V25)))</f>
        <v>0</v>
      </c>
      <c r="AB25" s="9">
        <f t="shared" si="3"/>
        <v>0</v>
      </c>
      <c r="AC25" s="9"/>
      <c r="AD25" s="9"/>
    </row>
    <row r="26" spans="1:30">
      <c r="A26" s="9" t="str">
        <f>IF(ROW()&lt;='Prospective Project'!$D$20+1,A25+1,"")</f>
        <v/>
      </c>
      <c r="B26" s="70">
        <f>IF(COUNT($A26)&gt;0,(B25*(1+'Cloud Consumption'!$F$5)),0)</f>
        <v>0</v>
      </c>
      <c r="C26" s="70">
        <f>IF(COUNT($A26)&gt;0,(C25*(1+'Cloud Consumption'!$G$5)),0)</f>
        <v>0</v>
      </c>
      <c r="D26" s="70">
        <f>IF(COUNT($A26)&gt;0,(D25*(1+'Cloud Consumption'!$H$5)),0)</f>
        <v>0</v>
      </c>
      <c r="E26" s="70">
        <f>IF(COUNT($A26)&gt;0,(E25*(1+'Cloud Consumption'!$F$6)),0)</f>
        <v>0</v>
      </c>
      <c r="F26" s="70">
        <f>IF(COUNT($A26)&gt;0,(F25*(1+'Cloud Consumption'!$G$6)),0)</f>
        <v>0</v>
      </c>
      <c r="G26" s="70">
        <f>IF(COUNT($A26)&gt;0,(G25*(1+'Cloud Consumption'!$H$6)),0)</f>
        <v>0</v>
      </c>
      <c r="H26" s="70">
        <f>IF(COUNT($A26)&gt;0,(H25*(1+'Cloud Consumption'!$F$7)),0)</f>
        <v>0</v>
      </c>
      <c r="I26" s="70">
        <f>IF(COUNT($A26)&gt;0,(I25*(1+'Cloud Consumption'!$G$7)),0)</f>
        <v>0</v>
      </c>
      <c r="J26" s="70">
        <f>IF(COUNT($A26)&gt;0,(J25*(1+'Cloud Consumption'!$H$7)),0)</f>
        <v>0</v>
      </c>
      <c r="K26" s="70">
        <f>IF(COUNT($A26)&gt;0,(K25*(1+'Cloud Consumption'!$F$8)),0)</f>
        <v>0</v>
      </c>
      <c r="L26" s="70">
        <f>IF(COUNT($A26)&gt;0,(L25*(1+'Cloud Consumption'!$G$8)),0)</f>
        <v>0</v>
      </c>
      <c r="M26" s="70">
        <f>IF(COUNT($A26)&gt;0,(M25*(1+'Cloud Consumption'!$H$8)),0)</f>
        <v>0</v>
      </c>
      <c r="N26" s="9">
        <f>IF(COUNT($A26)&gt;0,(N25*(1+'Cloud Consumption'!$F$9)),0)</f>
        <v>0</v>
      </c>
      <c r="O26" s="9">
        <f>IF(COUNT($A26)&gt;0,(O25*(1+'Cloud Consumption'!$G$9)),0)</f>
        <v>0</v>
      </c>
      <c r="P26" s="9">
        <f>IF(COUNT($A26)&gt;0,(P25*(1+'Cloud Consumption'!$H$9)),0)</f>
        <v>0</v>
      </c>
      <c r="Q26" s="11">
        <f t="shared" si="0"/>
        <v>0</v>
      </c>
      <c r="R26" s="11">
        <f t="shared" si="1"/>
        <v>0</v>
      </c>
      <c r="S26" s="11">
        <f t="shared" si="2"/>
        <v>0</v>
      </c>
      <c r="T26" s="9">
        <f>IF(COUNT($A26)&gt;0,'Platform Overhead C '!$M$23,0)</f>
        <v>0</v>
      </c>
      <c r="U26" s="9">
        <f>IF(COUNT($A26)&gt;0,'Platform Overhead C '!$M$38,0)</f>
        <v>0</v>
      </c>
      <c r="V26" s="349">
        <f>'Custom ESPO Selection'!$D$41</f>
        <v>0</v>
      </c>
      <c r="W26" s="347">
        <f>'ESPO Calculator'!$D$67</f>
        <v>15250</v>
      </c>
      <c r="X26" s="348">
        <f>'ESPO Calculator'!$D$84</f>
        <v>49008.333333333336</v>
      </c>
      <c r="Y26" s="9">
        <f>IF('Prospective Project'!$D$23="High",'Prospective Project Calculation'!S26,IF('Prospective Project'!$D$23="Medium",'Prospective Project Calculation'!R26,'Prospective Project Calculation'!Q26))</f>
        <v>0</v>
      </c>
      <c r="Z26" s="9">
        <f>IF('Prospective Project'!$D$30="High",'Prospective Project Calculation'!P26,IF('Prospective Project'!$D$30="Medium",'Prospective Project Calculation'!O26,'Prospective Project Calculation'!N26))</f>
        <v>0</v>
      </c>
      <c r="AA26" s="9">
        <f>IF('Prospective Project'!$D$32="None",0,IF('Prospective Project'!$D$32="Gold",X26,IF('Prospective Project'!$D$32="Silver",'Prospective Project Calculation'!W26,'Prospective Project Calculation'!V26)))</f>
        <v>0</v>
      </c>
      <c r="AB26" s="9">
        <f t="shared" si="3"/>
        <v>0</v>
      </c>
      <c r="AC26" s="9"/>
      <c r="AD26" s="9"/>
    </row>
    <row r="27" spans="1:30">
      <c r="A27" s="9" t="str">
        <f>IF(ROW()&lt;='Prospective Project'!$D$20+1,A26+1,"")</f>
        <v/>
      </c>
      <c r="B27" s="70">
        <f>IF(COUNT($A27)&gt;0,(B26*(1+'Cloud Consumption'!$F$5)),0)</f>
        <v>0</v>
      </c>
      <c r="C27" s="70">
        <f>IF(COUNT($A27)&gt;0,(C26*(1+'Cloud Consumption'!$G$5)),0)</f>
        <v>0</v>
      </c>
      <c r="D27" s="70">
        <f>IF(COUNT($A27)&gt;0,(D26*(1+'Cloud Consumption'!$H$5)),0)</f>
        <v>0</v>
      </c>
      <c r="E27" s="70">
        <f>IF(COUNT($A27)&gt;0,(E26*(1+'Cloud Consumption'!$F$6)),0)</f>
        <v>0</v>
      </c>
      <c r="F27" s="70">
        <f>IF(COUNT($A27)&gt;0,(F26*(1+'Cloud Consumption'!$G$6)),0)</f>
        <v>0</v>
      </c>
      <c r="G27" s="70">
        <f>IF(COUNT($A27)&gt;0,(G26*(1+'Cloud Consumption'!$H$6)),0)</f>
        <v>0</v>
      </c>
      <c r="H27" s="70">
        <f>IF(COUNT($A27)&gt;0,(H26*(1+'Cloud Consumption'!$F$7)),0)</f>
        <v>0</v>
      </c>
      <c r="I27" s="70">
        <f>IF(COUNT($A27)&gt;0,(I26*(1+'Cloud Consumption'!$G$7)),0)</f>
        <v>0</v>
      </c>
      <c r="J27" s="70">
        <f>IF(COUNT($A27)&gt;0,(J26*(1+'Cloud Consumption'!$H$7)),0)</f>
        <v>0</v>
      </c>
      <c r="K27" s="70">
        <f>IF(COUNT($A27)&gt;0,(K26*(1+'Cloud Consumption'!$F$8)),0)</f>
        <v>0</v>
      </c>
      <c r="L27" s="70">
        <f>IF(COUNT($A27)&gt;0,(L26*(1+'Cloud Consumption'!$G$8)),0)</f>
        <v>0</v>
      </c>
      <c r="M27" s="70">
        <f>IF(COUNT($A27)&gt;0,(M26*(1+'Cloud Consumption'!$H$8)),0)</f>
        <v>0</v>
      </c>
      <c r="N27" s="9">
        <f>IF(COUNT($A27)&gt;0,(N26*(1+'Cloud Consumption'!$F$9)),0)</f>
        <v>0</v>
      </c>
      <c r="O27" s="9">
        <f>IF(COUNT($A27)&gt;0,(O26*(1+'Cloud Consumption'!$G$9)),0)</f>
        <v>0</v>
      </c>
      <c r="P27" s="9">
        <f>IF(COUNT($A27)&gt;0,(P26*(1+'Cloud Consumption'!$H$9)),0)</f>
        <v>0</v>
      </c>
      <c r="Q27" s="11">
        <f t="shared" si="0"/>
        <v>0</v>
      </c>
      <c r="R27" s="11">
        <f t="shared" si="1"/>
        <v>0</v>
      </c>
      <c r="S27" s="11">
        <f t="shared" si="2"/>
        <v>0</v>
      </c>
      <c r="T27" s="9">
        <f>IF(COUNT($A27)&gt;0,'Platform Overhead C '!$M$23,0)</f>
        <v>0</v>
      </c>
      <c r="U27" s="9">
        <f>IF(COUNT($A27)&gt;0,'Platform Overhead C '!$M$38,0)</f>
        <v>0</v>
      </c>
      <c r="V27" s="349">
        <f>'Custom ESPO Selection'!$D$41</f>
        <v>0</v>
      </c>
      <c r="W27" s="347">
        <f>'ESPO Calculator'!$D$67</f>
        <v>15250</v>
      </c>
      <c r="X27" s="348">
        <f>'ESPO Calculator'!$D$84</f>
        <v>49008.333333333336</v>
      </c>
      <c r="Y27" s="9">
        <f>IF('Prospective Project'!$D$23="High",'Prospective Project Calculation'!S27,IF('Prospective Project'!$D$23="Medium",'Prospective Project Calculation'!R27,'Prospective Project Calculation'!Q27))</f>
        <v>0</v>
      </c>
      <c r="Z27" s="9">
        <f>IF('Prospective Project'!$D$30="High",'Prospective Project Calculation'!P27,IF('Prospective Project'!$D$30="Medium",'Prospective Project Calculation'!O27,'Prospective Project Calculation'!N27))</f>
        <v>0</v>
      </c>
      <c r="AA27" s="9">
        <f>IF('Prospective Project'!$D$32="None",0,IF('Prospective Project'!$D$32="Gold",X27,IF('Prospective Project'!$D$32="Silver",'Prospective Project Calculation'!W27,'Prospective Project Calculation'!V27)))</f>
        <v>0</v>
      </c>
      <c r="AB27" s="9">
        <f t="shared" si="3"/>
        <v>0</v>
      </c>
      <c r="AC27" s="9"/>
      <c r="AD27" s="9"/>
    </row>
    <row r="28" spans="1:30">
      <c r="A28" s="9" t="str">
        <f>IF(ROW()&lt;='Prospective Project'!$D$20+1,A27+1,"")</f>
        <v/>
      </c>
      <c r="B28" s="70">
        <f>IF(COUNT($A28)&gt;0,(B27*(1+'Cloud Consumption'!$F$5)),0)</f>
        <v>0</v>
      </c>
      <c r="C28" s="70">
        <f>IF(COUNT($A28)&gt;0,(C27*(1+'Cloud Consumption'!$G$5)),0)</f>
        <v>0</v>
      </c>
      <c r="D28" s="70">
        <f>IF(COUNT($A28)&gt;0,(D27*(1+'Cloud Consumption'!$H$5)),0)</f>
        <v>0</v>
      </c>
      <c r="E28" s="70">
        <f>IF(COUNT($A28)&gt;0,(E27*(1+'Cloud Consumption'!$F$6)),0)</f>
        <v>0</v>
      </c>
      <c r="F28" s="70">
        <f>IF(COUNT($A28)&gt;0,(F27*(1+'Cloud Consumption'!$G$6)),0)</f>
        <v>0</v>
      </c>
      <c r="G28" s="70">
        <f>IF(COUNT($A28)&gt;0,(G27*(1+'Cloud Consumption'!$H$6)),0)</f>
        <v>0</v>
      </c>
      <c r="H28" s="70">
        <f>IF(COUNT($A28)&gt;0,(H27*(1+'Cloud Consumption'!$F$7)),0)</f>
        <v>0</v>
      </c>
      <c r="I28" s="70">
        <f>IF(COUNT($A28)&gt;0,(I27*(1+'Cloud Consumption'!$G$7)),0)</f>
        <v>0</v>
      </c>
      <c r="J28" s="70">
        <f>IF(COUNT($A28)&gt;0,(J27*(1+'Cloud Consumption'!$H$7)),0)</f>
        <v>0</v>
      </c>
      <c r="K28" s="70">
        <f>IF(COUNT($A28)&gt;0,(K27*(1+'Cloud Consumption'!$F$8)),0)</f>
        <v>0</v>
      </c>
      <c r="L28" s="70">
        <f>IF(COUNT($A28)&gt;0,(L27*(1+'Cloud Consumption'!$G$8)),0)</f>
        <v>0</v>
      </c>
      <c r="M28" s="70">
        <f>IF(COUNT($A28)&gt;0,(M27*(1+'Cloud Consumption'!$H$8)),0)</f>
        <v>0</v>
      </c>
      <c r="N28" s="9">
        <f>IF(COUNT($A28)&gt;0,(N27*(1+'Cloud Consumption'!$F$9)),0)</f>
        <v>0</v>
      </c>
      <c r="O28" s="9">
        <f>IF(COUNT($A28)&gt;0,(O27*(1+'Cloud Consumption'!$G$9)),0)</f>
        <v>0</v>
      </c>
      <c r="P28" s="9">
        <f>IF(COUNT($A28)&gt;0,(P27*(1+'Cloud Consumption'!$H$9)),0)</f>
        <v>0</v>
      </c>
      <c r="Q28" s="11">
        <f t="shared" si="0"/>
        <v>0</v>
      </c>
      <c r="R28" s="11">
        <f t="shared" si="1"/>
        <v>0</v>
      </c>
      <c r="S28" s="11">
        <f t="shared" si="2"/>
        <v>0</v>
      </c>
      <c r="T28" s="9">
        <f>IF(COUNT($A28)&gt;0,'Platform Overhead C '!$M$23,0)</f>
        <v>0</v>
      </c>
      <c r="U28" s="9">
        <f>IF(COUNT($A28)&gt;0,'Platform Overhead C '!$M$38,0)</f>
        <v>0</v>
      </c>
      <c r="V28" s="349">
        <f>'Custom ESPO Selection'!$D$41</f>
        <v>0</v>
      </c>
      <c r="W28" s="347">
        <f>'ESPO Calculator'!$D$67</f>
        <v>15250</v>
      </c>
      <c r="X28" s="348">
        <f>'ESPO Calculator'!$D$84</f>
        <v>49008.333333333336</v>
      </c>
      <c r="Y28" s="9">
        <f>IF('Prospective Project'!$D$23="High",'Prospective Project Calculation'!S28,IF('Prospective Project'!$D$23="Medium",'Prospective Project Calculation'!R28,'Prospective Project Calculation'!Q28))</f>
        <v>0</v>
      </c>
      <c r="Z28" s="9">
        <f>IF('Prospective Project'!$D$30="High",'Prospective Project Calculation'!P28,IF('Prospective Project'!$D$30="Medium",'Prospective Project Calculation'!O28,'Prospective Project Calculation'!N28))</f>
        <v>0</v>
      </c>
      <c r="AA28" s="9">
        <f>IF('Prospective Project'!$D$32="None",0,IF('Prospective Project'!$D$32="Gold",X28,IF('Prospective Project'!$D$32="Silver",'Prospective Project Calculation'!W28,'Prospective Project Calculation'!V28)))</f>
        <v>0</v>
      </c>
      <c r="AB28" s="9">
        <f t="shared" si="3"/>
        <v>0</v>
      </c>
      <c r="AC28" s="9"/>
      <c r="AD28" s="9"/>
    </row>
    <row r="29" spans="1:30">
      <c r="A29" s="9" t="str">
        <f>IF(ROW()&lt;='Prospective Project'!$D$20+1,A28+1,"")</f>
        <v/>
      </c>
      <c r="B29" s="70">
        <f>IF(COUNT($A29)&gt;0,(B28*(1+'Cloud Consumption'!$F$5)),0)</f>
        <v>0</v>
      </c>
      <c r="C29" s="70">
        <f>IF(COUNT($A29)&gt;0,(C28*(1+'Cloud Consumption'!$G$5)),0)</f>
        <v>0</v>
      </c>
      <c r="D29" s="70">
        <f>IF(COUNT($A29)&gt;0,(D28*(1+'Cloud Consumption'!$H$5)),0)</f>
        <v>0</v>
      </c>
      <c r="E29" s="70">
        <f>IF(COUNT($A29)&gt;0,(E28*(1+'Cloud Consumption'!$F$6)),0)</f>
        <v>0</v>
      </c>
      <c r="F29" s="70">
        <f>IF(COUNT($A29)&gt;0,(F28*(1+'Cloud Consumption'!$G$6)),0)</f>
        <v>0</v>
      </c>
      <c r="G29" s="70">
        <f>IF(COUNT($A29)&gt;0,(G28*(1+'Cloud Consumption'!$H$6)),0)</f>
        <v>0</v>
      </c>
      <c r="H29" s="70">
        <f>IF(COUNT($A29)&gt;0,(H28*(1+'Cloud Consumption'!$F$7)),0)</f>
        <v>0</v>
      </c>
      <c r="I29" s="70">
        <f>IF(COUNT($A29)&gt;0,(I28*(1+'Cloud Consumption'!$G$7)),0)</f>
        <v>0</v>
      </c>
      <c r="J29" s="70">
        <f>IF(COUNT($A29)&gt;0,(J28*(1+'Cloud Consumption'!$H$7)),0)</f>
        <v>0</v>
      </c>
      <c r="K29" s="70">
        <f>IF(COUNT($A29)&gt;0,(K28*(1+'Cloud Consumption'!$F$8)),0)</f>
        <v>0</v>
      </c>
      <c r="L29" s="70">
        <f>IF(COUNT($A29)&gt;0,(L28*(1+'Cloud Consumption'!$G$8)),0)</f>
        <v>0</v>
      </c>
      <c r="M29" s="70">
        <f>IF(COUNT($A29)&gt;0,(M28*(1+'Cloud Consumption'!$H$8)),0)</f>
        <v>0</v>
      </c>
      <c r="N29" s="9">
        <f>IF(COUNT($A29)&gt;0,(N28*(1+'Cloud Consumption'!$F$9)),0)</f>
        <v>0</v>
      </c>
      <c r="O29" s="9">
        <f>IF(COUNT($A29)&gt;0,(O28*(1+'Cloud Consumption'!$G$9)),0)</f>
        <v>0</v>
      </c>
      <c r="P29" s="9">
        <f>IF(COUNT($A29)&gt;0,(P28*(1+'Cloud Consumption'!$H$9)),0)</f>
        <v>0</v>
      </c>
      <c r="Q29" s="11">
        <f t="shared" si="0"/>
        <v>0</v>
      </c>
      <c r="R29" s="11">
        <f t="shared" si="1"/>
        <v>0</v>
      </c>
      <c r="S29" s="11">
        <f t="shared" si="2"/>
        <v>0</v>
      </c>
      <c r="T29" s="9">
        <f>IF(COUNT($A29)&gt;0,'Platform Overhead C '!$M$23,0)</f>
        <v>0</v>
      </c>
      <c r="U29" s="9">
        <f>IF(COUNT($A29)&gt;0,'Platform Overhead C '!$M$38,0)</f>
        <v>0</v>
      </c>
      <c r="V29" s="349">
        <f>'Custom ESPO Selection'!$D$41</f>
        <v>0</v>
      </c>
      <c r="W29" s="347">
        <f>'ESPO Calculator'!$D$67</f>
        <v>15250</v>
      </c>
      <c r="X29" s="348">
        <f>'ESPO Calculator'!$D$84</f>
        <v>49008.333333333336</v>
      </c>
      <c r="Y29" s="9">
        <f>IF('Prospective Project'!$D$23="High",'Prospective Project Calculation'!S29,IF('Prospective Project'!$D$23="Medium",'Prospective Project Calculation'!R29,'Prospective Project Calculation'!Q29))</f>
        <v>0</v>
      </c>
      <c r="Z29" s="9">
        <f>IF('Prospective Project'!$D$30="High",'Prospective Project Calculation'!P29,IF('Prospective Project'!$D$30="Medium",'Prospective Project Calculation'!O29,'Prospective Project Calculation'!N29))</f>
        <v>0</v>
      </c>
      <c r="AA29" s="9">
        <f>IF('Prospective Project'!$D$32="None",0,IF('Prospective Project'!$D$32="Gold",X29,IF('Prospective Project'!$D$32="Silver",'Prospective Project Calculation'!W29,'Prospective Project Calculation'!V29)))</f>
        <v>0</v>
      </c>
      <c r="AB29" s="9">
        <f t="shared" si="3"/>
        <v>0</v>
      </c>
      <c r="AC29" s="9"/>
      <c r="AD29" s="9"/>
    </row>
    <row r="30" spans="1:30">
      <c r="A30" s="9" t="str">
        <f>IF(ROW()&lt;='Prospective Project'!$D$20+1,A29+1,"")</f>
        <v/>
      </c>
      <c r="B30" s="70">
        <f>IF(COUNT($A30)&gt;0,(B29*(1+'Cloud Consumption'!$F$5)),0)</f>
        <v>0</v>
      </c>
      <c r="C30" s="70">
        <f>IF(COUNT($A30)&gt;0,(C29*(1+'Cloud Consumption'!$G$5)),0)</f>
        <v>0</v>
      </c>
      <c r="D30" s="70">
        <f>IF(COUNT($A30)&gt;0,(D29*(1+'Cloud Consumption'!$H$5)),0)</f>
        <v>0</v>
      </c>
      <c r="E30" s="70">
        <f>IF(COUNT($A30)&gt;0,(E29*(1+'Cloud Consumption'!$F$6)),0)</f>
        <v>0</v>
      </c>
      <c r="F30" s="70">
        <f>IF(COUNT($A30)&gt;0,(F29*(1+'Cloud Consumption'!$G$6)),0)</f>
        <v>0</v>
      </c>
      <c r="G30" s="70">
        <f>IF(COUNT($A30)&gt;0,(G29*(1+'Cloud Consumption'!$H$6)),0)</f>
        <v>0</v>
      </c>
      <c r="H30" s="70">
        <f>IF(COUNT($A30)&gt;0,(H29*(1+'Cloud Consumption'!$F$7)),0)</f>
        <v>0</v>
      </c>
      <c r="I30" s="70">
        <f>IF(COUNT($A30)&gt;0,(I29*(1+'Cloud Consumption'!$G$7)),0)</f>
        <v>0</v>
      </c>
      <c r="J30" s="70">
        <f>IF(COUNT($A30)&gt;0,(J29*(1+'Cloud Consumption'!$H$7)),0)</f>
        <v>0</v>
      </c>
      <c r="K30" s="70">
        <f>IF(COUNT($A30)&gt;0,(K29*(1+'Cloud Consumption'!$F$8)),0)</f>
        <v>0</v>
      </c>
      <c r="L30" s="70">
        <f>IF(COUNT($A30)&gt;0,(L29*(1+'Cloud Consumption'!$G$8)),0)</f>
        <v>0</v>
      </c>
      <c r="M30" s="70">
        <f>IF(COUNT($A30)&gt;0,(M29*(1+'Cloud Consumption'!$H$8)),0)</f>
        <v>0</v>
      </c>
      <c r="N30" s="9">
        <f>IF(COUNT($A30)&gt;0,(N29*(1+'Cloud Consumption'!$F$9)),0)</f>
        <v>0</v>
      </c>
      <c r="O30" s="9">
        <f>IF(COUNT($A30)&gt;0,(O29*(1+'Cloud Consumption'!$G$9)),0)</f>
        <v>0</v>
      </c>
      <c r="P30" s="9">
        <f>IF(COUNT($A30)&gt;0,(P29*(1+'Cloud Consumption'!$H$9)),0)</f>
        <v>0</v>
      </c>
      <c r="Q30" s="11">
        <f t="shared" si="0"/>
        <v>0</v>
      </c>
      <c r="R30" s="11">
        <f t="shared" si="1"/>
        <v>0</v>
      </c>
      <c r="S30" s="11">
        <f t="shared" si="2"/>
        <v>0</v>
      </c>
      <c r="T30" s="9">
        <f>IF(COUNT($A30)&gt;0,'Platform Overhead C '!$M$23,0)</f>
        <v>0</v>
      </c>
      <c r="U30" s="9">
        <f>IF(COUNT($A30)&gt;0,'Platform Overhead C '!$M$38,0)</f>
        <v>0</v>
      </c>
      <c r="V30" s="349">
        <f>'Custom ESPO Selection'!$D$41</f>
        <v>0</v>
      </c>
      <c r="W30" s="347">
        <f>'ESPO Calculator'!$D$67</f>
        <v>15250</v>
      </c>
      <c r="X30" s="348">
        <f>'ESPO Calculator'!$D$84</f>
        <v>49008.333333333336</v>
      </c>
      <c r="Y30" s="9">
        <f>IF('Prospective Project'!$D$23="High",'Prospective Project Calculation'!S30,IF('Prospective Project'!$D$23="Medium",'Prospective Project Calculation'!R30,'Prospective Project Calculation'!Q30))</f>
        <v>0</v>
      </c>
      <c r="Z30" s="9">
        <f>IF('Prospective Project'!$D$30="High",'Prospective Project Calculation'!P30,IF('Prospective Project'!$D$30="Medium",'Prospective Project Calculation'!O30,'Prospective Project Calculation'!N30))</f>
        <v>0</v>
      </c>
      <c r="AA30" s="9">
        <f>IF('Prospective Project'!$D$32="None",0,IF('Prospective Project'!$D$32="Gold",X30,IF('Prospective Project'!$D$32="Silver",'Prospective Project Calculation'!W30,'Prospective Project Calculation'!V30)))</f>
        <v>0</v>
      </c>
      <c r="AB30" s="9">
        <f t="shared" si="3"/>
        <v>0</v>
      </c>
      <c r="AC30" s="9"/>
      <c r="AD30" s="9"/>
    </row>
    <row r="31" spans="1:30">
      <c r="A31" s="9" t="str">
        <f>IF(ROW()&lt;='Prospective Project'!$D$20+1,A30+1,"")</f>
        <v/>
      </c>
      <c r="B31" s="70">
        <f>IF(COUNT($A31)&gt;0,(B30*(1+'Cloud Consumption'!$F$5)),0)</f>
        <v>0</v>
      </c>
      <c r="C31" s="70">
        <f>IF(COUNT($A31)&gt;0,(C30*(1+'Cloud Consumption'!$G$5)),0)</f>
        <v>0</v>
      </c>
      <c r="D31" s="70">
        <f>IF(COUNT($A31)&gt;0,(D30*(1+'Cloud Consumption'!$H$5)),0)</f>
        <v>0</v>
      </c>
      <c r="E31" s="70">
        <f>IF(COUNT($A31)&gt;0,(E30*(1+'Cloud Consumption'!$F$6)),0)</f>
        <v>0</v>
      </c>
      <c r="F31" s="70">
        <f>IF(COUNT($A31)&gt;0,(F30*(1+'Cloud Consumption'!$G$6)),0)</f>
        <v>0</v>
      </c>
      <c r="G31" s="70">
        <f>IF(COUNT($A31)&gt;0,(G30*(1+'Cloud Consumption'!$H$6)),0)</f>
        <v>0</v>
      </c>
      <c r="H31" s="70">
        <f>IF(COUNT($A31)&gt;0,(H30*(1+'Cloud Consumption'!$F$7)),0)</f>
        <v>0</v>
      </c>
      <c r="I31" s="70">
        <f>IF(COUNT($A31)&gt;0,(I30*(1+'Cloud Consumption'!$G$7)),0)</f>
        <v>0</v>
      </c>
      <c r="J31" s="70">
        <f>IF(COUNT($A31)&gt;0,(J30*(1+'Cloud Consumption'!$H$7)),0)</f>
        <v>0</v>
      </c>
      <c r="K31" s="70">
        <f>IF(COUNT($A31)&gt;0,(K30*(1+'Cloud Consumption'!$F$8)),0)</f>
        <v>0</v>
      </c>
      <c r="L31" s="70">
        <f>IF(COUNT($A31)&gt;0,(L30*(1+'Cloud Consumption'!$G$8)),0)</f>
        <v>0</v>
      </c>
      <c r="M31" s="70">
        <f>IF(COUNT($A31)&gt;0,(M30*(1+'Cloud Consumption'!$H$8)),0)</f>
        <v>0</v>
      </c>
      <c r="N31" s="9">
        <f>IF(COUNT($A31)&gt;0,(N30*(1+'Cloud Consumption'!$F$9)),0)</f>
        <v>0</v>
      </c>
      <c r="O31" s="9">
        <f>IF(COUNT($A31)&gt;0,(O30*(1+'Cloud Consumption'!$G$9)),0)</f>
        <v>0</v>
      </c>
      <c r="P31" s="9">
        <f>IF(COUNT($A31)&gt;0,(P30*(1+'Cloud Consumption'!$H$9)),0)</f>
        <v>0</v>
      </c>
      <c r="Q31" s="11">
        <f t="shared" si="0"/>
        <v>0</v>
      </c>
      <c r="R31" s="11">
        <f t="shared" si="1"/>
        <v>0</v>
      </c>
      <c r="S31" s="11">
        <f t="shared" si="2"/>
        <v>0</v>
      </c>
      <c r="T31" s="9">
        <f>IF(COUNT($A31)&gt;0,'Platform Overhead C '!$M$23,0)</f>
        <v>0</v>
      </c>
      <c r="U31" s="9">
        <f>IF(COUNT($A31)&gt;0,'Platform Overhead C '!$M$38,0)</f>
        <v>0</v>
      </c>
      <c r="V31" s="349">
        <f>'Custom ESPO Selection'!$D$41</f>
        <v>0</v>
      </c>
      <c r="W31" s="347">
        <f>'ESPO Calculator'!$D$67</f>
        <v>15250</v>
      </c>
      <c r="X31" s="348">
        <f>'ESPO Calculator'!$D$84</f>
        <v>49008.333333333336</v>
      </c>
      <c r="Y31" s="9">
        <f>IF('Prospective Project'!$D$23="High",'Prospective Project Calculation'!S31,IF('Prospective Project'!$D$23="Medium",'Prospective Project Calculation'!R31,'Prospective Project Calculation'!Q31))</f>
        <v>0</v>
      </c>
      <c r="Z31" s="9">
        <f>IF('Prospective Project'!$D$30="High",'Prospective Project Calculation'!P31,IF('Prospective Project'!$D$30="Medium",'Prospective Project Calculation'!O31,'Prospective Project Calculation'!N31))</f>
        <v>0</v>
      </c>
      <c r="AA31" s="9">
        <f>IF('Prospective Project'!$D$32="None",0,IF('Prospective Project'!$D$32="Gold",X31,IF('Prospective Project'!$D$32="Silver",'Prospective Project Calculation'!W31,'Prospective Project Calculation'!V31)))</f>
        <v>0</v>
      </c>
      <c r="AB31" s="9">
        <f t="shared" si="3"/>
        <v>0</v>
      </c>
      <c r="AC31" s="9"/>
      <c r="AD31" s="9"/>
    </row>
    <row r="32" spans="1:30">
      <c r="A32" s="9" t="str">
        <f>IF(ROW()&lt;='Prospective Project'!$D$20+1,A31+1,"")</f>
        <v/>
      </c>
      <c r="B32" s="70">
        <f>IF(COUNT($A32)&gt;0,(B31*(1+'Cloud Consumption'!$F$5)),0)</f>
        <v>0</v>
      </c>
      <c r="C32" s="70">
        <f>IF(COUNT($A32)&gt;0,(C31*(1+'Cloud Consumption'!$G$5)),0)</f>
        <v>0</v>
      </c>
      <c r="D32" s="70">
        <f>IF(COUNT($A32)&gt;0,(D31*(1+'Cloud Consumption'!$H$5)),0)</f>
        <v>0</v>
      </c>
      <c r="E32" s="70">
        <f>IF(COUNT($A32)&gt;0,(E31*(1+'Cloud Consumption'!$F$6)),0)</f>
        <v>0</v>
      </c>
      <c r="F32" s="70">
        <f>IF(COUNT($A32)&gt;0,(F31*(1+'Cloud Consumption'!$G$6)),0)</f>
        <v>0</v>
      </c>
      <c r="G32" s="70">
        <f>IF(COUNT($A32)&gt;0,(G31*(1+'Cloud Consumption'!$H$6)),0)</f>
        <v>0</v>
      </c>
      <c r="H32" s="70">
        <f>IF(COUNT($A32)&gt;0,(H31*(1+'Cloud Consumption'!$F$7)),0)</f>
        <v>0</v>
      </c>
      <c r="I32" s="70">
        <f>IF(COUNT($A32)&gt;0,(I31*(1+'Cloud Consumption'!$G$7)),0)</f>
        <v>0</v>
      </c>
      <c r="J32" s="70">
        <f>IF(COUNT($A32)&gt;0,(J31*(1+'Cloud Consumption'!$H$7)),0)</f>
        <v>0</v>
      </c>
      <c r="K32" s="70">
        <f>IF(COUNT($A32)&gt;0,(K31*(1+'Cloud Consumption'!$F$8)),0)</f>
        <v>0</v>
      </c>
      <c r="L32" s="70">
        <f>IF(COUNT($A32)&gt;0,(L31*(1+'Cloud Consumption'!$G$8)),0)</f>
        <v>0</v>
      </c>
      <c r="M32" s="70">
        <f>IF(COUNT($A32)&gt;0,(M31*(1+'Cloud Consumption'!$H$8)),0)</f>
        <v>0</v>
      </c>
      <c r="N32" s="9">
        <f>IF(COUNT($A32)&gt;0,(N31*(1+'Cloud Consumption'!$F$9)),0)</f>
        <v>0</v>
      </c>
      <c r="O32" s="9">
        <f>IF(COUNT($A32)&gt;0,(O31*(1+'Cloud Consumption'!$G$9)),0)</f>
        <v>0</v>
      </c>
      <c r="P32" s="9">
        <f>IF(COUNT($A32)&gt;0,(P31*(1+'Cloud Consumption'!$H$9)),0)</f>
        <v>0</v>
      </c>
      <c r="Q32" s="11">
        <f t="shared" si="0"/>
        <v>0</v>
      </c>
      <c r="R32" s="11">
        <f t="shared" si="1"/>
        <v>0</v>
      </c>
      <c r="S32" s="11">
        <f t="shared" si="2"/>
        <v>0</v>
      </c>
      <c r="T32" s="9">
        <f>IF(COUNT($A32)&gt;0,'Platform Overhead C '!$M$23,0)</f>
        <v>0</v>
      </c>
      <c r="U32" s="9">
        <f>IF(COUNT($A32)&gt;0,'Platform Overhead C '!$M$38,0)</f>
        <v>0</v>
      </c>
      <c r="V32" s="349">
        <f>'Custom ESPO Selection'!$D$41</f>
        <v>0</v>
      </c>
      <c r="W32" s="347">
        <f>'ESPO Calculator'!$D$67</f>
        <v>15250</v>
      </c>
      <c r="X32" s="348">
        <f>'ESPO Calculator'!$D$84</f>
        <v>49008.333333333336</v>
      </c>
      <c r="Y32" s="9">
        <f>IF('Prospective Project'!$D$23="High",'Prospective Project Calculation'!S32,IF('Prospective Project'!$D$23="Medium",'Prospective Project Calculation'!R32,'Prospective Project Calculation'!Q32))</f>
        <v>0</v>
      </c>
      <c r="Z32" s="9">
        <f>IF('Prospective Project'!$D$30="High",'Prospective Project Calculation'!P32,IF('Prospective Project'!$D$30="Medium",'Prospective Project Calculation'!O32,'Prospective Project Calculation'!N32))</f>
        <v>0</v>
      </c>
      <c r="AA32" s="9">
        <f>IF('Prospective Project'!$D$32="None",0,IF('Prospective Project'!$D$32="Gold",X32,IF('Prospective Project'!$D$32="Silver",'Prospective Project Calculation'!W32,'Prospective Project Calculation'!V32)))</f>
        <v>0</v>
      </c>
      <c r="AB32" s="9">
        <f t="shared" si="3"/>
        <v>0</v>
      </c>
      <c r="AC32" s="9"/>
      <c r="AD32" s="9"/>
    </row>
    <row r="33" spans="1:30">
      <c r="A33" s="9" t="str">
        <f>IF(ROW()&lt;='Prospective Project'!$D$20+1,A32+1,"")</f>
        <v/>
      </c>
      <c r="B33" s="70">
        <f>IF(COUNT($A33)&gt;0,(B32*(1+'Cloud Consumption'!$F$5)),0)</f>
        <v>0</v>
      </c>
      <c r="C33" s="70">
        <f>IF(COUNT($A33)&gt;0,(C32*(1+'Cloud Consumption'!$G$5)),0)</f>
        <v>0</v>
      </c>
      <c r="D33" s="70">
        <f>IF(COUNT($A33)&gt;0,(D32*(1+'Cloud Consumption'!$H$5)),0)</f>
        <v>0</v>
      </c>
      <c r="E33" s="70">
        <f>IF(COUNT($A33)&gt;0,(E32*(1+'Cloud Consumption'!$F$6)),0)</f>
        <v>0</v>
      </c>
      <c r="F33" s="70">
        <f>IF(COUNT($A33)&gt;0,(F32*(1+'Cloud Consumption'!$G$6)),0)</f>
        <v>0</v>
      </c>
      <c r="G33" s="70">
        <f>IF(COUNT($A33)&gt;0,(G32*(1+'Cloud Consumption'!$H$6)),0)</f>
        <v>0</v>
      </c>
      <c r="H33" s="70">
        <f>IF(COUNT($A33)&gt;0,(H32*(1+'Cloud Consumption'!$F$7)),0)</f>
        <v>0</v>
      </c>
      <c r="I33" s="70">
        <f>IF(COUNT($A33)&gt;0,(I32*(1+'Cloud Consumption'!$G$7)),0)</f>
        <v>0</v>
      </c>
      <c r="J33" s="70">
        <f>IF(COUNT($A33)&gt;0,(J32*(1+'Cloud Consumption'!$H$7)),0)</f>
        <v>0</v>
      </c>
      <c r="K33" s="70">
        <f>IF(COUNT($A33)&gt;0,(K32*(1+'Cloud Consumption'!$F$8)),0)</f>
        <v>0</v>
      </c>
      <c r="L33" s="70">
        <f>IF(COUNT($A33)&gt;0,(L32*(1+'Cloud Consumption'!$G$8)),0)</f>
        <v>0</v>
      </c>
      <c r="M33" s="70">
        <f>IF(COUNT($A33)&gt;0,(M32*(1+'Cloud Consumption'!$H$8)),0)</f>
        <v>0</v>
      </c>
      <c r="N33" s="9">
        <f>IF(COUNT($A33)&gt;0,(N32*(1+'Cloud Consumption'!$F$9)),0)</f>
        <v>0</v>
      </c>
      <c r="O33" s="9">
        <f>IF(COUNT($A33)&gt;0,(O32*(1+'Cloud Consumption'!$G$9)),0)</f>
        <v>0</v>
      </c>
      <c r="P33" s="9">
        <f>IF(COUNT($A33)&gt;0,(P32*(1+'Cloud Consumption'!$H$9)),0)</f>
        <v>0</v>
      </c>
      <c r="Q33" s="11">
        <f t="shared" si="0"/>
        <v>0</v>
      </c>
      <c r="R33" s="11">
        <f t="shared" si="1"/>
        <v>0</v>
      </c>
      <c r="S33" s="11">
        <f t="shared" si="2"/>
        <v>0</v>
      </c>
      <c r="T33" s="9">
        <f>IF(COUNT($A33)&gt;0,'Platform Overhead C '!$M$23,0)</f>
        <v>0</v>
      </c>
      <c r="U33" s="9">
        <f>IF(COUNT($A33)&gt;0,'Platform Overhead C '!$M$38,0)</f>
        <v>0</v>
      </c>
      <c r="V33" s="349">
        <f>'Custom ESPO Selection'!$D$41</f>
        <v>0</v>
      </c>
      <c r="W33" s="347">
        <f>'ESPO Calculator'!$D$67</f>
        <v>15250</v>
      </c>
      <c r="X33" s="348">
        <f>'ESPO Calculator'!$D$84</f>
        <v>49008.333333333336</v>
      </c>
      <c r="Y33" s="9">
        <f>IF('Prospective Project'!$D$23="High",'Prospective Project Calculation'!S33,IF('Prospective Project'!$D$23="Medium",'Prospective Project Calculation'!R33,'Prospective Project Calculation'!Q33))</f>
        <v>0</v>
      </c>
      <c r="Z33" s="9">
        <f>IF('Prospective Project'!$D$30="High",'Prospective Project Calculation'!P33,IF('Prospective Project'!$D$30="Medium",'Prospective Project Calculation'!O33,'Prospective Project Calculation'!N33))</f>
        <v>0</v>
      </c>
      <c r="AA33" s="9">
        <f>IF('Prospective Project'!$D$32="None",0,IF('Prospective Project'!$D$32="Gold",X33,IF('Prospective Project'!$D$32="Silver",'Prospective Project Calculation'!W33,'Prospective Project Calculation'!V33)))</f>
        <v>0</v>
      </c>
      <c r="AB33" s="9">
        <f t="shared" si="3"/>
        <v>0</v>
      </c>
      <c r="AC33" s="9"/>
      <c r="AD33" s="9"/>
    </row>
    <row r="34" spans="1:30">
      <c r="A34" s="9" t="str">
        <f>IF(ROW()&lt;='Prospective Project'!$D$20+1,A33+1,"")</f>
        <v/>
      </c>
      <c r="B34" s="70">
        <f>IF(COUNT($A34)&gt;0,(B33*(1+'Cloud Consumption'!$F$5)),0)</f>
        <v>0</v>
      </c>
      <c r="C34" s="70">
        <f>IF(COUNT($A34)&gt;0,(C33*(1+'Cloud Consumption'!$G$5)),0)</f>
        <v>0</v>
      </c>
      <c r="D34" s="70">
        <f>IF(COUNT($A34)&gt;0,(D33*(1+'Cloud Consumption'!$H$5)),0)</f>
        <v>0</v>
      </c>
      <c r="E34" s="70">
        <f>IF(COUNT($A34)&gt;0,(E33*(1+'Cloud Consumption'!$F$6)),0)</f>
        <v>0</v>
      </c>
      <c r="F34" s="70">
        <f>IF(COUNT($A34)&gt;0,(F33*(1+'Cloud Consumption'!$G$6)),0)</f>
        <v>0</v>
      </c>
      <c r="G34" s="70">
        <f>IF(COUNT($A34)&gt;0,(G33*(1+'Cloud Consumption'!$H$6)),0)</f>
        <v>0</v>
      </c>
      <c r="H34" s="70">
        <f>IF(COUNT($A34)&gt;0,(H33*(1+'Cloud Consumption'!$F$7)),0)</f>
        <v>0</v>
      </c>
      <c r="I34" s="70">
        <f>IF(COUNT($A34)&gt;0,(I33*(1+'Cloud Consumption'!$G$7)),0)</f>
        <v>0</v>
      </c>
      <c r="J34" s="70">
        <f>IF(COUNT($A34)&gt;0,(J33*(1+'Cloud Consumption'!$H$7)),0)</f>
        <v>0</v>
      </c>
      <c r="K34" s="70">
        <f>IF(COUNT($A34)&gt;0,(K33*(1+'Cloud Consumption'!$F$8)),0)</f>
        <v>0</v>
      </c>
      <c r="L34" s="70">
        <f>IF(COUNT($A34)&gt;0,(L33*(1+'Cloud Consumption'!$G$8)),0)</f>
        <v>0</v>
      </c>
      <c r="M34" s="70">
        <f>IF(COUNT($A34)&gt;0,(M33*(1+'Cloud Consumption'!$H$8)),0)</f>
        <v>0</v>
      </c>
      <c r="N34" s="9">
        <f>IF(COUNT($A34)&gt;0,(N33*(1+'Cloud Consumption'!$F$9)),0)</f>
        <v>0</v>
      </c>
      <c r="O34" s="9">
        <f>IF(COUNT($A34)&gt;0,(O33*(1+'Cloud Consumption'!$G$9)),0)</f>
        <v>0</v>
      </c>
      <c r="P34" s="9">
        <f>IF(COUNT($A34)&gt;0,(P33*(1+'Cloud Consumption'!$H$9)),0)</f>
        <v>0</v>
      </c>
      <c r="Q34" s="11">
        <f t="shared" si="0"/>
        <v>0</v>
      </c>
      <c r="R34" s="11">
        <f t="shared" si="1"/>
        <v>0</v>
      </c>
      <c r="S34" s="11">
        <f t="shared" si="2"/>
        <v>0</v>
      </c>
      <c r="T34" s="9">
        <f>IF(COUNT($A34)&gt;0,'Platform Overhead C '!$M$23,0)</f>
        <v>0</v>
      </c>
      <c r="U34" s="9">
        <f>IF(COUNT($A34)&gt;0,'Platform Overhead C '!$M$38,0)</f>
        <v>0</v>
      </c>
      <c r="V34" s="349">
        <f>'Custom ESPO Selection'!$D$41</f>
        <v>0</v>
      </c>
      <c r="W34" s="347">
        <f>'ESPO Calculator'!$D$67</f>
        <v>15250</v>
      </c>
      <c r="X34" s="348">
        <f>'ESPO Calculator'!$D$84</f>
        <v>49008.333333333336</v>
      </c>
      <c r="Y34" s="9">
        <f>IF('Prospective Project'!$D$23="High",'Prospective Project Calculation'!S34,IF('Prospective Project'!$D$23="Medium",'Prospective Project Calculation'!R34,'Prospective Project Calculation'!Q34))</f>
        <v>0</v>
      </c>
      <c r="Z34" s="9">
        <f>IF('Prospective Project'!$D$30="High",'Prospective Project Calculation'!P34,IF('Prospective Project'!$D$30="Medium",'Prospective Project Calculation'!O34,'Prospective Project Calculation'!N34))</f>
        <v>0</v>
      </c>
      <c r="AA34" s="9">
        <f>IF('Prospective Project'!$D$32="None",0,IF('Prospective Project'!$D$32="Gold",X34,IF('Prospective Project'!$D$32="Silver",'Prospective Project Calculation'!W34,'Prospective Project Calculation'!V34)))</f>
        <v>0</v>
      </c>
      <c r="AB34" s="9">
        <f t="shared" si="3"/>
        <v>0</v>
      </c>
      <c r="AC34" s="9"/>
      <c r="AD34" s="9"/>
    </row>
    <row r="35" spans="1:30">
      <c r="A35" s="9" t="str">
        <f>IF(ROW()&lt;='Prospective Project'!$D$20+1,A34+1,"")</f>
        <v/>
      </c>
      <c r="B35" s="70">
        <f>IF(COUNT($A35)&gt;0,(B34*(1+'Cloud Consumption'!$F$5)),0)</f>
        <v>0</v>
      </c>
      <c r="C35" s="70">
        <f>IF(COUNT($A35)&gt;0,(C34*(1+'Cloud Consumption'!$G$5)),0)</f>
        <v>0</v>
      </c>
      <c r="D35" s="70">
        <f>IF(COUNT($A35)&gt;0,(D34*(1+'Cloud Consumption'!$H$5)),0)</f>
        <v>0</v>
      </c>
      <c r="E35" s="70">
        <f>IF(COUNT($A35)&gt;0,(E34*(1+'Cloud Consumption'!$F$6)),0)</f>
        <v>0</v>
      </c>
      <c r="F35" s="70">
        <f>IF(COUNT($A35)&gt;0,(F34*(1+'Cloud Consumption'!$G$6)),0)</f>
        <v>0</v>
      </c>
      <c r="G35" s="70">
        <f>IF(COUNT($A35)&gt;0,(G34*(1+'Cloud Consumption'!$H$6)),0)</f>
        <v>0</v>
      </c>
      <c r="H35" s="70">
        <f>IF(COUNT($A35)&gt;0,(H34*(1+'Cloud Consumption'!$F$7)),0)</f>
        <v>0</v>
      </c>
      <c r="I35" s="70">
        <f>IF(COUNT($A35)&gt;0,(I34*(1+'Cloud Consumption'!$G$7)),0)</f>
        <v>0</v>
      </c>
      <c r="J35" s="70">
        <f>IF(COUNT($A35)&gt;0,(J34*(1+'Cloud Consumption'!$H$7)),0)</f>
        <v>0</v>
      </c>
      <c r="K35" s="70">
        <f>IF(COUNT($A35)&gt;0,(K34*(1+'Cloud Consumption'!$F$8)),0)</f>
        <v>0</v>
      </c>
      <c r="L35" s="70">
        <f>IF(COUNT($A35)&gt;0,(L34*(1+'Cloud Consumption'!$G$8)),0)</f>
        <v>0</v>
      </c>
      <c r="M35" s="70">
        <f>IF(COUNT($A35)&gt;0,(M34*(1+'Cloud Consumption'!$H$8)),0)</f>
        <v>0</v>
      </c>
      <c r="N35" s="9">
        <f>IF(COUNT($A35)&gt;0,(N34*(1+'Cloud Consumption'!$F$9)),0)</f>
        <v>0</v>
      </c>
      <c r="O35" s="9">
        <f>IF(COUNT($A35)&gt;0,(O34*(1+'Cloud Consumption'!$G$9)),0)</f>
        <v>0</v>
      </c>
      <c r="P35" s="9">
        <f>IF(COUNT($A35)&gt;0,(P34*(1+'Cloud Consumption'!$H$9)),0)</f>
        <v>0</v>
      </c>
      <c r="Q35" s="11">
        <f t="shared" si="0"/>
        <v>0</v>
      </c>
      <c r="R35" s="11">
        <f t="shared" si="1"/>
        <v>0</v>
      </c>
      <c r="S35" s="11">
        <f t="shared" si="2"/>
        <v>0</v>
      </c>
      <c r="T35" s="9">
        <f>IF(COUNT($A35)&gt;0,'Platform Overhead C '!$M$23,0)</f>
        <v>0</v>
      </c>
      <c r="U35" s="9">
        <f>IF(COUNT($A35)&gt;0,'Platform Overhead C '!$M$38,0)</f>
        <v>0</v>
      </c>
      <c r="V35" s="349">
        <f>'Custom ESPO Selection'!$D$41</f>
        <v>0</v>
      </c>
      <c r="W35" s="347">
        <f>'ESPO Calculator'!$D$67</f>
        <v>15250</v>
      </c>
      <c r="X35" s="348">
        <f>'ESPO Calculator'!$D$84</f>
        <v>49008.333333333336</v>
      </c>
      <c r="Y35" s="9">
        <f>IF('Prospective Project'!$D$23="High",'Prospective Project Calculation'!S35,IF('Prospective Project'!$D$23="Medium",'Prospective Project Calculation'!R35,'Prospective Project Calculation'!Q35))</f>
        <v>0</v>
      </c>
      <c r="Z35" s="9">
        <f>IF('Prospective Project'!$D$30="High",'Prospective Project Calculation'!P35,IF('Prospective Project'!$D$30="Medium",'Prospective Project Calculation'!O35,'Prospective Project Calculation'!N35))</f>
        <v>0</v>
      </c>
      <c r="AA35" s="9">
        <f>IF('Prospective Project'!$D$32="None",0,IF('Prospective Project'!$D$32="Gold",X35,IF('Prospective Project'!$D$32="Silver",'Prospective Project Calculation'!W35,'Prospective Project Calculation'!V35)))</f>
        <v>0</v>
      </c>
      <c r="AB35" s="9">
        <f t="shared" si="3"/>
        <v>0</v>
      </c>
      <c r="AC35" s="9"/>
      <c r="AD35" s="9"/>
    </row>
    <row r="36" spans="1:30">
      <c r="A36" s="9" t="str">
        <f>IF(ROW()&lt;='Prospective Project'!$D$20+1,A35+1,"")</f>
        <v/>
      </c>
      <c r="B36" s="70">
        <f>IF(COUNT($A36)&gt;0,(B35*(1+'Cloud Consumption'!$F$5)),0)</f>
        <v>0</v>
      </c>
      <c r="C36" s="70">
        <f>IF(COUNT($A36)&gt;0,(C35*(1+'Cloud Consumption'!$G$5)),0)</f>
        <v>0</v>
      </c>
      <c r="D36" s="70">
        <f>IF(COUNT($A36)&gt;0,(D35*(1+'Cloud Consumption'!$H$5)),0)</f>
        <v>0</v>
      </c>
      <c r="E36" s="70">
        <f>IF(COUNT($A36)&gt;0,(E35*(1+'Cloud Consumption'!$F$6)),0)</f>
        <v>0</v>
      </c>
      <c r="F36" s="70">
        <f>IF(COUNT($A36)&gt;0,(F35*(1+'Cloud Consumption'!$G$6)),0)</f>
        <v>0</v>
      </c>
      <c r="G36" s="70">
        <f>IF(COUNT($A36)&gt;0,(G35*(1+'Cloud Consumption'!$H$6)),0)</f>
        <v>0</v>
      </c>
      <c r="H36" s="70">
        <f>IF(COUNT($A36)&gt;0,(H35*(1+'Cloud Consumption'!$F$7)),0)</f>
        <v>0</v>
      </c>
      <c r="I36" s="70">
        <f>IF(COUNT($A36)&gt;0,(I35*(1+'Cloud Consumption'!$G$7)),0)</f>
        <v>0</v>
      </c>
      <c r="J36" s="70">
        <f>IF(COUNT($A36)&gt;0,(J35*(1+'Cloud Consumption'!$H$7)),0)</f>
        <v>0</v>
      </c>
      <c r="K36" s="70">
        <f>IF(COUNT($A36)&gt;0,(K35*(1+'Cloud Consumption'!$F$8)),0)</f>
        <v>0</v>
      </c>
      <c r="L36" s="70">
        <f>IF(COUNT($A36)&gt;0,(L35*(1+'Cloud Consumption'!$G$8)),0)</f>
        <v>0</v>
      </c>
      <c r="M36" s="70">
        <f>IF(COUNT($A36)&gt;0,(M35*(1+'Cloud Consumption'!$H$8)),0)</f>
        <v>0</v>
      </c>
      <c r="N36" s="9">
        <f>IF(COUNT($A36)&gt;0,(N35*(1+'Cloud Consumption'!$F$9)),0)</f>
        <v>0</v>
      </c>
      <c r="O36" s="9">
        <f>IF(COUNT($A36)&gt;0,(O35*(1+'Cloud Consumption'!$G$9)),0)</f>
        <v>0</v>
      </c>
      <c r="P36" s="9">
        <f>IF(COUNT($A36)&gt;0,(P35*(1+'Cloud Consumption'!$H$9)),0)</f>
        <v>0</v>
      </c>
      <c r="Q36" s="11">
        <f t="shared" si="0"/>
        <v>0</v>
      </c>
      <c r="R36" s="11">
        <f t="shared" si="1"/>
        <v>0</v>
      </c>
      <c r="S36" s="11">
        <f t="shared" si="2"/>
        <v>0</v>
      </c>
      <c r="T36" s="9">
        <f>IF(COUNT($A36)&gt;0,'Platform Overhead C '!$M$23,0)</f>
        <v>0</v>
      </c>
      <c r="U36" s="9">
        <f>IF(COUNT($A36)&gt;0,'Platform Overhead C '!$M$38,0)</f>
        <v>0</v>
      </c>
      <c r="V36" s="349">
        <f>'Custom ESPO Selection'!$D$41</f>
        <v>0</v>
      </c>
      <c r="W36" s="347">
        <f>'ESPO Calculator'!$D$67</f>
        <v>15250</v>
      </c>
      <c r="X36" s="348">
        <f>'ESPO Calculator'!$D$84</f>
        <v>49008.333333333336</v>
      </c>
      <c r="Y36" s="9">
        <f>IF('Prospective Project'!$D$23="High",'Prospective Project Calculation'!S36,IF('Prospective Project'!$D$23="Medium",'Prospective Project Calculation'!R36,'Prospective Project Calculation'!Q36))</f>
        <v>0</v>
      </c>
      <c r="Z36" s="9">
        <f>IF('Prospective Project'!$D$30="High",'Prospective Project Calculation'!P36,IF('Prospective Project'!$D$30="Medium",'Prospective Project Calculation'!O36,'Prospective Project Calculation'!N36))</f>
        <v>0</v>
      </c>
      <c r="AA36" s="9">
        <f>IF('Prospective Project'!$D$32="None",0,IF('Prospective Project'!$D$32="Gold",X36,IF('Prospective Project'!$D$32="Silver",'Prospective Project Calculation'!W36,'Prospective Project Calculation'!V36)))</f>
        <v>0</v>
      </c>
      <c r="AB36" s="9">
        <f t="shared" si="3"/>
        <v>0</v>
      </c>
      <c r="AC36" s="9"/>
      <c r="AD36" s="9"/>
    </row>
    <row r="37" spans="1:30">
      <c r="A37" s="9" t="str">
        <f>IF(ROW()&lt;='Prospective Project'!$D$20+1,A36+1,"")</f>
        <v/>
      </c>
      <c r="B37" s="70">
        <f>IF(COUNT($A37)&gt;0,(B36*(1+'Cloud Consumption'!$F$5)),0)</f>
        <v>0</v>
      </c>
      <c r="C37" s="70">
        <f>IF(COUNT($A37)&gt;0,(C36*(1+'Cloud Consumption'!$G$5)),0)</f>
        <v>0</v>
      </c>
      <c r="D37" s="70">
        <f>IF(COUNT($A37)&gt;0,(D36*(1+'Cloud Consumption'!$H$5)),0)</f>
        <v>0</v>
      </c>
      <c r="E37" s="70">
        <f>IF(COUNT($A37)&gt;0,(E36*(1+'Cloud Consumption'!$F$6)),0)</f>
        <v>0</v>
      </c>
      <c r="F37" s="70">
        <f>IF(COUNT($A37)&gt;0,(F36*(1+'Cloud Consumption'!$G$6)),0)</f>
        <v>0</v>
      </c>
      <c r="G37" s="70">
        <f>IF(COUNT($A37)&gt;0,(G36*(1+'Cloud Consumption'!$H$6)),0)</f>
        <v>0</v>
      </c>
      <c r="H37" s="70">
        <f>IF(COUNT($A37)&gt;0,(H36*(1+'Cloud Consumption'!$F$7)),0)</f>
        <v>0</v>
      </c>
      <c r="I37" s="70">
        <f>IF(COUNT($A37)&gt;0,(I36*(1+'Cloud Consumption'!$G$7)),0)</f>
        <v>0</v>
      </c>
      <c r="J37" s="70">
        <f>IF(COUNT($A37)&gt;0,(J36*(1+'Cloud Consumption'!$H$7)),0)</f>
        <v>0</v>
      </c>
      <c r="K37" s="70">
        <f>IF(COUNT($A37)&gt;0,(K36*(1+'Cloud Consumption'!$F$8)),0)</f>
        <v>0</v>
      </c>
      <c r="L37" s="70">
        <f>IF(COUNT($A37)&gt;0,(L36*(1+'Cloud Consumption'!$G$8)),0)</f>
        <v>0</v>
      </c>
      <c r="M37" s="70">
        <f>IF(COUNT($A37)&gt;0,(M36*(1+'Cloud Consumption'!$H$8)),0)</f>
        <v>0</v>
      </c>
      <c r="N37" s="9">
        <f>IF(COUNT($A37)&gt;0,(N36*(1+'Cloud Consumption'!$F$9)),0)</f>
        <v>0</v>
      </c>
      <c r="O37" s="9">
        <f>IF(COUNT($A37)&gt;0,(O36*(1+'Cloud Consumption'!$G$9)),0)</f>
        <v>0</v>
      </c>
      <c r="P37" s="9">
        <f>IF(COUNT($A37)&gt;0,(P36*(1+'Cloud Consumption'!$H$9)),0)</f>
        <v>0</v>
      </c>
      <c r="Q37" s="11">
        <f t="shared" ref="Q37" si="4">B37+E37+H37</f>
        <v>0</v>
      </c>
      <c r="R37" s="11">
        <f t="shared" ref="R37" si="5">C37+F37+I37</f>
        <v>0</v>
      </c>
      <c r="S37" s="11">
        <f t="shared" ref="S37" si="6">D37+G37+M37</f>
        <v>0</v>
      </c>
      <c r="T37" s="9">
        <f>IF(COUNT($A37)&gt;0,'Platform Overhead C '!$M$23,0)</f>
        <v>0</v>
      </c>
      <c r="U37" s="9">
        <f>IF(COUNT($A37)&gt;0,'Platform Overhead C '!$M$38,0)</f>
        <v>0</v>
      </c>
      <c r="V37" s="349">
        <f>'Custom ESPO Selection'!$D$41</f>
        <v>0</v>
      </c>
      <c r="W37" s="347">
        <f>'ESPO Calculator'!$D$67</f>
        <v>15250</v>
      </c>
      <c r="X37" s="348">
        <f>'ESPO Calculator'!$D$84</f>
        <v>49008.333333333336</v>
      </c>
      <c r="Y37" s="9">
        <f>IF('Prospective Project'!$D$23="High",'Prospective Project Calculation'!S37,IF('Prospective Project'!$D$23="Medium",'Prospective Project Calculation'!R37,'Prospective Project Calculation'!Q37))</f>
        <v>0</v>
      </c>
      <c r="Z37" s="9">
        <f>IF('Prospective Project'!$D$30="High",'Prospective Project Calculation'!P37,IF('Prospective Project'!$D$30="Medium",'Prospective Project Calculation'!O37,'Prospective Project Calculation'!N37))</f>
        <v>0</v>
      </c>
      <c r="AA37" s="9">
        <f>IF('Prospective Project'!$D$32="None",0,IF('Prospective Project'!$D$32="Gold",X37,IF('Prospective Project'!$D$32="Silver",'Prospective Project Calculation'!W37,'Prospective Project Calculation'!V37)))</f>
        <v>0</v>
      </c>
      <c r="AB37" s="9">
        <f t="shared" ref="AB37" si="7">SUM(Y37:AA37)</f>
        <v>0</v>
      </c>
      <c r="AC37" s="9"/>
      <c r="AD37" s="9"/>
    </row>
    <row r="38" spans="1:30">
      <c r="A38" t="s">
        <v>40</v>
      </c>
      <c r="R38" s="72">
        <f t="shared" ref="R38:AB38" si="8">SUM(R2:R37)</f>
        <v>10163.345272686263</v>
      </c>
      <c r="S38" s="72">
        <f t="shared" si="8"/>
        <v>27539.673839272058</v>
      </c>
      <c r="T38" s="56">
        <f t="shared" si="8"/>
        <v>71904.133333333317</v>
      </c>
      <c r="U38" s="56">
        <f t="shared" si="8"/>
        <v>12020.576888888892</v>
      </c>
      <c r="V38" s="376">
        <f t="shared" si="8"/>
        <v>0</v>
      </c>
      <c r="W38" s="377">
        <f t="shared" si="8"/>
        <v>627000</v>
      </c>
      <c r="X38" s="378">
        <f t="shared" si="8"/>
        <v>1896199.9999999988</v>
      </c>
      <c r="Y38" s="56">
        <f t="shared" si="8"/>
        <v>27539.673839272058</v>
      </c>
      <c r="Z38" s="56">
        <f t="shared" si="8"/>
        <v>1310.42699481714</v>
      </c>
      <c r="AA38" s="56">
        <f t="shared" si="8"/>
        <v>0</v>
      </c>
      <c r="AB38" s="56">
        <f t="shared" si="8"/>
        <v>28850.100834089197</v>
      </c>
      <c r="AD38">
        <f>SUM(AD2:AD37)</f>
        <v>0</v>
      </c>
    </row>
    <row r="41" spans="1:30" ht="14.65" thickBot="1">
      <c r="H41" s="65"/>
    </row>
    <row r="42" spans="1:30" ht="28.9" thickBot="1">
      <c r="A42" s="9"/>
      <c r="B42" s="422" t="s">
        <v>185</v>
      </c>
      <c r="C42" s="422" t="s">
        <v>12</v>
      </c>
      <c r="D42" s="422" t="s">
        <v>252</v>
      </c>
      <c r="E42" s="423" t="s">
        <v>253</v>
      </c>
      <c r="F42" s="424" t="s">
        <v>582</v>
      </c>
      <c r="G42" s="425" t="s">
        <v>588</v>
      </c>
      <c r="H42" s="429" t="s">
        <v>590</v>
      </c>
      <c r="I42" s="426" t="s">
        <v>12</v>
      </c>
      <c r="J42" s="427" t="s">
        <v>574</v>
      </c>
      <c r="K42" s="428" t="s">
        <v>589</v>
      </c>
      <c r="L42" s="430" t="s">
        <v>591</v>
      </c>
    </row>
    <row r="43" spans="1:30">
      <c r="A43" s="9" t="s">
        <v>181</v>
      </c>
      <c r="B43" s="70">
        <f>'Platform Overhead C '!M36</f>
        <v>169.03936250000001</v>
      </c>
      <c r="C43" s="70">
        <f>'Platform Overhead C '!M21</f>
        <v>1348.2025000000001</v>
      </c>
      <c r="D43" s="70"/>
      <c r="E43" s="379"/>
      <c r="F43" s="411">
        <f>IF('Prospective Project'!$D$32="Gold", SUM(X2:X3), IF('Prospective Project'!$D$32="Silver",SUM(W2:W3), IF('Prospective Project'!$D$32="Custom",SUM(V2:V3), 0)))</f>
        <v>0</v>
      </c>
      <c r="G43" s="414">
        <v>0</v>
      </c>
      <c r="H43" s="431">
        <f>F43+G43</f>
        <v>0</v>
      </c>
      <c r="I43" s="412">
        <f>B43+C43</f>
        <v>1517.2418625</v>
      </c>
      <c r="J43" s="413">
        <f>'ESPO Calculator'!B37</f>
        <v>8000</v>
      </c>
      <c r="K43" s="421" t="s">
        <v>579</v>
      </c>
      <c r="L43" s="434">
        <f>I43+J43</f>
        <v>9517.2418624999991</v>
      </c>
    </row>
    <row r="44" spans="1:30">
      <c r="A44" s="9" t="s">
        <v>182</v>
      </c>
      <c r="B44" s="70">
        <f>'Platform Overhead C '!M37</f>
        <v>1014.2361749999999</v>
      </c>
      <c r="C44" s="70">
        <f>'Platform Overhead C '!M22</f>
        <v>16178.429999999998</v>
      </c>
      <c r="D44" s="70"/>
      <c r="E44" s="379"/>
      <c r="F44" s="381">
        <f>IF('Prospective Project'!$D$32="Gold",SUM(X4:X5), IF('Prospective Project'!$D$32="Silver",SUM(W4:W5),IF('Prospective Project'!$D$32="Custom",SUM(V4:V5),0)))</f>
        <v>0</v>
      </c>
      <c r="G44" s="415">
        <v>0</v>
      </c>
      <c r="H44" s="432">
        <f t="shared" ref="H44:H46" si="9">F44+G44</f>
        <v>0</v>
      </c>
      <c r="I44" s="380">
        <f>B44+C44</f>
        <v>17192.666174999998</v>
      </c>
      <c r="J44" s="345">
        <f>'ESPO Calculator'!B38</f>
        <v>29000</v>
      </c>
      <c r="K44" s="403" t="s">
        <v>579</v>
      </c>
      <c r="L44" s="435">
        <f>I44+J44</f>
        <v>46192.666174999998</v>
      </c>
    </row>
    <row r="45" spans="1:30">
      <c r="A45" s="9" t="s">
        <v>251</v>
      </c>
      <c r="B45" s="70">
        <f>U38</f>
        <v>12020.576888888892</v>
      </c>
      <c r="C45" s="70">
        <f>T38</f>
        <v>71904.133333333317</v>
      </c>
      <c r="D45" s="70">
        <f>Y38</f>
        <v>27539.673839272058</v>
      </c>
      <c r="E45" s="379">
        <f>Z38</f>
        <v>1310.42699481714</v>
      </c>
      <c r="F45" s="381">
        <f>IF('Prospective Project'!$D$32="Gold",SUM(X6:X12), IF('Prospective Project'!$D$32="Silver",SUM(W6:W12),IF('Prospective Project'!$D$32="Custom",SUM(V6:V12),0)))</f>
        <v>0</v>
      </c>
      <c r="G45" s="416">
        <f>IF('Prospective Project'!$D$32="Gold",('ESPO Calculator'!D84*('Prospective Project'!D16-12)), IF('Prospective Project'!$D$32="Silver",('ESPO Calculator'!D67*('Prospective Project'!D16-12)),IF('Prospective Project'!$D$32="Custom",('Custom ESPO Selection'!I41*('Prospective Project'!D16-12)),0)))</f>
        <v>0</v>
      </c>
      <c r="H45" s="432">
        <f t="shared" si="9"/>
        <v>0</v>
      </c>
      <c r="I45" s="380">
        <f>B45+C45</f>
        <v>83924.710222222202</v>
      </c>
      <c r="J45" s="345">
        <f>'ESPO Calculator'!B39</f>
        <v>26000</v>
      </c>
      <c r="K45" s="346">
        <f>('ESPO Calculator'!D48*('Prospective Project'!D16-12))</f>
        <v>6500</v>
      </c>
      <c r="L45" s="435">
        <f>I45+J45+K45</f>
        <v>116424.7102222222</v>
      </c>
    </row>
    <row r="46" spans="1:30" ht="14.65" thickBot="1">
      <c r="A46" s="9" t="s">
        <v>183</v>
      </c>
      <c r="B46" s="70">
        <f>'Platform Overhead C '!M39</f>
        <v>676.15745000000004</v>
      </c>
      <c r="C46" s="70">
        <f>'Platform Overhead C '!M24</f>
        <v>5392.81</v>
      </c>
      <c r="D46" s="70"/>
      <c r="E46" s="379"/>
      <c r="F46" s="382">
        <f>IF('Prospective Project'!$D$32="Gold",SUM(X13), IF('Prospective Project'!$D$32="Silver",SUM(W13),IF('Prospective Project'!$D$32="Custom",SUM(V13),0)))</f>
        <v>0</v>
      </c>
      <c r="G46" s="417">
        <v>0</v>
      </c>
      <c r="H46" s="433">
        <f t="shared" si="9"/>
        <v>0</v>
      </c>
      <c r="I46" s="409">
        <f>B46+C46</f>
        <v>6068.9674500000001</v>
      </c>
      <c r="J46" s="410">
        <f>'ESPO Calculator'!B40</f>
        <v>0</v>
      </c>
      <c r="K46" s="404" t="s">
        <v>579</v>
      </c>
      <c r="L46" s="436">
        <f>I46+J46</f>
        <v>6068.9674500000001</v>
      </c>
    </row>
    <row r="47" spans="1:30">
      <c r="H47" s="65"/>
    </row>
    <row r="48" spans="1:30">
      <c r="H48" s="65"/>
    </row>
    <row r="49" spans="1:20">
      <c r="A49" t="s">
        <v>255</v>
      </c>
      <c r="B49" t="s">
        <v>256</v>
      </c>
    </row>
    <row r="50" spans="1:20">
      <c r="A50">
        <f ca="1">IF(A2&gt;0,A2,IF((CELL(A2)=NULL),NA(),NA()))</f>
        <v>1</v>
      </c>
      <c r="B50" s="73">
        <f t="shared" ref="B50:B84" si="10">IF(Y2+Z2&gt;0,Y2+Z2,NA())</f>
        <v>2181.5933333333332</v>
      </c>
    </row>
    <row r="51" spans="1:20">
      <c r="A51">
        <f ca="1">IF(A3&gt;0,A3,IF((CELL(A3)=NULL),NA(),NA()))</f>
        <v>2</v>
      </c>
      <c r="B51" s="73">
        <f t="shared" si="10"/>
        <v>2308.8328666666671</v>
      </c>
    </row>
    <row r="52" spans="1:20">
      <c r="A52">
        <f ca="1">IF(A4&gt;0,A4,IF((CELL(A4)=NULL),NA(),NA()))</f>
        <v>3</v>
      </c>
      <c r="B52" s="73">
        <f t="shared" si="10"/>
        <v>2445.4110753333334</v>
      </c>
    </row>
    <row r="53" spans="1:20">
      <c r="A53">
        <f ca="1">IF(A5&gt;0,A5,IF((CELL(A5)=NULL),NA(),NA()))</f>
        <v>4</v>
      </c>
      <c r="B53" s="73">
        <f t="shared" si="10"/>
        <v>2592.1254640866669</v>
      </c>
    </row>
    <row r="54" spans="1:20">
      <c r="A54">
        <f ca="1">IF(A6&gt;0,A6,IF((CELL(A6)=NULL),NA(),NA()))</f>
        <v>5</v>
      </c>
      <c r="B54" s="73">
        <f t="shared" si="10"/>
        <v>2749.8476507875334</v>
      </c>
    </row>
    <row r="55" spans="1:20">
      <c r="A55">
        <f ca="1">IF(A7&gt;0,A7,IF((CELL(A7)=NULL),NA(),NA()))</f>
        <v>6</v>
      </c>
      <c r="B55" s="73">
        <f t="shared" si="10"/>
        <v>2919.5305417248092</v>
      </c>
    </row>
    <row r="56" spans="1:20">
      <c r="A56">
        <f ca="1">IF(A8&gt;0,A8,IF((CELL(A8)=NULL),NA(),NA()))</f>
        <v>7</v>
      </c>
      <c r="B56" s="73">
        <f t="shared" si="10"/>
        <v>3102.216214489983</v>
      </c>
    </row>
    <row r="57" spans="1:20">
      <c r="A57">
        <f ca="1">IF(A9&gt;0,A9,IF((CELL(A9)=NULL),NA(),NA()))</f>
        <v>8</v>
      </c>
      <c r="B57" s="73">
        <f t="shared" si="10"/>
        <v>3299.0445787351437</v>
      </c>
    </row>
    <row r="58" spans="1:20">
      <c r="A58">
        <f ca="1">IF(A10&gt;0,A10,IF((CELL(A10)=NULL),NA(),NA()))</f>
        <v>9</v>
      </c>
      <c r="B58" s="73">
        <f t="shared" si="10"/>
        <v>3511.2628921581049</v>
      </c>
    </row>
    <row r="59" spans="1:20">
      <c r="A59">
        <f ca="1">IF(A11&gt;0,A11,IF((CELL(A11)=NULL),NA(),NA()))</f>
        <v>10</v>
      </c>
      <c r="B59" s="73">
        <f t="shared" si="10"/>
        <v>3740.2362167736246</v>
      </c>
      <c r="T59" t="str">
        <f>IF(COUNT(A15)&gt;0,A15,"")</f>
        <v/>
      </c>
    </row>
    <row r="60" spans="1:20">
      <c r="A60" t="str">
        <f ca="1">IF(A12&gt;0,A12,IF((CELL(A12)=NULL),NA(),NA()))</f>
        <v/>
      </c>
      <c r="B60" s="73" t="e">
        <f t="shared" si="10"/>
        <v>#N/A</v>
      </c>
    </row>
    <row r="61" spans="1:20">
      <c r="A61" t="str">
        <f ca="1">IF(A13&gt;0,A13,IF((CELL(A13)=NULL),NA(),NA()))</f>
        <v/>
      </c>
      <c r="B61" s="73" t="e">
        <f t="shared" si="10"/>
        <v>#N/A</v>
      </c>
    </row>
    <row r="62" spans="1:20">
      <c r="A62" t="str">
        <f ca="1">IF(A14&gt;0,A14,IF((CELL(A14)=NULL),NA(),NA()))</f>
        <v/>
      </c>
      <c r="B62" s="73" t="e">
        <f t="shared" si="10"/>
        <v>#N/A</v>
      </c>
    </row>
    <row r="63" spans="1:20">
      <c r="A63" t="str">
        <f ca="1">IF(A15&gt;0,A15,IF((CELL(A15)=NULL),NA(),NA()))</f>
        <v/>
      </c>
      <c r="B63" s="73" t="e">
        <f t="shared" si="10"/>
        <v>#N/A</v>
      </c>
    </row>
    <row r="64" spans="1:20">
      <c r="A64" t="str">
        <f ca="1">IF(A16&gt;0,A16,IF((CELL(A16)=NULL),NA(),NA()))</f>
        <v/>
      </c>
      <c r="B64" s="73" t="e">
        <f t="shared" si="10"/>
        <v>#N/A</v>
      </c>
    </row>
    <row r="65" spans="1:2">
      <c r="A65" t="str">
        <f ca="1">IF(A17&gt;0,A17,IF((CELL(A17)=NULL),NA(),NA()))</f>
        <v/>
      </c>
      <c r="B65" s="73" t="e">
        <f t="shared" si="10"/>
        <v>#N/A</v>
      </c>
    </row>
    <row r="66" spans="1:2">
      <c r="A66" t="str">
        <f ca="1">IF(A18&gt;0,A18,IF((CELL(A18)=NULL),NA(),NA()))</f>
        <v/>
      </c>
      <c r="B66" s="73" t="e">
        <f t="shared" si="10"/>
        <v>#N/A</v>
      </c>
    </row>
    <row r="67" spans="1:2">
      <c r="A67" t="str">
        <f ca="1">IF(A19&gt;0,A19,IF((CELL(A19)=NULL),NA(),NA()))</f>
        <v/>
      </c>
      <c r="B67" s="73" t="e">
        <f t="shared" si="10"/>
        <v>#N/A</v>
      </c>
    </row>
    <row r="68" spans="1:2">
      <c r="A68" t="str">
        <f ca="1">IF(A20&gt;0,A20,IF((CELL(A20)=NULL),NA(),NA()))</f>
        <v/>
      </c>
      <c r="B68" s="73" t="e">
        <f t="shared" si="10"/>
        <v>#N/A</v>
      </c>
    </row>
    <row r="69" spans="1:2">
      <c r="A69" t="str">
        <f ca="1">IF(A21&gt;0,A21,IF((CELL(A21)=NULL),NA(),NA()))</f>
        <v/>
      </c>
      <c r="B69" s="73" t="e">
        <f t="shared" si="10"/>
        <v>#N/A</v>
      </c>
    </row>
    <row r="70" spans="1:2">
      <c r="A70" t="str">
        <f ca="1">IF(A22&gt;0,A22,IF((CELL(A22)=NULL),NA(),NA()))</f>
        <v/>
      </c>
      <c r="B70" s="73" t="e">
        <f t="shared" si="10"/>
        <v>#N/A</v>
      </c>
    </row>
    <row r="71" spans="1:2">
      <c r="A71" t="str">
        <f ca="1">IF(A23&gt;0,A23,IF((CELL(A23)=NULL),NA(),NA()))</f>
        <v/>
      </c>
      <c r="B71" s="73" t="e">
        <f t="shared" si="10"/>
        <v>#N/A</v>
      </c>
    </row>
    <row r="72" spans="1:2">
      <c r="A72" t="str">
        <f ca="1">IF(A24&gt;0,A24,IF((CELL(A24)=NULL),NA(),NA()))</f>
        <v/>
      </c>
      <c r="B72" s="73" t="e">
        <f t="shared" si="10"/>
        <v>#N/A</v>
      </c>
    </row>
    <row r="73" spans="1:2">
      <c r="A73" t="str">
        <f ca="1">IF(A25&gt;0,A25,IF((CELL(A25)=NULL),NA(),NA()))</f>
        <v/>
      </c>
      <c r="B73" s="73" t="e">
        <f t="shared" si="10"/>
        <v>#N/A</v>
      </c>
    </row>
    <row r="74" spans="1:2">
      <c r="A74" t="str">
        <f ca="1">IF(A26&gt;0,A26,IF((CELL(A26)=NULL),NA(),NA()))</f>
        <v/>
      </c>
      <c r="B74" s="73" t="e">
        <f t="shared" si="10"/>
        <v>#N/A</v>
      </c>
    </row>
    <row r="75" spans="1:2">
      <c r="A75" t="str">
        <f ca="1">IF(A27&gt;0,A27,IF((CELL(A27)=NULL),NA(),NA()))</f>
        <v/>
      </c>
      <c r="B75" s="73" t="e">
        <f t="shared" si="10"/>
        <v>#N/A</v>
      </c>
    </row>
    <row r="76" spans="1:2">
      <c r="A76" t="str">
        <f ca="1">IF(A28&gt;0,A28,IF((CELL(A28)=NULL),NA(),NA()))</f>
        <v/>
      </c>
      <c r="B76" s="73" t="e">
        <f t="shared" si="10"/>
        <v>#N/A</v>
      </c>
    </row>
    <row r="77" spans="1:2">
      <c r="A77" t="str">
        <f ca="1">IF(A29&gt;0,A29,IF((CELL(A29)=NULL),NA(),NA()))</f>
        <v/>
      </c>
      <c r="B77" s="73" t="e">
        <f t="shared" si="10"/>
        <v>#N/A</v>
      </c>
    </row>
    <row r="78" spans="1:2">
      <c r="A78" t="str">
        <f ca="1">IF(A30&gt;0,A30,IF((CELL(A30)=NULL),NA(),NA()))</f>
        <v/>
      </c>
      <c r="B78" s="73" t="e">
        <f t="shared" si="10"/>
        <v>#N/A</v>
      </c>
    </row>
    <row r="79" spans="1:2">
      <c r="A79" t="str">
        <f ca="1">IF(A31&gt;0,A31,IF((CELL(A31)=NULL),NA(),NA()))</f>
        <v/>
      </c>
      <c r="B79" s="73" t="e">
        <f t="shared" si="10"/>
        <v>#N/A</v>
      </c>
    </row>
    <row r="80" spans="1:2">
      <c r="A80" t="str">
        <f ca="1">IF(A32&gt;0,A32,IF((CELL(A32)=NULL),NA(),NA()))</f>
        <v/>
      </c>
      <c r="B80" s="73" t="e">
        <f t="shared" si="10"/>
        <v>#N/A</v>
      </c>
    </row>
    <row r="81" spans="1:2">
      <c r="A81" t="str">
        <f ca="1">IF(A33&gt;0,A33,IF((CELL(A33)=NULL),NA(),NA()))</f>
        <v/>
      </c>
      <c r="B81" s="73" t="e">
        <f t="shared" si="10"/>
        <v>#N/A</v>
      </c>
    </row>
    <row r="82" spans="1:2">
      <c r="A82" t="str">
        <f ca="1">IF(A34&gt;0,A34,IF((CELL(A34)=NULL),NA(),NA()))</f>
        <v/>
      </c>
      <c r="B82" s="73" t="e">
        <f t="shared" si="10"/>
        <v>#N/A</v>
      </c>
    </row>
    <row r="83" spans="1:2">
      <c r="A83" t="str">
        <f ca="1">IF(A35&gt;0,A35,IF((CELL(A35)=NULL),NA(),NA()))</f>
        <v/>
      </c>
      <c r="B83" s="73" t="e">
        <f t="shared" si="10"/>
        <v>#N/A</v>
      </c>
    </row>
    <row r="84" spans="1:2">
      <c r="A84" t="str">
        <f ca="1">IF(A36&gt;0,A36,IF((CELL(A36)=NULL),NA(),NA()))</f>
        <v/>
      </c>
      <c r="B84" s="73" t="e">
        <f t="shared" si="10"/>
        <v>#N/A</v>
      </c>
    </row>
    <row r="85" spans="1:2">
      <c r="A85" t="str">
        <f t="shared" ref="A85:A114" si="11">A38</f>
        <v>TOTAL</v>
      </c>
    </row>
    <row r="86" spans="1:2">
      <c r="A86">
        <f t="shared" si="11"/>
        <v>0</v>
      </c>
    </row>
    <row r="87" spans="1:2">
      <c r="A87">
        <f t="shared" si="11"/>
        <v>0</v>
      </c>
    </row>
    <row r="88" spans="1:2">
      <c r="A88">
        <f t="shared" si="11"/>
        <v>0</v>
      </c>
    </row>
    <row r="89" spans="1:2">
      <c r="A89">
        <f t="shared" si="11"/>
        <v>0</v>
      </c>
    </row>
    <row r="90" spans="1:2">
      <c r="A90" t="str">
        <f t="shared" si="11"/>
        <v>Planning and Discovery Cost</v>
      </c>
    </row>
    <row r="91" spans="1:2">
      <c r="A91" t="str">
        <f t="shared" si="11"/>
        <v>Onboarding Cost</v>
      </c>
    </row>
    <row r="92" spans="1:2">
      <c r="A92" t="str">
        <f t="shared" si="11"/>
        <v>Active Cost</v>
      </c>
    </row>
    <row r="93" spans="1:2">
      <c r="A93" t="str">
        <f t="shared" si="11"/>
        <v>Export Cost</v>
      </c>
    </row>
    <row r="94" spans="1:2">
      <c r="A94">
        <f t="shared" si="11"/>
        <v>0</v>
      </c>
    </row>
    <row r="95" spans="1:2">
      <c r="A95">
        <f t="shared" si="11"/>
        <v>0</v>
      </c>
    </row>
    <row r="96" spans="1:2">
      <c r="A96" t="str">
        <f t="shared" si="11"/>
        <v>CHART</v>
      </c>
    </row>
    <row r="97" spans="1:1">
      <c r="A97">
        <f t="shared" ca="1" si="11"/>
        <v>1</v>
      </c>
    </row>
    <row r="98" spans="1:1">
      <c r="A98">
        <f t="shared" ca="1" si="11"/>
        <v>2</v>
      </c>
    </row>
    <row r="99" spans="1:1">
      <c r="A99">
        <f t="shared" ca="1" si="11"/>
        <v>3</v>
      </c>
    </row>
    <row r="100" spans="1:1">
      <c r="A100">
        <f t="shared" ca="1" si="11"/>
        <v>4</v>
      </c>
    </row>
    <row r="101" spans="1:1">
      <c r="A101">
        <f t="shared" ca="1" si="11"/>
        <v>5</v>
      </c>
    </row>
    <row r="102" spans="1:1">
      <c r="A102">
        <f t="shared" ca="1" si="11"/>
        <v>6</v>
      </c>
    </row>
    <row r="103" spans="1:1">
      <c r="A103">
        <f t="shared" ca="1" si="11"/>
        <v>7</v>
      </c>
    </row>
    <row r="104" spans="1:1">
      <c r="A104">
        <f t="shared" ca="1" si="11"/>
        <v>8</v>
      </c>
    </row>
    <row r="105" spans="1:1">
      <c r="A105">
        <f t="shared" ca="1" si="11"/>
        <v>9</v>
      </c>
    </row>
    <row r="106" spans="1:1">
      <c r="A106">
        <f t="shared" ca="1" si="11"/>
        <v>10</v>
      </c>
    </row>
    <row r="107" spans="1:1">
      <c r="A107" t="str">
        <f t="shared" ca="1" si="11"/>
        <v/>
      </c>
    </row>
    <row r="108" spans="1:1">
      <c r="A108" t="str">
        <f t="shared" ca="1" si="11"/>
        <v/>
      </c>
    </row>
    <row r="109" spans="1:1">
      <c r="A109" t="str">
        <f t="shared" ca="1" si="11"/>
        <v/>
      </c>
    </row>
    <row r="110" spans="1:1">
      <c r="A110" t="str">
        <f t="shared" ca="1" si="11"/>
        <v/>
      </c>
    </row>
    <row r="111" spans="1:1">
      <c r="A111" t="str">
        <f t="shared" ca="1" si="11"/>
        <v/>
      </c>
    </row>
    <row r="112" spans="1:1">
      <c r="A112" t="str">
        <f t="shared" ca="1" si="11"/>
        <v/>
      </c>
    </row>
    <row r="113" spans="1:1">
      <c r="A113" t="str">
        <f t="shared" ca="1" si="11"/>
        <v/>
      </c>
    </row>
    <row r="114" spans="1:1">
      <c r="A114" t="str">
        <f t="shared" ca="1" si="11"/>
        <v/>
      </c>
    </row>
    <row r="115" spans="1:1">
      <c r="A115" t="str">
        <f t="shared" ref="A115:A132" ca="1" si="12">A68</f>
        <v/>
      </c>
    </row>
    <row r="116" spans="1:1">
      <c r="A116" t="str">
        <f t="shared" ca="1" si="12"/>
        <v/>
      </c>
    </row>
    <row r="117" spans="1:1">
      <c r="A117" t="str">
        <f t="shared" ca="1" si="12"/>
        <v/>
      </c>
    </row>
    <row r="118" spans="1:1">
      <c r="A118" t="str">
        <f t="shared" ca="1" si="12"/>
        <v/>
      </c>
    </row>
    <row r="119" spans="1:1">
      <c r="A119" t="str">
        <f t="shared" ca="1" si="12"/>
        <v/>
      </c>
    </row>
    <row r="120" spans="1:1">
      <c r="A120" t="str">
        <f t="shared" ca="1" si="12"/>
        <v/>
      </c>
    </row>
    <row r="121" spans="1:1">
      <c r="A121" t="str">
        <f t="shared" ca="1" si="12"/>
        <v/>
      </c>
    </row>
    <row r="122" spans="1:1">
      <c r="A122" t="str">
        <f t="shared" ca="1" si="12"/>
        <v/>
      </c>
    </row>
    <row r="123" spans="1:1">
      <c r="A123" t="str">
        <f t="shared" ca="1" si="12"/>
        <v/>
      </c>
    </row>
    <row r="124" spans="1:1">
      <c r="A124" t="str">
        <f t="shared" ca="1" si="12"/>
        <v/>
      </c>
    </row>
    <row r="125" spans="1:1">
      <c r="A125" t="str">
        <f t="shared" ca="1" si="12"/>
        <v/>
      </c>
    </row>
    <row r="126" spans="1:1">
      <c r="A126" t="str">
        <f t="shared" ca="1" si="12"/>
        <v/>
      </c>
    </row>
    <row r="127" spans="1:1">
      <c r="A127" t="str">
        <f t="shared" ca="1" si="12"/>
        <v/>
      </c>
    </row>
    <row r="128" spans="1:1">
      <c r="A128" t="str">
        <f t="shared" ca="1" si="12"/>
        <v/>
      </c>
    </row>
    <row r="129" spans="1:1">
      <c r="A129" t="str">
        <f t="shared" ca="1" si="12"/>
        <v/>
      </c>
    </row>
    <row r="130" spans="1:1">
      <c r="A130" t="str">
        <f t="shared" ca="1" si="12"/>
        <v/>
      </c>
    </row>
    <row r="131" spans="1:1">
      <c r="A131" t="str">
        <f t="shared" ca="1" si="12"/>
        <v/>
      </c>
    </row>
    <row r="132" spans="1:1">
      <c r="A132" t="str">
        <f t="shared" si="12"/>
        <v>TOTAL</v>
      </c>
    </row>
  </sheetData>
  <sheetProtection algorithmName="SHA-512" hashValue="DCFo8PAXGn9/kUhEICPqmYBUtAYeHfOQ35g5VX+WPseSXRjIF+d1tEVYeeXS0WhQtKn+Mru6djtwRCuMfLjsIQ==" saltValue="iXLk/BWXk1T8X53cKkSheA==" spinCount="100000" sheet="1" objects="1" scenarios="1" selectLockedCells="1" selectUnlockedCells="1"/>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9" tint="-0.499984740745262"/>
  </sheetPr>
  <dimension ref="A1:AE65"/>
  <sheetViews>
    <sheetView zoomScale="55" zoomScaleNormal="55" workbookViewId="0">
      <selection activeCell="B20" sqref="B20"/>
    </sheetView>
  </sheetViews>
  <sheetFormatPr defaultRowHeight="14.25"/>
  <cols>
    <col min="1" max="1" width="27.265625" customWidth="1"/>
    <col min="2" max="2" width="19.86328125" customWidth="1"/>
    <col min="3" max="3" width="12.86328125" customWidth="1"/>
    <col min="4" max="4" width="11.86328125" customWidth="1"/>
    <col min="5" max="5" width="17.73046875" customWidth="1"/>
    <col min="6" max="6" width="14" customWidth="1"/>
    <col min="7" max="7" width="16.265625" customWidth="1"/>
    <col min="8" max="8" width="9.73046875" customWidth="1"/>
    <col min="9" max="9" width="23.265625" customWidth="1"/>
    <col min="10" max="10" width="23.1328125" bestFit="1" customWidth="1"/>
    <col min="11" max="11" width="21.3984375" bestFit="1" customWidth="1"/>
    <col min="12" max="12" width="20.3984375" bestFit="1" customWidth="1"/>
    <col min="13" max="13" width="14" bestFit="1" customWidth="1"/>
    <col min="14" max="14" width="17.3984375" customWidth="1"/>
    <col min="15" max="15" width="12.3984375" customWidth="1"/>
    <col min="16" max="16" width="11.59765625" customWidth="1"/>
    <col min="17" max="17" width="13.265625" customWidth="1"/>
    <col min="18" max="18" width="14" customWidth="1"/>
    <col min="19" max="19" width="11.1328125" customWidth="1"/>
    <col min="20" max="21" width="13.73046875" customWidth="1"/>
    <col min="22" max="22" width="13.265625" customWidth="1"/>
    <col min="23" max="23" width="14.73046875" customWidth="1"/>
    <col min="24" max="24" width="15" customWidth="1"/>
    <col min="25" max="25" width="12.73046875" customWidth="1"/>
    <col min="26" max="26" width="13" customWidth="1"/>
    <col min="27" max="27" width="10.59765625" customWidth="1"/>
    <col min="28" max="28" width="11.265625" customWidth="1"/>
    <col min="29" max="29" width="15.3984375" customWidth="1"/>
    <col min="30" max="30" width="16" customWidth="1"/>
    <col min="31" max="31" width="13.3984375" bestFit="1" customWidth="1"/>
  </cols>
  <sheetData>
    <row r="1" spans="1:31">
      <c r="B1" t="s">
        <v>266</v>
      </c>
      <c r="C1" t="str">
        <f>'Active Project'!C8:H8</f>
        <v>CVP-WYDOT</v>
      </c>
      <c r="E1" t="s">
        <v>272</v>
      </c>
      <c r="F1" s="108">
        <f>VLOOKUP($C$1,Inputs!$A$13:$Q$30,17)</f>
        <v>0.04</v>
      </c>
      <c r="G1" s="108"/>
      <c r="H1" t="s">
        <v>274</v>
      </c>
      <c r="J1" s="12">
        <v>17</v>
      </c>
      <c r="K1" s="12"/>
      <c r="L1" s="12"/>
      <c r="M1" s="12"/>
    </row>
    <row r="2" spans="1:31">
      <c r="B2" t="s">
        <v>267</v>
      </c>
      <c r="C2">
        <f>IF('Active Project'!C10&gt;'Active Project'!H33,'Active Project'!C10,'Active Project'!H33)</f>
        <v>24</v>
      </c>
      <c r="E2" t="s">
        <v>269</v>
      </c>
      <c r="F2">
        <f>'Active Project'!C10</f>
        <v>24</v>
      </c>
      <c r="H2" t="s">
        <v>26</v>
      </c>
      <c r="J2" s="448" t="str">
        <f>'Active Project'!H29</f>
        <v>None</v>
      </c>
    </row>
    <row r="3" spans="1:31">
      <c r="B3" t="s">
        <v>268</v>
      </c>
      <c r="C3">
        <f>IF('Active Project'!C25&gt;'Active Project'!H25,'Active Project'!C25,'Active Project'!H25)</f>
        <v>15</v>
      </c>
      <c r="E3" t="s">
        <v>270</v>
      </c>
      <c r="F3">
        <f>'Active Project'!C25</f>
        <v>5</v>
      </c>
      <c r="H3" t="s">
        <v>275</v>
      </c>
      <c r="J3" s="448">
        <f>'Active Project'!H33</f>
        <v>18</v>
      </c>
    </row>
    <row r="4" spans="1:31">
      <c r="B4" t="s">
        <v>153</v>
      </c>
      <c r="C4" t="str">
        <f>IF('Active Project'!H36="Yes","Yes","No")</f>
        <v>Yes</v>
      </c>
      <c r="D4" t="str">
        <f>IF(C4="Yes",'Active Project'!H38,NA())</f>
        <v>High</v>
      </c>
    </row>
    <row r="5" spans="1:31" ht="14.65" thickBot="1"/>
    <row r="6" spans="1:31" ht="14.65" thickBot="1">
      <c r="B6" s="820" t="s">
        <v>22</v>
      </c>
      <c r="C6" s="821"/>
      <c r="D6" s="821"/>
      <c r="E6" s="821"/>
      <c r="F6" s="822"/>
      <c r="G6" s="60"/>
      <c r="H6" s="820" t="s">
        <v>271</v>
      </c>
      <c r="I6" s="821"/>
      <c r="J6" s="821"/>
      <c r="K6" s="821"/>
      <c r="L6" s="821"/>
      <c r="M6" s="821"/>
      <c r="N6" s="822"/>
      <c r="O6" s="823" t="s">
        <v>278</v>
      </c>
      <c r="P6" s="823"/>
      <c r="Q6" s="823"/>
      <c r="R6" s="823"/>
      <c r="S6" s="823"/>
      <c r="T6" s="823"/>
      <c r="U6" s="823"/>
      <c r="V6" s="823"/>
      <c r="W6" s="823"/>
      <c r="X6" s="823"/>
      <c r="Y6" s="823"/>
      <c r="Z6" s="823"/>
      <c r="AA6" s="110"/>
      <c r="AB6" s="110"/>
      <c r="AC6" s="110"/>
    </row>
    <row r="7" spans="1:31" ht="57">
      <c r="B7" t="s">
        <v>163</v>
      </c>
      <c r="C7" t="s">
        <v>186</v>
      </c>
      <c r="D7" s="449" t="s">
        <v>184</v>
      </c>
      <c r="E7" t="s">
        <v>12</v>
      </c>
      <c r="F7" s="450" t="s">
        <v>595</v>
      </c>
      <c r="H7" t="s">
        <v>279</v>
      </c>
      <c r="I7" t="s">
        <v>186</v>
      </c>
      <c r="J7" s="448" t="s">
        <v>593</v>
      </c>
      <c r="K7" s="448" t="s">
        <v>277</v>
      </c>
      <c r="L7" s="448" t="s">
        <v>276</v>
      </c>
      <c r="M7" s="450" t="s">
        <v>594</v>
      </c>
      <c r="N7" s="448" t="s">
        <v>12</v>
      </c>
      <c r="O7" s="104" t="s">
        <v>237</v>
      </c>
      <c r="P7" s="104" t="s">
        <v>236</v>
      </c>
      <c r="Q7" s="104" t="s">
        <v>235</v>
      </c>
      <c r="R7" s="104" t="s">
        <v>240</v>
      </c>
      <c r="S7" s="104" t="s">
        <v>239</v>
      </c>
      <c r="T7" s="104" t="s">
        <v>238</v>
      </c>
      <c r="U7" s="104" t="s">
        <v>243</v>
      </c>
      <c r="V7" s="104" t="s">
        <v>242</v>
      </c>
      <c r="W7" s="104" t="s">
        <v>241</v>
      </c>
      <c r="X7" s="104" t="s">
        <v>246</v>
      </c>
      <c r="Y7" s="104" t="s">
        <v>245</v>
      </c>
      <c r="Z7" s="104" t="s">
        <v>244</v>
      </c>
      <c r="AA7" s="104" t="s">
        <v>281</v>
      </c>
      <c r="AB7" s="104" t="s">
        <v>32</v>
      </c>
      <c r="AC7" s="104" t="s">
        <v>282</v>
      </c>
      <c r="AD7" s="111" t="s">
        <v>280</v>
      </c>
      <c r="AE7" s="109" t="s">
        <v>283</v>
      </c>
    </row>
    <row r="8" spans="1:31">
      <c r="A8">
        <v>1</v>
      </c>
      <c r="B8">
        <f>'Active Project'!C16</f>
        <v>62.03</v>
      </c>
      <c r="C8">
        <f>IF(COUNT(A8)&gt;0,'Active Project'!$C$18,0)</f>
        <v>0</v>
      </c>
      <c r="D8">
        <f>IF(COUNT(A8)&gt;0,'Active Project'!$C$14,0)</f>
        <v>0</v>
      </c>
      <c r="E8" s="12">
        <f>IF(COUNT(A8)&gt;0,'Active Project'!$C$20,0)</f>
        <v>8392.471022222222</v>
      </c>
      <c r="F8" s="12">
        <f>IF(AND((COUNT($G8)&gt;0),(G8&lt;=$J$3)),'ESPO Calculator'!$D$48,0)</f>
        <v>2166.6666666666665</v>
      </c>
      <c r="G8">
        <v>1</v>
      </c>
      <c r="H8">
        <f>IF(COUNT(G8)&gt;0,('Active Project'!$C$16),0)</f>
        <v>62.03</v>
      </c>
      <c r="I8" s="12">
        <f>IF(COUNT(G8)&gt;0,('Active Project'!$C$18+($C$3-$F$3)*$J$1),0)</f>
        <v>170</v>
      </c>
      <c r="J8" s="12">
        <f>IF(AND((COUNT($G8)&gt;0),(G8&lt;=$J$3)),'Custom ESPO Selection'!$D$41,0)</f>
        <v>0</v>
      </c>
      <c r="K8" s="12">
        <f>IF(AND((COUNT($G8)&gt;0),(G8&lt;=$J$3)),'ESPO Calculator'!$D$67,0)</f>
        <v>15250</v>
      </c>
      <c r="L8" s="12">
        <f>IF(AND((COUNT($G8)&gt;0),(G8&lt;=$J$3)),'ESPO Calculator'!$D$84,0)</f>
        <v>49008.333333333336</v>
      </c>
      <c r="M8" s="12">
        <f>IF($J$2="Custom",J8,IF($J$2="Gold",L8,IF($J$2="Silver",K8,0)))</f>
        <v>0</v>
      </c>
      <c r="N8" s="12">
        <f>IF(COUNT(G8)&gt;0,'Active Project'!$C$20+F8,0)</f>
        <v>10559.137688888888</v>
      </c>
      <c r="O8" s="73">
        <f>IF(COUNT($G8)&gt;0,'Cloud Consumption'!C5,0)</f>
        <v>69.39</v>
      </c>
      <c r="P8" s="73">
        <f>IF(COUNT($G8)&gt;0,'Cloud Consumption'!D5,0)</f>
        <v>121.76750000000001</v>
      </c>
      <c r="Q8" s="73">
        <f>IF(COUNT($G8)&gt;0,'Cloud Consumption'!E5,0)</f>
        <v>173.34</v>
      </c>
      <c r="R8" s="73">
        <f>IF(COUNT($G8)&gt;0,'Cloud Consumption'!C6,0)</f>
        <v>233.33333333333334</v>
      </c>
      <c r="S8" s="73">
        <f>IF(COUNT($G8)&gt;0,'Cloud Consumption'!D6,0)</f>
        <v>466.66666666666669</v>
      </c>
      <c r="T8" s="73">
        <f>IF(COUNT($G8)&gt;0,'Cloud Consumption'!E6,0)</f>
        <v>700</v>
      </c>
      <c r="U8" s="73">
        <f>IF(COUNT($G8)&gt;0,'Cloud Consumption'!C7,0)</f>
        <v>132.32</v>
      </c>
      <c r="V8" s="73">
        <f>IF(COUNT($G8)&gt;0,'Cloud Consumption'!D7,0)</f>
        <v>264.64</v>
      </c>
      <c r="W8" s="73">
        <f>IF(COUNT($G8)&gt;0,'Cloud Consumption'!E7,0)</f>
        <v>396.96</v>
      </c>
      <c r="X8" s="73">
        <f>IF(COUNT($G8)&gt;0,'Cloud Consumption'!C8,0)</f>
        <v>394.33333333333331</v>
      </c>
      <c r="Y8" s="73">
        <f>IF(COUNT($G8)&gt;0,'Cloud Consumption'!D8,0)</f>
        <v>788.66666666666663</v>
      </c>
      <c r="Z8" s="73">
        <f>IF(COUNT($G8)&gt;0,'Cloud Consumption'!E8,0)</f>
        <v>1183</v>
      </c>
      <c r="AA8" s="73">
        <f>O8+R8+U8</f>
        <v>435.04333333333335</v>
      </c>
      <c r="AB8" s="73">
        <f>P8+S8+V8</f>
        <v>853.07416666666666</v>
      </c>
      <c r="AC8" s="73">
        <f>Q8+T8+Z8</f>
        <v>2056.34</v>
      </c>
      <c r="AD8" s="73">
        <f>IF($C$4="Yes",IF($D$4="High",AC8,IF($D$4="Medium",AB8,AA8)),0)</f>
        <v>2056.34</v>
      </c>
      <c r="AE8" s="73">
        <f>AD8+B8</f>
        <v>2118.3700000000003</v>
      </c>
    </row>
    <row r="9" spans="1:31">
      <c r="A9">
        <f>IF(ROW()&lt;=$F$2+7,A8+1,"")</f>
        <v>2</v>
      </c>
      <c r="B9">
        <f>IF(COUNT(A9)&gt;0,B8*(1+$F$1),0)</f>
        <v>64.511200000000002</v>
      </c>
      <c r="C9">
        <f>IF(COUNTA(A9)&gt;0,C8*(1+$F$1),0)</f>
        <v>0</v>
      </c>
      <c r="D9">
        <f>IF(COUNT(A9)&gt;0,'Active Project'!$C$14,0)</f>
        <v>0</v>
      </c>
      <c r="E9" s="12">
        <f>IF(COUNT(A9)&gt;0,'Active Project'!$C$20,0)</f>
        <v>8392.471022222222</v>
      </c>
      <c r="F9" s="12">
        <f>IF(AND((COUNT($G9)&gt;0),(G9&lt;=$J$3)),'ESPO Calculator'!$D$48,0)</f>
        <v>2166.6666666666665</v>
      </c>
      <c r="G9">
        <f>IF(ROW()&lt;=$C$2+7,G8+1,"")</f>
        <v>2</v>
      </c>
      <c r="H9">
        <f>IF(COUNT(G9)&gt;0,H8*(1+$F$1),0)</f>
        <v>64.511200000000002</v>
      </c>
      <c r="I9" s="12">
        <f t="shared" ref="I9:I42" si="0">IF(COUNT(G9)&gt;0,I8*(1+$F$1),0)</f>
        <v>176.8</v>
      </c>
      <c r="J9" s="12">
        <f>IF(AND((COUNT($G9)&gt;0),(G9&lt;=$J$3)),'Custom ESPO Selection'!$D$41,0)</f>
        <v>0</v>
      </c>
      <c r="K9" s="12">
        <f>IF(AND((COUNT($G9)&gt;0),(G9&lt;=$J$3)),'ESPO Calculator'!$D$67,0)</f>
        <v>15250</v>
      </c>
      <c r="L9" s="12">
        <f>IF(AND((COUNT($G9)&gt;0),(G9&lt;=$J$3)),'ESPO Calculator'!$D$84,0)</f>
        <v>49008.333333333336</v>
      </c>
      <c r="M9" s="12">
        <f t="shared" ref="M9:M42" si="1">IF($J$2="None",D9,IF($J$2="Gold",L9,IF($J$2="Silver",K9,J9)))</f>
        <v>0</v>
      </c>
      <c r="N9" s="12">
        <f>IF(COUNT(G9)&gt;0,'Active Project'!$C$20+F9,0)</f>
        <v>10559.137688888888</v>
      </c>
      <c r="O9" s="73">
        <f>IF(COUNT($G9)&gt;0,(O8*(1+'Cloud Consumption'!$F$5)),0)</f>
        <v>70.0839</v>
      </c>
      <c r="P9" s="73">
        <f>IF(COUNT($G9)&gt;0,(P8*(1+'Cloud Consumption'!$G$5)),0)</f>
        <v>125.42052500000001</v>
      </c>
      <c r="Q9" s="73">
        <f>IF(COUNT($G9)&gt;0,(Q8*(1+'Cloud Consumption'!$H$5)),0)</f>
        <v>182.00700000000001</v>
      </c>
      <c r="R9" s="73">
        <f>IF(COUNT($G9)&gt;0,(R8*(1+'Cloud Consumption'!$F$6)),0)</f>
        <v>238</v>
      </c>
      <c r="S9" s="73">
        <f>IF(COUNT($G9)&gt;0,(S8*(1+'Cloud Consumption'!$G$6)),0)</f>
        <v>490.00000000000006</v>
      </c>
      <c r="T9" s="73">
        <f>IF(COUNT($G9)&gt;0,(T8*(1+'Cloud Consumption'!$H$6)),0)</f>
        <v>770.00000000000011</v>
      </c>
      <c r="U9" s="73">
        <f>IF(COUNT($G9)&gt;0,(U8*(1+'Cloud Consumption'!$F$7)),0)</f>
        <v>133.64320000000001</v>
      </c>
      <c r="V9" s="73">
        <f>IF(COUNT($G9)&gt;0,(V8*(1+'Cloud Consumption'!$G$7)),0)</f>
        <v>269.93279999999999</v>
      </c>
      <c r="W9" s="73">
        <f>IF(COUNT($G9)&gt;0,(W8*(1+'Cloud Consumption'!$H$7)),0)</f>
        <v>408.86879999999996</v>
      </c>
      <c r="X9" s="73">
        <f>IF(COUNT($G9)&gt;0,(X8*(1+'Cloud Consumption'!$F$8)),0)</f>
        <v>402.21999999999997</v>
      </c>
      <c r="Y9" s="73">
        <f>IF(COUNT($G9)&gt;0,(Y8*(1+'Cloud Consumption'!$G$8)),0)</f>
        <v>812.3266666666666</v>
      </c>
      <c r="Z9" s="73">
        <f>IF(COUNT($G9)&gt;0,(Z8*(1+'Cloud Consumption'!$H$8)),0)</f>
        <v>1230.32</v>
      </c>
      <c r="AA9" s="73">
        <f t="shared" ref="AA9:AA42" si="2">O9+R9+U9</f>
        <v>441.72709999999995</v>
      </c>
      <c r="AB9" s="73">
        <f t="shared" ref="AB9:AB42" si="3">P9+S9+V9</f>
        <v>885.35332500000004</v>
      </c>
      <c r="AC9" s="73">
        <f t="shared" ref="AC9:AC42" si="4">Q9+T9+Z9</f>
        <v>2182.3270000000002</v>
      </c>
      <c r="AD9" s="73">
        <f t="shared" ref="AD9:AD42" si="5">IF($C$4="Yes",IF($D$4="High",AC9,IF($D$4="Medium",AB9,AA9)),0)</f>
        <v>2182.3270000000002</v>
      </c>
      <c r="AE9" s="73">
        <f t="shared" ref="AE9:AE42" si="6">AD9+B9</f>
        <v>2246.8382000000001</v>
      </c>
    </row>
    <row r="10" spans="1:31">
      <c r="A10">
        <f t="shared" ref="A10:A42" si="7">IF(ROW()&lt;=$F$2+7,A9+1,"")</f>
        <v>3</v>
      </c>
      <c r="B10">
        <f t="shared" ref="B10:B42" si="8">IF(COUNT(A10)&gt;0,B9*(1+$F$1),0)</f>
        <v>67.091648000000006</v>
      </c>
      <c r="C10">
        <f t="shared" ref="C10:C42" si="9">IF(COUNTA(A10)&gt;0,C9*(1+$F$1),0)</f>
        <v>0</v>
      </c>
      <c r="D10">
        <f>IF(COUNT(A10)&gt;0,'Active Project'!$C$14,0)</f>
        <v>0</v>
      </c>
      <c r="E10" s="12">
        <f>IF(COUNT(A10)&gt;0,'Active Project'!$C$20,0)</f>
        <v>8392.471022222222</v>
      </c>
      <c r="F10" s="12">
        <f>IF(AND((COUNT($G10)&gt;0),(G10&lt;=$J$3)),'ESPO Calculator'!$D$48,0)</f>
        <v>2166.6666666666665</v>
      </c>
      <c r="G10">
        <f t="shared" ref="G10:G42" si="10">IF(ROW()&lt;=$C$2+7,G9+1,"")</f>
        <v>3</v>
      </c>
      <c r="H10">
        <f t="shared" ref="H10:H42" si="11">IF(COUNT(G10)&gt;0,H9*(1+$F$1),0)</f>
        <v>67.091648000000006</v>
      </c>
      <c r="I10" s="12">
        <f t="shared" si="0"/>
        <v>183.87200000000001</v>
      </c>
      <c r="J10" s="12">
        <f>IF(AND((COUNT($G10)&gt;0),(G10&lt;=$J$3)),'Custom ESPO Selection'!$D$41,0)</f>
        <v>0</v>
      </c>
      <c r="K10" s="12">
        <f>IF(AND((COUNT($G10)&gt;0),(G10&lt;=$J$3)),'ESPO Calculator'!$D$67,0)</f>
        <v>15250</v>
      </c>
      <c r="L10" s="12">
        <f>IF(AND((COUNT($G10)&gt;0),(G10&lt;=$J$3)),'ESPO Calculator'!$D$84,0)</f>
        <v>49008.333333333336</v>
      </c>
      <c r="M10" s="12">
        <f t="shared" si="1"/>
        <v>0</v>
      </c>
      <c r="N10" s="12">
        <f>IF(COUNT(G10)&gt;0,'Active Project'!$C$20+F10,0)</f>
        <v>10559.137688888888</v>
      </c>
      <c r="O10" s="73">
        <f>IF(COUNT($G10)&gt;0,(O9*(1+'Cloud Consumption'!$F$5)),0)</f>
        <v>70.784739000000002</v>
      </c>
      <c r="P10" s="73">
        <f>IF(COUNT($G10)&gt;0,(P9*(1+'Cloud Consumption'!$G$5)),0)</f>
        <v>129.18314075000001</v>
      </c>
      <c r="Q10" s="73">
        <f>IF(COUNT($G10)&gt;0,(Q9*(1+'Cloud Consumption'!$H$5)),0)</f>
        <v>191.10735000000003</v>
      </c>
      <c r="R10" s="73">
        <f>IF(COUNT($G10)&gt;0,(R9*(1+'Cloud Consumption'!$F$6)),0)</f>
        <v>242.76</v>
      </c>
      <c r="S10" s="73">
        <f>IF(COUNT($G10)&gt;0,(S9*(1+'Cloud Consumption'!$G$6)),0)</f>
        <v>514.50000000000011</v>
      </c>
      <c r="T10" s="73">
        <f>IF(COUNT($G10)&gt;0,(T9*(1+'Cloud Consumption'!$H$6)),0)</f>
        <v>847.00000000000023</v>
      </c>
      <c r="U10" s="73">
        <f>IF(COUNT($G10)&gt;0,(U9*(1+'Cloud Consumption'!$F$7)),0)</f>
        <v>134.97963200000001</v>
      </c>
      <c r="V10" s="73">
        <f>IF(COUNT($G10)&gt;0,(V9*(1+'Cloud Consumption'!$G$7)),0)</f>
        <v>275.331456</v>
      </c>
      <c r="W10" s="73">
        <f>IF(COUNT($G10)&gt;0,(W9*(1+'Cloud Consumption'!$H$7)),0)</f>
        <v>421.13486399999999</v>
      </c>
      <c r="X10" s="73">
        <f>IF(COUNT($G10)&gt;0,(X9*(1+'Cloud Consumption'!$F$8)),0)</f>
        <v>410.26439999999997</v>
      </c>
      <c r="Y10" s="73">
        <f>IF(COUNT($G10)&gt;0,(Y9*(1+'Cloud Consumption'!$G$8)),0)</f>
        <v>836.69646666666665</v>
      </c>
      <c r="Z10" s="73">
        <f>IF(COUNT($G10)&gt;0,(Z9*(1+'Cloud Consumption'!$H$8)),0)</f>
        <v>1279.5328</v>
      </c>
      <c r="AA10" s="73">
        <f t="shared" si="2"/>
        <v>448.52437099999997</v>
      </c>
      <c r="AB10" s="73">
        <f t="shared" si="3"/>
        <v>919.01459675000012</v>
      </c>
      <c r="AC10" s="73">
        <f t="shared" si="4"/>
        <v>2317.6401500000002</v>
      </c>
      <c r="AD10" s="73">
        <f t="shared" si="5"/>
        <v>2317.6401500000002</v>
      </c>
      <c r="AE10" s="73">
        <f t="shared" si="6"/>
        <v>2384.7317980000003</v>
      </c>
    </row>
    <row r="11" spans="1:31">
      <c r="A11">
        <f t="shared" si="7"/>
        <v>4</v>
      </c>
      <c r="B11">
        <f t="shared" si="8"/>
        <v>69.775313920000002</v>
      </c>
      <c r="C11">
        <f t="shared" si="9"/>
        <v>0</v>
      </c>
      <c r="D11">
        <f>IF(COUNT(A11)&gt;0,'Active Project'!$C$14,0)</f>
        <v>0</v>
      </c>
      <c r="E11" s="12">
        <f>IF(COUNT(A11)&gt;0,'Active Project'!$C$20,0)</f>
        <v>8392.471022222222</v>
      </c>
      <c r="F11" s="12">
        <f>IF(AND((COUNT($G11)&gt;0),(G11&lt;=$J$3)),'ESPO Calculator'!$D$48,0)</f>
        <v>2166.6666666666665</v>
      </c>
      <c r="G11">
        <f t="shared" si="10"/>
        <v>4</v>
      </c>
      <c r="H11">
        <f t="shared" si="11"/>
        <v>69.775313920000002</v>
      </c>
      <c r="I11" s="12">
        <f t="shared" si="0"/>
        <v>191.22688000000002</v>
      </c>
      <c r="J11" s="12">
        <f>IF(AND((COUNT($G11)&gt;0),(G11&lt;=$J$3)),'Custom ESPO Selection'!$D$41,0)</f>
        <v>0</v>
      </c>
      <c r="K11" s="12">
        <f>IF(AND((COUNT($G11)&gt;0),(G11&lt;=$J$3)),'ESPO Calculator'!$D$67,0)</f>
        <v>15250</v>
      </c>
      <c r="L11" s="12">
        <f>IF(AND((COUNT($G11)&gt;0),(G11&lt;=$J$3)),'ESPO Calculator'!$D$84,0)</f>
        <v>49008.333333333336</v>
      </c>
      <c r="M11" s="12">
        <f t="shared" si="1"/>
        <v>0</v>
      </c>
      <c r="N11" s="12">
        <f>IF(COUNT(G11)&gt;0,'Active Project'!$C$20+F11,0)</f>
        <v>10559.137688888888</v>
      </c>
      <c r="O11" s="73">
        <f>IF(COUNT($G11)&gt;0,(O10*(1+'Cloud Consumption'!$F$5)),0)</f>
        <v>71.49258639</v>
      </c>
      <c r="P11" s="73">
        <f>IF(COUNT($G11)&gt;0,(P10*(1+'Cloud Consumption'!$G$5)),0)</f>
        <v>133.05863497250002</v>
      </c>
      <c r="Q11" s="73">
        <f>IF(COUNT($G11)&gt;0,(Q10*(1+'Cloud Consumption'!$H$5)),0)</f>
        <v>200.66271750000004</v>
      </c>
      <c r="R11" s="73">
        <f>IF(COUNT($G11)&gt;0,(R10*(1+'Cloud Consumption'!$F$6)),0)</f>
        <v>247.61519999999999</v>
      </c>
      <c r="S11" s="73">
        <f>IF(COUNT($G11)&gt;0,(S10*(1+'Cloud Consumption'!$G$6)),0)</f>
        <v>540.22500000000014</v>
      </c>
      <c r="T11" s="73">
        <f>IF(COUNT($G11)&gt;0,(T10*(1+'Cloud Consumption'!$H$6)),0)</f>
        <v>931.70000000000027</v>
      </c>
      <c r="U11" s="73">
        <f>IF(COUNT($G11)&gt;0,(U10*(1+'Cloud Consumption'!$F$7)),0)</f>
        <v>136.32942832000001</v>
      </c>
      <c r="V11" s="73">
        <f>IF(COUNT($G11)&gt;0,(V10*(1+'Cloud Consumption'!$G$7)),0)</f>
        <v>280.83808512000002</v>
      </c>
      <c r="W11" s="73">
        <f>IF(COUNT($G11)&gt;0,(W10*(1+'Cloud Consumption'!$H$7)),0)</f>
        <v>433.76890992</v>
      </c>
      <c r="X11" s="73">
        <f>IF(COUNT($G11)&gt;0,(X10*(1+'Cloud Consumption'!$F$8)),0)</f>
        <v>418.46968799999996</v>
      </c>
      <c r="Y11" s="73">
        <f>IF(COUNT($G11)&gt;0,(Y10*(1+'Cloud Consumption'!$G$8)),0)</f>
        <v>861.79736066666669</v>
      </c>
      <c r="Z11" s="73">
        <f>IF(COUNT($G11)&gt;0,(Z10*(1+'Cloud Consumption'!$H$8)),0)</f>
        <v>1330.7141119999999</v>
      </c>
      <c r="AA11" s="73">
        <f t="shared" si="2"/>
        <v>455.43721471000003</v>
      </c>
      <c r="AB11" s="73">
        <f t="shared" si="3"/>
        <v>954.12172009250025</v>
      </c>
      <c r="AC11" s="73">
        <f t="shared" si="4"/>
        <v>2463.0768295000003</v>
      </c>
      <c r="AD11" s="73">
        <f t="shared" si="5"/>
        <v>2463.0768295000003</v>
      </c>
      <c r="AE11" s="73">
        <f t="shared" si="6"/>
        <v>2532.8521434200002</v>
      </c>
    </row>
    <row r="12" spans="1:31">
      <c r="A12">
        <f t="shared" si="7"/>
        <v>5</v>
      </c>
      <c r="B12">
        <f t="shared" si="8"/>
        <v>72.5663264768</v>
      </c>
      <c r="C12">
        <f t="shared" si="9"/>
        <v>0</v>
      </c>
      <c r="D12">
        <f>IF(COUNT(A12)&gt;0,'Active Project'!$C$14,0)</f>
        <v>0</v>
      </c>
      <c r="E12" s="12">
        <f>IF(COUNT(A12)&gt;0,'Active Project'!$C$20,0)</f>
        <v>8392.471022222222</v>
      </c>
      <c r="F12" s="12">
        <f>IF(AND((COUNT($G12)&gt;0),(G12&lt;=$J$3)),'ESPO Calculator'!$D$48,0)</f>
        <v>2166.6666666666665</v>
      </c>
      <c r="G12">
        <f t="shared" si="10"/>
        <v>5</v>
      </c>
      <c r="H12">
        <f t="shared" si="11"/>
        <v>72.5663264768</v>
      </c>
      <c r="I12" s="12">
        <f t="shared" si="0"/>
        <v>198.87595520000002</v>
      </c>
      <c r="J12" s="12">
        <f>IF(AND((COUNT($G12)&gt;0),(G12&lt;=$J$3)),'Custom ESPO Selection'!$D$41,0)</f>
        <v>0</v>
      </c>
      <c r="K12" s="12">
        <f>IF(AND((COUNT($G12)&gt;0),(G12&lt;=$J$3)),'ESPO Calculator'!$D$67,0)</f>
        <v>15250</v>
      </c>
      <c r="L12" s="12">
        <f>IF(AND((COUNT($G12)&gt;0),(G12&lt;=$J$3)),'ESPO Calculator'!$D$84,0)</f>
        <v>49008.333333333336</v>
      </c>
      <c r="M12" s="12">
        <f t="shared" si="1"/>
        <v>0</v>
      </c>
      <c r="N12" s="12">
        <f>IF(COUNT(G12)&gt;0,'Active Project'!$C$20+F12,0)</f>
        <v>10559.137688888888</v>
      </c>
      <c r="O12" s="73">
        <f>IF(COUNT($G12)&gt;0,(O11*(1+'Cloud Consumption'!$F$5)),0)</f>
        <v>72.207512253900006</v>
      </c>
      <c r="P12" s="73">
        <f>IF(COUNT($G12)&gt;0,(P11*(1+'Cloud Consumption'!$G$5)),0)</f>
        <v>137.05039402167503</v>
      </c>
      <c r="Q12" s="73">
        <f>IF(COUNT($G12)&gt;0,(Q11*(1+'Cloud Consumption'!$H$5)),0)</f>
        <v>210.69585337500004</v>
      </c>
      <c r="R12" s="73">
        <f>IF(COUNT($G12)&gt;0,(R11*(1+'Cloud Consumption'!$F$6)),0)</f>
        <v>252.56750399999999</v>
      </c>
      <c r="S12" s="73">
        <f>IF(COUNT($G12)&gt;0,(S11*(1+'Cloud Consumption'!$G$6)),0)</f>
        <v>567.23625000000015</v>
      </c>
      <c r="T12" s="73">
        <f>IF(COUNT($G12)&gt;0,(T11*(1+'Cloud Consumption'!$H$6)),0)</f>
        <v>1024.8700000000003</v>
      </c>
      <c r="U12" s="73">
        <f>IF(COUNT($G12)&gt;0,(U11*(1+'Cloud Consumption'!$F$7)),0)</f>
        <v>137.6927226032</v>
      </c>
      <c r="V12" s="73">
        <f>IF(COUNT($G12)&gt;0,(V11*(1+'Cloud Consumption'!$G$7)),0)</f>
        <v>286.45484682240004</v>
      </c>
      <c r="W12" s="73">
        <f>IF(COUNT($G12)&gt;0,(W11*(1+'Cloud Consumption'!$H$7)),0)</f>
        <v>446.7819772176</v>
      </c>
      <c r="X12" s="73">
        <f>IF(COUNT($G12)&gt;0,(X11*(1+'Cloud Consumption'!$F$8)),0)</f>
        <v>426.83908175999994</v>
      </c>
      <c r="Y12" s="73">
        <f>IF(COUNT($G12)&gt;0,(Y11*(1+'Cloud Consumption'!$G$8)),0)</f>
        <v>887.65128148666668</v>
      </c>
      <c r="Z12" s="73">
        <f>IF(COUNT($G12)&gt;0,(Z11*(1+'Cloud Consumption'!$H$8)),0)</f>
        <v>1383.9426764799998</v>
      </c>
      <c r="AA12" s="73">
        <f t="shared" si="2"/>
        <v>462.46773885710002</v>
      </c>
      <c r="AB12" s="73">
        <f t="shared" si="3"/>
        <v>990.74149084407532</v>
      </c>
      <c r="AC12" s="73">
        <f t="shared" si="4"/>
        <v>2619.5085298550002</v>
      </c>
      <c r="AD12" s="73">
        <f t="shared" si="5"/>
        <v>2619.5085298550002</v>
      </c>
      <c r="AE12" s="73">
        <f t="shared" si="6"/>
        <v>2692.0748563318002</v>
      </c>
    </row>
    <row r="13" spans="1:31">
      <c r="A13">
        <f t="shared" si="7"/>
        <v>6</v>
      </c>
      <c r="B13">
        <f t="shared" si="8"/>
        <v>75.468979535872009</v>
      </c>
      <c r="C13">
        <f t="shared" si="9"/>
        <v>0</v>
      </c>
      <c r="D13">
        <f>IF(COUNT(A13)&gt;0,'Active Project'!$C$14,0)</f>
        <v>0</v>
      </c>
      <c r="E13" s="12">
        <f>IF(COUNT(A13)&gt;0,'Active Project'!$C$20,0)</f>
        <v>8392.471022222222</v>
      </c>
      <c r="F13" s="12">
        <f>IF(AND((COUNT($G13)&gt;0),(G13&lt;=$J$3)),'ESPO Calculator'!$D$48,0)</f>
        <v>2166.6666666666665</v>
      </c>
      <c r="G13">
        <f t="shared" si="10"/>
        <v>6</v>
      </c>
      <c r="H13">
        <f t="shared" si="11"/>
        <v>75.468979535872009</v>
      </c>
      <c r="I13" s="12">
        <f t="shared" si="0"/>
        <v>206.83099340800004</v>
      </c>
      <c r="J13" s="12">
        <f>IF(AND((COUNT($G13)&gt;0),(G13&lt;=$J$3)),'Custom ESPO Selection'!$D$41,0)</f>
        <v>0</v>
      </c>
      <c r="K13" s="12">
        <f>IF(AND((COUNT($G13)&gt;0),(G13&lt;=$J$3)),'ESPO Calculator'!$D$67,0)</f>
        <v>15250</v>
      </c>
      <c r="L13" s="12">
        <f>IF(AND((COUNT($G13)&gt;0),(G13&lt;=$J$3)),'ESPO Calculator'!$D$84,0)</f>
        <v>49008.333333333336</v>
      </c>
      <c r="M13" s="12">
        <f t="shared" si="1"/>
        <v>0</v>
      </c>
      <c r="N13" s="12">
        <f>IF(COUNT(G13)&gt;0,'Active Project'!$C$20+F13,0)</f>
        <v>10559.137688888888</v>
      </c>
      <c r="O13" s="73">
        <f>IF(COUNT($G13)&gt;0,(O12*(1+'Cloud Consumption'!$F$5)),0)</f>
        <v>72.929587376439002</v>
      </c>
      <c r="P13" s="73">
        <f>IF(COUNT($G13)&gt;0,(P12*(1+'Cloud Consumption'!$G$5)),0)</f>
        <v>141.1619058423253</v>
      </c>
      <c r="Q13" s="73">
        <f>IF(COUNT($G13)&gt;0,(Q12*(1+'Cloud Consumption'!$H$5)),0)</f>
        <v>221.23064604375006</v>
      </c>
      <c r="R13" s="73">
        <f>IF(COUNT($G13)&gt;0,(R12*(1+'Cloud Consumption'!$F$6)),0)</f>
        <v>257.61885408000001</v>
      </c>
      <c r="S13" s="73">
        <f>IF(COUNT($G13)&gt;0,(S12*(1+'Cloud Consumption'!$G$6)),0)</f>
        <v>595.5980625000002</v>
      </c>
      <c r="T13" s="73">
        <f>IF(COUNT($G13)&gt;0,(T12*(1+'Cloud Consumption'!$H$6)),0)</f>
        <v>1127.3570000000004</v>
      </c>
      <c r="U13" s="73">
        <f>IF(COUNT($G13)&gt;0,(U12*(1+'Cloud Consumption'!$F$7)),0)</f>
        <v>139.06964982923199</v>
      </c>
      <c r="V13" s="73">
        <f>IF(COUNT($G13)&gt;0,(V12*(1+'Cloud Consumption'!$G$7)),0)</f>
        <v>292.18394375884805</v>
      </c>
      <c r="W13" s="73">
        <f>IF(COUNT($G13)&gt;0,(W12*(1+'Cloud Consumption'!$H$7)),0)</f>
        <v>460.18543653412803</v>
      </c>
      <c r="X13" s="73">
        <f>IF(COUNT($G13)&gt;0,(X12*(1+'Cloud Consumption'!$F$8)),0)</f>
        <v>435.37586339519993</v>
      </c>
      <c r="Y13" s="73">
        <f>IF(COUNT($G13)&gt;0,(Y12*(1+'Cloud Consumption'!$G$8)),0)</f>
        <v>914.28081993126671</v>
      </c>
      <c r="Z13" s="73">
        <f>IF(COUNT($G13)&gt;0,(Z12*(1+'Cloud Consumption'!$H$8)),0)</f>
        <v>1439.3003835391999</v>
      </c>
      <c r="AA13" s="73">
        <f t="shared" si="2"/>
        <v>469.61809128567103</v>
      </c>
      <c r="AB13" s="73">
        <f t="shared" si="3"/>
        <v>1028.9439121011735</v>
      </c>
      <c r="AC13" s="73">
        <f t="shared" si="4"/>
        <v>2787.8880295829504</v>
      </c>
      <c r="AD13" s="73">
        <f t="shared" si="5"/>
        <v>2787.8880295829504</v>
      </c>
      <c r="AE13" s="73">
        <f t="shared" si="6"/>
        <v>2863.3570091188226</v>
      </c>
    </row>
    <row r="14" spans="1:31">
      <c r="A14">
        <f t="shared" si="7"/>
        <v>7</v>
      </c>
      <c r="B14">
        <f t="shared" si="8"/>
        <v>78.487738717306897</v>
      </c>
      <c r="C14">
        <f t="shared" si="9"/>
        <v>0</v>
      </c>
      <c r="D14">
        <f>IF(COUNT(A14)&gt;0,'Active Project'!$C$14,0)</f>
        <v>0</v>
      </c>
      <c r="E14" s="12">
        <f>IF(COUNT(A14)&gt;0,'Active Project'!$C$20,0)</f>
        <v>8392.471022222222</v>
      </c>
      <c r="F14" s="12">
        <f>IF(AND((COUNT($G14)&gt;0),(G14&lt;=$J$3)),'ESPO Calculator'!$D$48,0)</f>
        <v>2166.6666666666665</v>
      </c>
      <c r="G14">
        <f t="shared" si="10"/>
        <v>7</v>
      </c>
      <c r="H14">
        <f t="shared" si="11"/>
        <v>78.487738717306897</v>
      </c>
      <c r="I14" s="12">
        <f t="shared" si="0"/>
        <v>215.10423314432006</v>
      </c>
      <c r="J14" s="12">
        <f>IF(AND((COUNT($G14)&gt;0),(G14&lt;=$J$3)),'Custom ESPO Selection'!$D$41,0)</f>
        <v>0</v>
      </c>
      <c r="K14" s="12">
        <f>IF(AND((COUNT($G14)&gt;0),(G14&lt;=$J$3)),'ESPO Calculator'!$D$67,0)</f>
        <v>15250</v>
      </c>
      <c r="L14" s="12">
        <f>IF(AND((COUNT($G14)&gt;0),(G14&lt;=$J$3)),'ESPO Calculator'!$D$84,0)</f>
        <v>49008.333333333336</v>
      </c>
      <c r="M14" s="12">
        <f t="shared" si="1"/>
        <v>0</v>
      </c>
      <c r="N14" s="12">
        <f>IF(COUNT(G14)&gt;0,'Active Project'!$C$20+F14,0)</f>
        <v>10559.137688888888</v>
      </c>
      <c r="O14" s="73">
        <f>IF(COUNT($G14)&gt;0,(O13*(1+'Cloud Consumption'!$F$5)),0)</f>
        <v>73.658883250203388</v>
      </c>
      <c r="P14" s="73">
        <f>IF(COUNT($G14)&gt;0,(P13*(1+'Cloud Consumption'!$G$5)),0)</f>
        <v>145.39676301759505</v>
      </c>
      <c r="Q14" s="73">
        <f>IF(COUNT($G14)&gt;0,(Q13*(1+'Cloud Consumption'!$H$5)),0)</f>
        <v>232.29217834593757</v>
      </c>
      <c r="R14" s="73">
        <f>IF(COUNT($G14)&gt;0,(R13*(1+'Cloud Consumption'!$F$6)),0)</f>
        <v>262.77123116159999</v>
      </c>
      <c r="S14" s="73">
        <f>IF(COUNT($G14)&gt;0,(S13*(1+'Cloud Consumption'!$G$6)),0)</f>
        <v>625.37796562500023</v>
      </c>
      <c r="T14" s="73">
        <f>IF(COUNT($G14)&gt;0,(T13*(1+'Cloud Consumption'!$H$6)),0)</f>
        <v>1240.0927000000006</v>
      </c>
      <c r="U14" s="73">
        <f>IF(COUNT($G14)&gt;0,(U13*(1+'Cloud Consumption'!$F$7)),0)</f>
        <v>140.46034632752432</v>
      </c>
      <c r="V14" s="73">
        <f>IF(COUNT($G14)&gt;0,(V13*(1+'Cloud Consumption'!$G$7)),0)</f>
        <v>298.02762263402502</v>
      </c>
      <c r="W14" s="73">
        <f>IF(COUNT($G14)&gt;0,(W13*(1+'Cloud Consumption'!$H$7)),0)</f>
        <v>473.99099963015186</v>
      </c>
      <c r="X14" s="73">
        <f>IF(COUNT($G14)&gt;0,(X13*(1+'Cloud Consumption'!$F$8)),0)</f>
        <v>444.08338066310392</v>
      </c>
      <c r="Y14" s="73">
        <f>IF(COUNT($G14)&gt;0,(Y13*(1+'Cloud Consumption'!$G$8)),0)</f>
        <v>941.70924452920474</v>
      </c>
      <c r="Z14" s="73">
        <f>IF(COUNT($G14)&gt;0,(Z13*(1+'Cloud Consumption'!$H$8)),0)</f>
        <v>1496.8723988807678</v>
      </c>
      <c r="AA14" s="73">
        <f t="shared" si="2"/>
        <v>476.89046073932775</v>
      </c>
      <c r="AB14" s="73">
        <f t="shared" si="3"/>
        <v>1068.8023512766204</v>
      </c>
      <c r="AC14" s="73">
        <f t="shared" si="4"/>
        <v>2969.2572772267058</v>
      </c>
      <c r="AD14" s="73">
        <f t="shared" si="5"/>
        <v>2969.2572772267058</v>
      </c>
      <c r="AE14" s="73">
        <f t="shared" si="6"/>
        <v>3047.7450159440127</v>
      </c>
    </row>
    <row r="15" spans="1:31">
      <c r="A15">
        <f t="shared" si="7"/>
        <v>8</v>
      </c>
      <c r="B15">
        <f t="shared" si="8"/>
        <v>81.627248265999171</v>
      </c>
      <c r="C15">
        <f t="shared" si="9"/>
        <v>0</v>
      </c>
      <c r="D15">
        <f>IF(COUNT(A15)&gt;0,'Active Project'!$C$14,0)</f>
        <v>0</v>
      </c>
      <c r="E15" s="12">
        <f>IF(COUNT(A15)&gt;0,'Active Project'!$C$20,0)</f>
        <v>8392.471022222222</v>
      </c>
      <c r="F15" s="12">
        <f>IF(AND((COUNT($G15)&gt;0),(G15&lt;=$J$3)),'ESPO Calculator'!$D$48,0)</f>
        <v>2166.6666666666665</v>
      </c>
      <c r="G15">
        <f t="shared" si="10"/>
        <v>8</v>
      </c>
      <c r="H15">
        <f t="shared" si="11"/>
        <v>81.627248265999171</v>
      </c>
      <c r="I15" s="12">
        <f t="shared" si="0"/>
        <v>223.70840247009286</v>
      </c>
      <c r="J15" s="12">
        <f>IF(AND((COUNT($G15)&gt;0),(G15&lt;=$J$3)),'Custom ESPO Selection'!$D$41,0)</f>
        <v>0</v>
      </c>
      <c r="K15" s="12">
        <f>IF(AND((COUNT($G15)&gt;0),(G15&lt;=$J$3)),'ESPO Calculator'!$D$67,0)</f>
        <v>15250</v>
      </c>
      <c r="L15" s="12">
        <f>IF(AND((COUNT($G15)&gt;0),(G15&lt;=$J$3)),'ESPO Calculator'!$D$84,0)</f>
        <v>49008.333333333336</v>
      </c>
      <c r="M15" s="12">
        <f t="shared" si="1"/>
        <v>0</v>
      </c>
      <c r="N15" s="12">
        <f>IF(COUNT(G15)&gt;0,'Active Project'!$C$20+F15,0)</f>
        <v>10559.137688888888</v>
      </c>
      <c r="O15" s="73">
        <f>IF(COUNT($G15)&gt;0,(O14*(1+'Cloud Consumption'!$F$5)),0)</f>
        <v>74.395472082705425</v>
      </c>
      <c r="P15" s="73">
        <f>IF(COUNT($G15)&gt;0,(P14*(1+'Cloud Consumption'!$G$5)),0)</f>
        <v>149.75866590812291</v>
      </c>
      <c r="Q15" s="73">
        <f>IF(COUNT($G15)&gt;0,(Q14*(1+'Cloud Consumption'!$H$5)),0)</f>
        <v>243.90678726323446</v>
      </c>
      <c r="R15" s="73">
        <f>IF(COUNT($G15)&gt;0,(R14*(1+'Cloud Consumption'!$F$6)),0)</f>
        <v>268.02665578483197</v>
      </c>
      <c r="S15" s="73">
        <f>IF(COUNT($G15)&gt;0,(S14*(1+'Cloud Consumption'!$G$6)),0)</f>
        <v>656.64686390625025</v>
      </c>
      <c r="T15" s="73">
        <f>IF(COUNT($G15)&gt;0,(T14*(1+'Cloud Consumption'!$H$6)),0)</f>
        <v>1364.1019700000008</v>
      </c>
      <c r="U15" s="73">
        <f>IF(COUNT($G15)&gt;0,(U14*(1+'Cloud Consumption'!$F$7)),0)</f>
        <v>141.86494979079956</v>
      </c>
      <c r="V15" s="73">
        <f>IF(COUNT($G15)&gt;0,(V14*(1+'Cloud Consumption'!$G$7)),0)</f>
        <v>303.98817508670555</v>
      </c>
      <c r="W15" s="73">
        <f>IF(COUNT($G15)&gt;0,(W14*(1+'Cloud Consumption'!$H$7)),0)</f>
        <v>488.21072961905645</v>
      </c>
      <c r="X15" s="73">
        <f>IF(COUNT($G15)&gt;0,(X14*(1+'Cloud Consumption'!$F$8)),0)</f>
        <v>452.96504827636602</v>
      </c>
      <c r="Y15" s="73">
        <f>IF(COUNT($G15)&gt;0,(Y14*(1+'Cloud Consumption'!$G$8)),0)</f>
        <v>969.96052186508086</v>
      </c>
      <c r="Z15" s="73">
        <f>IF(COUNT($G15)&gt;0,(Z14*(1+'Cloud Consumption'!$H$8)),0)</f>
        <v>1556.7472948359987</v>
      </c>
      <c r="AA15" s="73">
        <f t="shared" si="2"/>
        <v>484.2870776583369</v>
      </c>
      <c r="AB15" s="73">
        <f t="shared" si="3"/>
        <v>1110.3937049010788</v>
      </c>
      <c r="AC15" s="73">
        <f t="shared" si="4"/>
        <v>3164.7560520992338</v>
      </c>
      <c r="AD15" s="73">
        <f t="shared" si="5"/>
        <v>3164.7560520992338</v>
      </c>
      <c r="AE15" s="73">
        <f t="shared" si="6"/>
        <v>3246.383300365233</v>
      </c>
    </row>
    <row r="16" spans="1:31">
      <c r="A16">
        <f t="shared" si="7"/>
        <v>9</v>
      </c>
      <c r="B16">
        <f t="shared" si="8"/>
        <v>84.892338196639145</v>
      </c>
      <c r="C16">
        <f t="shared" si="9"/>
        <v>0</v>
      </c>
      <c r="D16">
        <f>IF(COUNT(A16)&gt;0,'Active Project'!$C$14,0)</f>
        <v>0</v>
      </c>
      <c r="E16" s="12">
        <f>IF(COUNT(A16)&gt;0,'Active Project'!$C$20,0)</f>
        <v>8392.471022222222</v>
      </c>
      <c r="F16" s="12">
        <f>IF(AND((COUNT($G16)&gt;0),(G16&lt;=$J$3)),'ESPO Calculator'!$D$48,0)</f>
        <v>2166.6666666666665</v>
      </c>
      <c r="G16">
        <f t="shared" si="10"/>
        <v>9</v>
      </c>
      <c r="H16">
        <f t="shared" si="11"/>
        <v>84.892338196639145</v>
      </c>
      <c r="I16" s="12">
        <f t="shared" si="0"/>
        <v>232.6567385688966</v>
      </c>
      <c r="J16" s="12">
        <f>IF(AND((COUNT($G16)&gt;0),(G16&lt;=$J$3)),'Custom ESPO Selection'!$D$41,0)</f>
        <v>0</v>
      </c>
      <c r="K16" s="12">
        <f>IF(AND((COUNT($G16)&gt;0),(G16&lt;=$J$3)),'ESPO Calculator'!$D$67,0)</f>
        <v>15250</v>
      </c>
      <c r="L16" s="12">
        <f>IF(AND((COUNT($G16)&gt;0),(G16&lt;=$J$3)),'ESPO Calculator'!$D$84,0)</f>
        <v>49008.333333333336</v>
      </c>
      <c r="M16" s="12">
        <f t="shared" si="1"/>
        <v>0</v>
      </c>
      <c r="N16" s="12">
        <f>IF(COUNT(G16)&gt;0,'Active Project'!$C$20+F16,0)</f>
        <v>10559.137688888888</v>
      </c>
      <c r="O16" s="73">
        <f>IF(COUNT($G16)&gt;0,(O15*(1+'Cloud Consumption'!$F$5)),0)</f>
        <v>75.139426803532473</v>
      </c>
      <c r="P16" s="73">
        <f>IF(COUNT($G16)&gt;0,(P15*(1+'Cloud Consumption'!$G$5)),0)</f>
        <v>154.25142588536659</v>
      </c>
      <c r="Q16" s="73">
        <f>IF(COUNT($G16)&gt;0,(Q15*(1+'Cloud Consumption'!$H$5)),0)</f>
        <v>256.10212662639617</v>
      </c>
      <c r="R16" s="73">
        <f>IF(COUNT($G16)&gt;0,(R15*(1+'Cloud Consumption'!$F$6)),0)</f>
        <v>273.3871889005286</v>
      </c>
      <c r="S16" s="73">
        <f>IF(COUNT($G16)&gt;0,(S15*(1+'Cloud Consumption'!$G$6)),0)</f>
        <v>689.47920710156279</v>
      </c>
      <c r="T16" s="73">
        <f>IF(COUNT($G16)&gt;0,(T15*(1+'Cloud Consumption'!$H$6)),0)</f>
        <v>1500.512167000001</v>
      </c>
      <c r="U16" s="73">
        <f>IF(COUNT($G16)&gt;0,(U15*(1+'Cloud Consumption'!$F$7)),0)</f>
        <v>143.28359928870756</v>
      </c>
      <c r="V16" s="73">
        <f>IF(COUNT($G16)&gt;0,(V15*(1+'Cloud Consumption'!$G$7)),0)</f>
        <v>310.06793858843969</v>
      </c>
      <c r="W16" s="73">
        <f>IF(COUNT($G16)&gt;0,(W15*(1+'Cloud Consumption'!$H$7)),0)</f>
        <v>502.85705150762817</v>
      </c>
      <c r="X16" s="73">
        <f>IF(COUNT($G16)&gt;0,(X15*(1+'Cloud Consumption'!$F$8)),0)</f>
        <v>462.02434924189333</v>
      </c>
      <c r="Y16" s="73">
        <f>IF(COUNT($G16)&gt;0,(Y15*(1+'Cloud Consumption'!$G$8)),0)</f>
        <v>999.05933752103329</v>
      </c>
      <c r="Z16" s="73">
        <f>IF(COUNT($G16)&gt;0,(Z15*(1+'Cloud Consumption'!$H$8)),0)</f>
        <v>1619.0171866294386</v>
      </c>
      <c r="AA16" s="73">
        <f t="shared" si="2"/>
        <v>491.81021499276869</v>
      </c>
      <c r="AB16" s="73">
        <f t="shared" si="3"/>
        <v>1153.7985715753689</v>
      </c>
      <c r="AC16" s="73">
        <f t="shared" si="4"/>
        <v>3375.6314802558359</v>
      </c>
      <c r="AD16" s="73">
        <f t="shared" si="5"/>
        <v>3375.6314802558359</v>
      </c>
      <c r="AE16" s="73">
        <f t="shared" si="6"/>
        <v>3460.5238184524751</v>
      </c>
    </row>
    <row r="17" spans="1:31">
      <c r="A17">
        <f t="shared" si="7"/>
        <v>10</v>
      </c>
      <c r="B17">
        <f t="shared" si="8"/>
        <v>88.288031724504719</v>
      </c>
      <c r="C17">
        <f t="shared" si="9"/>
        <v>0</v>
      </c>
      <c r="D17">
        <f>IF(COUNT(A17)&gt;0,'Active Project'!$C$14,0)</f>
        <v>0</v>
      </c>
      <c r="E17" s="12">
        <f>IF(COUNT(A17)&gt;0,'Active Project'!$C$20,0)</f>
        <v>8392.471022222222</v>
      </c>
      <c r="F17" s="12">
        <f>IF(AND((COUNT($G17)&gt;0),(G17&lt;=$J$3)),'ESPO Calculator'!$D$48,0)</f>
        <v>2166.6666666666665</v>
      </c>
      <c r="G17">
        <f t="shared" si="10"/>
        <v>10</v>
      </c>
      <c r="H17">
        <f t="shared" si="11"/>
        <v>88.288031724504719</v>
      </c>
      <c r="I17" s="12">
        <f t="shared" si="0"/>
        <v>241.96300811165247</v>
      </c>
      <c r="J17" s="12">
        <f>IF(AND((COUNT($G17)&gt;0),(G17&lt;=$J$3)),'Custom ESPO Selection'!$D$41,0)</f>
        <v>0</v>
      </c>
      <c r="K17" s="12">
        <f>IF(AND((COUNT($G17)&gt;0),(G17&lt;=$J$3)),'ESPO Calculator'!$D$67,0)</f>
        <v>15250</v>
      </c>
      <c r="L17" s="12">
        <f>IF(AND((COUNT($G17)&gt;0),(G17&lt;=$J$3)),'ESPO Calculator'!$D$84,0)</f>
        <v>49008.333333333336</v>
      </c>
      <c r="M17" s="12">
        <f t="shared" si="1"/>
        <v>0</v>
      </c>
      <c r="N17" s="12">
        <f>IF(COUNT(G17)&gt;0,'Active Project'!$C$20+F17,0)</f>
        <v>10559.137688888888</v>
      </c>
      <c r="O17" s="73">
        <f>IF(COUNT($G17)&gt;0,(O16*(1+'Cloud Consumption'!$F$5)),0)</f>
        <v>75.8908210715678</v>
      </c>
      <c r="P17" s="73">
        <f>IF(COUNT($G17)&gt;0,(P16*(1+'Cloud Consumption'!$G$5)),0)</f>
        <v>158.87896866192759</v>
      </c>
      <c r="Q17" s="73">
        <f>IF(COUNT($G17)&gt;0,(Q16*(1+'Cloud Consumption'!$H$5)),0)</f>
        <v>268.90723295771602</v>
      </c>
      <c r="R17" s="73">
        <f>IF(COUNT($G17)&gt;0,(R16*(1+'Cloud Consumption'!$F$6)),0)</f>
        <v>278.85493267853917</v>
      </c>
      <c r="S17" s="73">
        <f>IF(COUNT($G17)&gt;0,(S16*(1+'Cloud Consumption'!$G$6)),0)</f>
        <v>723.95316745664093</v>
      </c>
      <c r="T17" s="73">
        <f>IF(COUNT($G17)&gt;0,(T16*(1+'Cloud Consumption'!$H$6)),0)</f>
        <v>1650.5633837000012</v>
      </c>
      <c r="U17" s="73">
        <f>IF(COUNT($G17)&gt;0,(U16*(1+'Cloud Consumption'!$F$7)),0)</f>
        <v>144.71643528159464</v>
      </c>
      <c r="V17" s="73">
        <f>IF(COUNT($G17)&gt;0,(V16*(1+'Cloud Consumption'!$G$7)),0)</f>
        <v>316.2692973602085</v>
      </c>
      <c r="W17" s="73">
        <f>IF(COUNT($G17)&gt;0,(W16*(1+'Cloud Consumption'!$H$7)),0)</f>
        <v>517.942763052857</v>
      </c>
      <c r="X17" s="73">
        <f>IF(COUNT($G17)&gt;0,(X16*(1+'Cloud Consumption'!$F$8)),0)</f>
        <v>471.26483622673123</v>
      </c>
      <c r="Y17" s="73">
        <f>IF(COUNT($G17)&gt;0,(Y16*(1+'Cloud Consumption'!$G$8)),0)</f>
        <v>1029.0311176466644</v>
      </c>
      <c r="Z17" s="73">
        <f>IF(COUNT($G17)&gt;0,(Z16*(1+'Cloud Consumption'!$H$8)),0)</f>
        <v>1683.7778740946162</v>
      </c>
      <c r="AA17" s="73">
        <f t="shared" si="2"/>
        <v>499.46218903170166</v>
      </c>
      <c r="AB17" s="73">
        <f t="shared" si="3"/>
        <v>1199.1014334787769</v>
      </c>
      <c r="AC17" s="73">
        <f t="shared" si="4"/>
        <v>3603.2484907523331</v>
      </c>
      <c r="AD17" s="73">
        <f t="shared" si="5"/>
        <v>3603.2484907523331</v>
      </c>
      <c r="AE17" s="73">
        <f t="shared" si="6"/>
        <v>3691.5365224768379</v>
      </c>
    </row>
    <row r="18" spans="1:31">
      <c r="A18">
        <f t="shared" si="7"/>
        <v>11</v>
      </c>
      <c r="B18">
        <f t="shared" si="8"/>
        <v>91.819552993484905</v>
      </c>
      <c r="C18">
        <f t="shared" si="9"/>
        <v>0</v>
      </c>
      <c r="D18">
        <f>IF(COUNT(A18)&gt;0,'Active Project'!$C$14,0)</f>
        <v>0</v>
      </c>
      <c r="E18" s="12">
        <f>IF(COUNT(A18)&gt;0,'Active Project'!$C$20,0)</f>
        <v>8392.471022222222</v>
      </c>
      <c r="F18" s="12">
        <f>IF(AND((COUNT($G18)&gt;0),(G18&lt;=$J$3)),'ESPO Calculator'!$D$48,0)</f>
        <v>2166.6666666666665</v>
      </c>
      <c r="G18">
        <f t="shared" si="10"/>
        <v>11</v>
      </c>
      <c r="H18">
        <f t="shared" si="11"/>
        <v>91.819552993484905</v>
      </c>
      <c r="I18" s="12">
        <f t="shared" si="0"/>
        <v>251.64152843611859</v>
      </c>
      <c r="J18" s="12">
        <f>IF(AND((COUNT($G18)&gt;0),(G18&lt;=$J$3)),'Custom ESPO Selection'!$D$41,0)</f>
        <v>0</v>
      </c>
      <c r="K18" s="12">
        <f>IF(AND((COUNT($G18)&gt;0),(G18&lt;=$J$3)),'ESPO Calculator'!$D$67,0)</f>
        <v>15250</v>
      </c>
      <c r="L18" s="12">
        <f>IF(AND((COUNT($G18)&gt;0),(G18&lt;=$J$3)),'ESPO Calculator'!$D$84,0)</f>
        <v>49008.333333333336</v>
      </c>
      <c r="M18" s="12">
        <f t="shared" si="1"/>
        <v>0</v>
      </c>
      <c r="N18" s="12">
        <f>IF(COUNT(G18)&gt;0,'Active Project'!$C$20+F18,0)</f>
        <v>10559.137688888888</v>
      </c>
      <c r="O18" s="73">
        <f>IF(COUNT($G18)&gt;0,(O17*(1+'Cloud Consumption'!$F$5)),0)</f>
        <v>76.649729282283474</v>
      </c>
      <c r="P18" s="73">
        <f>IF(COUNT($G18)&gt;0,(P17*(1+'Cloud Consumption'!$G$5)),0)</f>
        <v>163.64533772178541</v>
      </c>
      <c r="Q18" s="73">
        <f>IF(COUNT($G18)&gt;0,(Q17*(1+'Cloud Consumption'!$H$5)),0)</f>
        <v>282.35259460560184</v>
      </c>
      <c r="R18" s="73">
        <f>IF(COUNT($G18)&gt;0,(R17*(1+'Cloud Consumption'!$F$6)),0)</f>
        <v>284.43203133210994</v>
      </c>
      <c r="S18" s="73">
        <f>IF(COUNT($G18)&gt;0,(S17*(1+'Cloud Consumption'!$G$6)),0)</f>
        <v>760.15082582947298</v>
      </c>
      <c r="T18" s="73">
        <f>IF(COUNT($G18)&gt;0,(T17*(1+'Cloud Consumption'!$H$6)),0)</f>
        <v>1815.6197220700014</v>
      </c>
      <c r="U18" s="73">
        <f>IF(COUNT($G18)&gt;0,(U17*(1+'Cloud Consumption'!$F$7)),0)</f>
        <v>146.16359963441059</v>
      </c>
      <c r="V18" s="73">
        <f>IF(COUNT($G18)&gt;0,(V17*(1+'Cloud Consumption'!$G$7)),0)</f>
        <v>322.59468330741265</v>
      </c>
      <c r="W18" s="73">
        <f>IF(COUNT($G18)&gt;0,(W17*(1+'Cloud Consumption'!$H$7)),0)</f>
        <v>533.48104594444271</v>
      </c>
      <c r="X18" s="73">
        <f>IF(COUNT($G18)&gt;0,(X17*(1+'Cloud Consumption'!$F$8)),0)</f>
        <v>480.69013295126587</v>
      </c>
      <c r="Y18" s="73">
        <f>IF(COUNT($G18)&gt;0,(Y17*(1+'Cloud Consumption'!$G$8)),0)</f>
        <v>1059.9020511760643</v>
      </c>
      <c r="Z18" s="73">
        <f>IF(COUNT($G18)&gt;0,(Z17*(1+'Cloud Consumption'!$H$8)),0)</f>
        <v>1751.128989058401</v>
      </c>
      <c r="AA18" s="73">
        <f t="shared" si="2"/>
        <v>507.24536024880399</v>
      </c>
      <c r="AB18" s="73">
        <f t="shared" si="3"/>
        <v>1246.390846858671</v>
      </c>
      <c r="AC18" s="73">
        <f t="shared" si="4"/>
        <v>3849.1013057340042</v>
      </c>
      <c r="AD18" s="73">
        <f t="shared" si="5"/>
        <v>3849.1013057340042</v>
      </c>
      <c r="AE18" s="73">
        <f t="shared" si="6"/>
        <v>3940.9208587274893</v>
      </c>
    </row>
    <row r="19" spans="1:31">
      <c r="A19">
        <f t="shared" si="7"/>
        <v>12</v>
      </c>
      <c r="B19">
        <f t="shared" si="8"/>
        <v>95.4923351132243</v>
      </c>
      <c r="C19">
        <f t="shared" si="9"/>
        <v>0</v>
      </c>
      <c r="D19">
        <f>IF(COUNT(A19)&gt;0,'Active Project'!$C$14,0)</f>
        <v>0</v>
      </c>
      <c r="E19" s="12">
        <f>IF(COUNT(A19)&gt;0,'Active Project'!$C$20,0)</f>
        <v>8392.471022222222</v>
      </c>
      <c r="F19" s="12">
        <f>IF(AND((COUNT($G19)&gt;0),(G19&lt;=$J$3)),'ESPO Calculator'!$D$48,0)</f>
        <v>2166.6666666666665</v>
      </c>
      <c r="G19">
        <f t="shared" si="10"/>
        <v>12</v>
      </c>
      <c r="H19">
        <f t="shared" si="11"/>
        <v>95.4923351132243</v>
      </c>
      <c r="I19" s="12">
        <f t="shared" si="0"/>
        <v>261.70718957356337</v>
      </c>
      <c r="J19" s="12">
        <f>IF(AND((COUNT($G19)&gt;0),(G19&lt;=$J$3)),'Custom ESPO Selection'!$D$41,0)</f>
        <v>0</v>
      </c>
      <c r="K19" s="12">
        <f>IF(AND((COUNT($G19)&gt;0),(G19&lt;=$J$3)),'ESPO Calculator'!$D$67,0)</f>
        <v>15250</v>
      </c>
      <c r="L19" s="12">
        <f>IF(AND((COUNT($G19)&gt;0),(G19&lt;=$J$3)),'ESPO Calculator'!$D$84,0)</f>
        <v>49008.333333333336</v>
      </c>
      <c r="M19" s="12">
        <f t="shared" si="1"/>
        <v>0</v>
      </c>
      <c r="N19" s="12">
        <f>IF(COUNT(G19)&gt;0,'Active Project'!$C$20+F19,0)</f>
        <v>10559.137688888888</v>
      </c>
      <c r="O19" s="73">
        <f>IF(COUNT($G19)&gt;0,(O18*(1+'Cloud Consumption'!$F$5)),0)</f>
        <v>77.416226575106307</v>
      </c>
      <c r="P19" s="73">
        <f>IF(COUNT($G19)&gt;0,(P18*(1+'Cloud Consumption'!$G$5)),0)</f>
        <v>168.55469785343897</v>
      </c>
      <c r="Q19" s="73">
        <f>IF(COUNT($G19)&gt;0,(Q18*(1+'Cloud Consumption'!$H$5)),0)</f>
        <v>296.47022433588194</v>
      </c>
      <c r="R19" s="73">
        <f>IF(COUNT($G19)&gt;0,(R18*(1+'Cloud Consumption'!$F$6)),0)</f>
        <v>290.12067195875215</v>
      </c>
      <c r="S19" s="73">
        <f>IF(COUNT($G19)&gt;0,(S18*(1+'Cloud Consumption'!$G$6)),0)</f>
        <v>798.15836712094665</v>
      </c>
      <c r="T19" s="73">
        <f>IF(COUNT($G19)&gt;0,(T18*(1+'Cloud Consumption'!$H$6)),0)</f>
        <v>1997.1816942770017</v>
      </c>
      <c r="U19" s="73">
        <f>IF(COUNT($G19)&gt;0,(U18*(1+'Cloud Consumption'!$F$7)),0)</f>
        <v>147.6252356307547</v>
      </c>
      <c r="V19" s="73">
        <f>IF(COUNT($G19)&gt;0,(V18*(1+'Cloud Consumption'!$G$7)),0)</f>
        <v>329.04657697356089</v>
      </c>
      <c r="W19" s="73">
        <f>IF(COUNT($G19)&gt;0,(W18*(1+'Cloud Consumption'!$H$7)),0)</f>
        <v>549.48547732277598</v>
      </c>
      <c r="X19" s="73">
        <f>IF(COUNT($G19)&gt;0,(X18*(1+'Cloud Consumption'!$F$8)),0)</f>
        <v>490.30393561029121</v>
      </c>
      <c r="Y19" s="73">
        <f>IF(COUNT($G19)&gt;0,(Y18*(1+'Cloud Consumption'!$G$8)),0)</f>
        <v>1091.6991127113463</v>
      </c>
      <c r="Z19" s="73">
        <f>IF(COUNT($G19)&gt;0,(Z18*(1+'Cloud Consumption'!$H$8)),0)</f>
        <v>1821.174148620737</v>
      </c>
      <c r="AA19" s="73">
        <f t="shared" si="2"/>
        <v>515.16213416461312</v>
      </c>
      <c r="AB19" s="73">
        <f t="shared" si="3"/>
        <v>1295.7596419479464</v>
      </c>
      <c r="AC19" s="73">
        <f t="shared" si="4"/>
        <v>4114.8260672336201</v>
      </c>
      <c r="AD19" s="73">
        <f t="shared" si="5"/>
        <v>4114.8260672336201</v>
      </c>
      <c r="AE19" s="73">
        <f t="shared" si="6"/>
        <v>4210.3184023468448</v>
      </c>
    </row>
    <row r="20" spans="1:31">
      <c r="A20">
        <f t="shared" si="7"/>
        <v>13</v>
      </c>
      <c r="B20">
        <f t="shared" si="8"/>
        <v>99.312028517753276</v>
      </c>
      <c r="C20">
        <f t="shared" si="9"/>
        <v>0</v>
      </c>
      <c r="D20">
        <f>IF(COUNT(A20)&gt;0,'Active Project'!$C$14,0)</f>
        <v>0</v>
      </c>
      <c r="E20" s="12">
        <f>IF(COUNT(A20)&gt;0,'Active Project'!$C$20,0)</f>
        <v>8392.471022222222</v>
      </c>
      <c r="F20" s="12">
        <f>IF(AND((COUNT($G20)&gt;0),(G20&lt;=$J$3)),'ESPO Calculator'!$D$48,0)</f>
        <v>2166.6666666666665</v>
      </c>
      <c r="G20">
        <f t="shared" si="10"/>
        <v>13</v>
      </c>
      <c r="H20">
        <f t="shared" si="11"/>
        <v>99.312028517753276</v>
      </c>
      <c r="I20" s="12">
        <f t="shared" si="0"/>
        <v>272.17547715650591</v>
      </c>
      <c r="J20" s="12">
        <f>IF(AND((COUNT($G20)&gt;0),(G20&lt;=$J$3)),'Custom ESPO Selection'!$D$41,0)</f>
        <v>0</v>
      </c>
      <c r="K20" s="12">
        <f>IF(AND((COUNT($G20)&gt;0),(G20&lt;=$J$3)),'ESPO Calculator'!$D$67,0)</f>
        <v>15250</v>
      </c>
      <c r="L20" s="12">
        <f>IF(AND((COUNT($G20)&gt;0),(G20&lt;=$J$3)),'ESPO Calculator'!$D$84,0)</f>
        <v>49008.333333333336</v>
      </c>
      <c r="M20" s="12">
        <f t="shared" si="1"/>
        <v>0</v>
      </c>
      <c r="N20" s="12">
        <f>IF(COUNT(G20)&gt;0,'Active Project'!$C$20+F20,0)</f>
        <v>10559.137688888888</v>
      </c>
      <c r="O20" s="73">
        <f>IF(COUNT($G20)&gt;0,(O19*(1+'Cloud Consumption'!$F$5)),0)</f>
        <v>78.190388840857366</v>
      </c>
      <c r="P20" s="73">
        <f>IF(COUNT($G20)&gt;0,(P19*(1+'Cloud Consumption'!$G$5)),0)</f>
        <v>173.61133878904215</v>
      </c>
      <c r="Q20" s="73">
        <f>IF(COUNT($G20)&gt;0,(Q19*(1+'Cloud Consumption'!$H$5)),0)</f>
        <v>311.29373555267603</v>
      </c>
      <c r="R20" s="73">
        <f>IF(COUNT($G20)&gt;0,(R19*(1+'Cloud Consumption'!$F$6)),0)</f>
        <v>295.9230853979272</v>
      </c>
      <c r="S20" s="73">
        <f>IF(COUNT($G20)&gt;0,(S19*(1+'Cloud Consumption'!$G$6)),0)</f>
        <v>838.06628547699404</v>
      </c>
      <c r="T20" s="73">
        <f>IF(COUNT($G20)&gt;0,(T19*(1+'Cloud Consumption'!$H$6)),0)</f>
        <v>2196.8998637047021</v>
      </c>
      <c r="U20" s="73">
        <f>IF(COUNT($G20)&gt;0,(U19*(1+'Cloud Consumption'!$F$7)),0)</f>
        <v>149.10148798706226</v>
      </c>
      <c r="V20" s="73">
        <f>IF(COUNT($G20)&gt;0,(V19*(1+'Cloud Consumption'!$G$7)),0)</f>
        <v>335.62750851303213</v>
      </c>
      <c r="W20" s="73">
        <f>IF(COUNT($G20)&gt;0,(W19*(1+'Cloud Consumption'!$H$7)),0)</f>
        <v>565.97004164245925</v>
      </c>
      <c r="X20" s="73">
        <f>IF(COUNT($G20)&gt;0,(X19*(1+'Cloud Consumption'!$F$8)),0)</f>
        <v>500.11001432249702</v>
      </c>
      <c r="Y20" s="73">
        <f>IF(COUNT($G20)&gt;0,(Y19*(1+'Cloud Consumption'!$G$8)),0)</f>
        <v>1124.4500860926867</v>
      </c>
      <c r="Z20" s="73">
        <f>IF(COUNT($G20)&gt;0,(Z19*(1+'Cloud Consumption'!$H$8)),0)</f>
        <v>1894.0211145655664</v>
      </c>
      <c r="AA20" s="73">
        <f t="shared" si="2"/>
        <v>523.21496222584676</v>
      </c>
      <c r="AB20" s="73">
        <f t="shared" si="3"/>
        <v>1347.3051327790683</v>
      </c>
      <c r="AC20" s="73">
        <f t="shared" si="4"/>
        <v>4402.2147138229448</v>
      </c>
      <c r="AD20" s="73">
        <f t="shared" si="5"/>
        <v>4402.2147138229448</v>
      </c>
      <c r="AE20" s="73">
        <f t="shared" si="6"/>
        <v>4501.5267423406976</v>
      </c>
    </row>
    <row r="21" spans="1:31">
      <c r="A21">
        <f t="shared" si="7"/>
        <v>14</v>
      </c>
      <c r="B21">
        <f t="shared" si="8"/>
        <v>103.28450965846341</v>
      </c>
      <c r="C21">
        <f t="shared" si="9"/>
        <v>0</v>
      </c>
      <c r="D21">
        <f>IF(COUNT(A21)&gt;0,'Active Project'!$C$14,0)</f>
        <v>0</v>
      </c>
      <c r="E21" s="12">
        <f>IF(COUNT(A21)&gt;0,'Active Project'!$C$20,0)</f>
        <v>8392.471022222222</v>
      </c>
      <c r="F21" s="12">
        <f>IF(AND((COUNT($G21)&gt;0),(G21&lt;=$J$3)),'ESPO Calculator'!$D$48,0)</f>
        <v>2166.6666666666665</v>
      </c>
      <c r="G21">
        <f t="shared" si="10"/>
        <v>14</v>
      </c>
      <c r="H21">
        <f t="shared" si="11"/>
        <v>103.28450965846341</v>
      </c>
      <c r="I21" s="12">
        <f t="shared" si="0"/>
        <v>283.06249624276614</v>
      </c>
      <c r="J21" s="12">
        <f>IF(AND((COUNT($G21)&gt;0),(G21&lt;=$J$3)),'Custom ESPO Selection'!$D$41,0)</f>
        <v>0</v>
      </c>
      <c r="K21" s="12">
        <f>IF(AND((COUNT($G21)&gt;0),(G21&lt;=$J$3)),'ESPO Calculator'!$D$67,0)</f>
        <v>15250</v>
      </c>
      <c r="L21" s="12">
        <f>IF(AND((COUNT($G21)&gt;0),(G21&lt;=$J$3)),'ESPO Calculator'!$D$84,0)</f>
        <v>49008.333333333336</v>
      </c>
      <c r="M21" s="12">
        <f t="shared" si="1"/>
        <v>0</v>
      </c>
      <c r="N21" s="12">
        <f>IF(COUNT(G21)&gt;0,'Active Project'!$C$20+F21,0)</f>
        <v>10559.137688888888</v>
      </c>
      <c r="O21" s="73">
        <f>IF(COUNT($G21)&gt;0,(O20*(1+'Cloud Consumption'!$F$5)),0)</f>
        <v>78.972292729265945</v>
      </c>
      <c r="P21" s="73">
        <f>IF(COUNT($G21)&gt;0,(P20*(1+'Cloud Consumption'!$G$5)),0)</f>
        <v>178.81967895271342</v>
      </c>
      <c r="Q21" s="73">
        <f>IF(COUNT($G21)&gt;0,(Q20*(1+'Cloud Consumption'!$H$5)),0)</f>
        <v>326.85842233030985</v>
      </c>
      <c r="R21" s="73">
        <f>IF(COUNT($G21)&gt;0,(R20*(1+'Cloud Consumption'!$F$6)),0)</f>
        <v>301.84154710588575</v>
      </c>
      <c r="S21" s="73">
        <f>IF(COUNT($G21)&gt;0,(S20*(1+'Cloud Consumption'!$G$6)),0)</f>
        <v>879.96959975084383</v>
      </c>
      <c r="T21" s="73">
        <f>IF(COUNT($G21)&gt;0,(T20*(1+'Cloud Consumption'!$H$6)),0)</f>
        <v>2416.5898500751723</v>
      </c>
      <c r="U21" s="73">
        <f>IF(COUNT($G21)&gt;0,(U20*(1+'Cloud Consumption'!$F$7)),0)</f>
        <v>150.59250286693288</v>
      </c>
      <c r="V21" s="73">
        <f>IF(COUNT($G21)&gt;0,(V20*(1+'Cloud Consumption'!$G$7)),0)</f>
        <v>342.3400586832928</v>
      </c>
      <c r="W21" s="73">
        <f>IF(COUNT($G21)&gt;0,(W20*(1+'Cloud Consumption'!$H$7)),0)</f>
        <v>582.949142891733</v>
      </c>
      <c r="X21" s="73">
        <f>IF(COUNT($G21)&gt;0,(X20*(1+'Cloud Consumption'!$F$8)),0)</f>
        <v>510.112214608947</v>
      </c>
      <c r="Y21" s="73">
        <f>IF(COUNT($G21)&gt;0,(Y20*(1+'Cloud Consumption'!$G$8)),0)</f>
        <v>1158.1835886754673</v>
      </c>
      <c r="Z21" s="73">
        <f>IF(COUNT($G21)&gt;0,(Z20*(1+'Cloud Consumption'!$H$8)),0)</f>
        <v>1969.7819591481891</v>
      </c>
      <c r="AA21" s="73">
        <f t="shared" si="2"/>
        <v>531.40634270208466</v>
      </c>
      <c r="AB21" s="73">
        <f t="shared" si="3"/>
        <v>1401.1293373868502</v>
      </c>
      <c r="AC21" s="73">
        <f t="shared" si="4"/>
        <v>4713.2302315536717</v>
      </c>
      <c r="AD21" s="73">
        <f t="shared" si="5"/>
        <v>4713.2302315536717</v>
      </c>
      <c r="AE21" s="73">
        <f t="shared" si="6"/>
        <v>4816.514741212135</v>
      </c>
    </row>
    <row r="22" spans="1:31">
      <c r="A22">
        <f t="shared" si="7"/>
        <v>15</v>
      </c>
      <c r="B22">
        <f t="shared" si="8"/>
        <v>107.41589004480194</v>
      </c>
      <c r="C22">
        <f t="shared" si="9"/>
        <v>0</v>
      </c>
      <c r="D22">
        <f>IF(COUNT(A22)&gt;0,'Active Project'!$C$14,0)</f>
        <v>0</v>
      </c>
      <c r="E22" s="12">
        <f>IF(COUNT(A22)&gt;0,'Active Project'!$C$20,0)</f>
        <v>8392.471022222222</v>
      </c>
      <c r="F22" s="12">
        <f>IF(AND((COUNT($G22)&gt;0),(G22&lt;=$J$3)),'ESPO Calculator'!$D$48,0)</f>
        <v>2166.6666666666665</v>
      </c>
      <c r="G22">
        <f t="shared" si="10"/>
        <v>15</v>
      </c>
      <c r="H22">
        <f t="shared" si="11"/>
        <v>107.41589004480194</v>
      </c>
      <c r="I22" s="12">
        <f t="shared" si="0"/>
        <v>294.3849960924768</v>
      </c>
      <c r="J22" s="12">
        <f>IF(AND((COUNT($G22)&gt;0),(G22&lt;=$J$3)),'Custom ESPO Selection'!$D$41,0)</f>
        <v>0</v>
      </c>
      <c r="K22" s="12">
        <f>IF(AND((COUNT($G22)&gt;0),(G22&lt;=$J$3)),'ESPO Calculator'!$D$67,0)</f>
        <v>15250</v>
      </c>
      <c r="L22" s="12">
        <f>IF(AND((COUNT($G22)&gt;0),(G22&lt;=$J$3)),'ESPO Calculator'!$D$84,0)</f>
        <v>49008.333333333336</v>
      </c>
      <c r="M22" s="12">
        <f t="shared" si="1"/>
        <v>0</v>
      </c>
      <c r="N22" s="12">
        <f>IF(COUNT(G22)&gt;0,'Active Project'!$C$20+F22,0)</f>
        <v>10559.137688888888</v>
      </c>
      <c r="O22" s="73">
        <f>IF(COUNT($G22)&gt;0,(O21*(1+'Cloud Consumption'!$F$5)),0)</f>
        <v>79.762015656558603</v>
      </c>
      <c r="P22" s="73">
        <f>IF(COUNT($G22)&gt;0,(P21*(1+'Cloud Consumption'!$G$5)),0)</f>
        <v>184.18426932129483</v>
      </c>
      <c r="Q22" s="73">
        <f>IF(COUNT($G22)&gt;0,(Q21*(1+'Cloud Consumption'!$H$5)),0)</f>
        <v>343.20134344682538</v>
      </c>
      <c r="R22" s="73">
        <f>IF(COUNT($G22)&gt;0,(R21*(1+'Cloud Consumption'!$F$6)),0)</f>
        <v>307.87837804800347</v>
      </c>
      <c r="S22" s="73">
        <f>IF(COUNT($G22)&gt;0,(S21*(1+'Cloud Consumption'!$G$6)),0)</f>
        <v>923.96807973838611</v>
      </c>
      <c r="T22" s="73">
        <f>IF(COUNT($G22)&gt;0,(T21*(1+'Cloud Consumption'!$H$6)),0)</f>
        <v>2658.2488350826898</v>
      </c>
      <c r="U22" s="73">
        <f>IF(COUNT($G22)&gt;0,(U21*(1+'Cloud Consumption'!$F$7)),0)</f>
        <v>152.09842789560221</v>
      </c>
      <c r="V22" s="73">
        <f>IF(COUNT($G22)&gt;0,(V21*(1+'Cloud Consumption'!$G$7)),0)</f>
        <v>349.18685985695868</v>
      </c>
      <c r="W22" s="73">
        <f>IF(COUNT($G22)&gt;0,(W21*(1+'Cloud Consumption'!$H$7)),0)</f>
        <v>600.43761717848497</v>
      </c>
      <c r="X22" s="73">
        <f>IF(COUNT($G22)&gt;0,(X21*(1+'Cloud Consumption'!$F$8)),0)</f>
        <v>520.31445890112593</v>
      </c>
      <c r="Y22" s="73">
        <f>IF(COUNT($G22)&gt;0,(Y21*(1+'Cloud Consumption'!$G$8)),0)</f>
        <v>1192.9290963357314</v>
      </c>
      <c r="Z22" s="73">
        <f>IF(COUNT($G22)&gt;0,(Z21*(1+'Cloud Consumption'!$H$8)),0)</f>
        <v>2048.573237514117</v>
      </c>
      <c r="AA22" s="73">
        <f t="shared" si="2"/>
        <v>539.73882160016433</v>
      </c>
      <c r="AB22" s="73">
        <f t="shared" si="3"/>
        <v>1457.3392089166396</v>
      </c>
      <c r="AC22" s="73">
        <f t="shared" si="4"/>
        <v>5050.0234160436321</v>
      </c>
      <c r="AD22" s="73">
        <f t="shared" si="5"/>
        <v>5050.0234160436321</v>
      </c>
      <c r="AE22" s="73">
        <f t="shared" si="6"/>
        <v>5157.439306088434</v>
      </c>
    </row>
    <row r="23" spans="1:31">
      <c r="A23">
        <f t="shared" si="7"/>
        <v>16</v>
      </c>
      <c r="B23">
        <f t="shared" si="8"/>
        <v>111.71252564659402</v>
      </c>
      <c r="C23">
        <f t="shared" si="9"/>
        <v>0</v>
      </c>
      <c r="D23">
        <f>IF(COUNT(A23)&gt;0,'Active Project'!$C$14,0)</f>
        <v>0</v>
      </c>
      <c r="E23" s="12">
        <f>IF(COUNT(A23)&gt;0,'Active Project'!$C$20,0)</f>
        <v>8392.471022222222</v>
      </c>
      <c r="F23" s="12">
        <f>IF(AND((COUNT($G23)&gt;0),(G23&lt;=$J$3)),'ESPO Calculator'!$D$48,0)</f>
        <v>2166.6666666666665</v>
      </c>
      <c r="G23">
        <f t="shared" si="10"/>
        <v>16</v>
      </c>
      <c r="H23">
        <f t="shared" si="11"/>
        <v>111.71252564659402</v>
      </c>
      <c r="I23" s="12">
        <f t="shared" si="0"/>
        <v>306.16039593617586</v>
      </c>
      <c r="J23" s="12">
        <f>IF(AND((COUNT($G23)&gt;0),(G23&lt;=$J$3)),'Custom ESPO Selection'!$D$41,0)</f>
        <v>0</v>
      </c>
      <c r="K23" s="12">
        <f>IF(AND((COUNT($G23)&gt;0),(G23&lt;=$J$3)),'ESPO Calculator'!$D$67,0)</f>
        <v>15250</v>
      </c>
      <c r="L23" s="12">
        <f>IF(AND((COUNT($G23)&gt;0),(G23&lt;=$J$3)),'ESPO Calculator'!$D$84,0)</f>
        <v>49008.333333333336</v>
      </c>
      <c r="M23" s="12">
        <f t="shared" si="1"/>
        <v>0</v>
      </c>
      <c r="N23" s="12">
        <f>IF(COUNT(G23)&gt;0,'Active Project'!$C$20+F23,0)</f>
        <v>10559.137688888888</v>
      </c>
      <c r="O23" s="73">
        <f>IF(COUNT($G23)&gt;0,(O22*(1+'Cloud Consumption'!$F$5)),0)</f>
        <v>80.559635813124189</v>
      </c>
      <c r="P23" s="73">
        <f>IF(COUNT($G23)&gt;0,(P22*(1+'Cloud Consumption'!$G$5)),0)</f>
        <v>189.7097974009337</v>
      </c>
      <c r="Q23" s="73">
        <f>IF(COUNT($G23)&gt;0,(Q22*(1+'Cloud Consumption'!$H$5)),0)</f>
        <v>360.36141061916663</v>
      </c>
      <c r="R23" s="73">
        <f>IF(COUNT($G23)&gt;0,(R22*(1+'Cloud Consumption'!$F$6)),0)</f>
        <v>314.03594560896352</v>
      </c>
      <c r="S23" s="73">
        <f>IF(COUNT($G23)&gt;0,(S22*(1+'Cloud Consumption'!$G$6)),0)</f>
        <v>970.16648372530551</v>
      </c>
      <c r="T23" s="73">
        <f>IF(COUNT($G23)&gt;0,(T22*(1+'Cloud Consumption'!$H$6)),0)</f>
        <v>2924.0737185909588</v>
      </c>
      <c r="U23" s="73">
        <f>IF(COUNT($G23)&gt;0,(U22*(1+'Cloud Consumption'!$F$7)),0)</f>
        <v>153.61941217455825</v>
      </c>
      <c r="V23" s="73">
        <f>IF(COUNT($G23)&gt;0,(V22*(1+'Cloud Consumption'!$G$7)),0)</f>
        <v>356.17059705409787</v>
      </c>
      <c r="W23" s="73">
        <f>IF(COUNT($G23)&gt;0,(W22*(1+'Cloud Consumption'!$H$7)),0)</f>
        <v>618.45074569383951</v>
      </c>
      <c r="X23" s="73">
        <f>IF(COUNT($G23)&gt;0,(X22*(1+'Cloud Consumption'!$F$8)),0)</f>
        <v>530.72074807914851</v>
      </c>
      <c r="Y23" s="73">
        <f>IF(COUNT($G23)&gt;0,(Y22*(1+'Cloud Consumption'!$G$8)),0)</f>
        <v>1228.7169692258033</v>
      </c>
      <c r="Z23" s="73">
        <f>IF(COUNT($G23)&gt;0,(Z22*(1+'Cloud Consumption'!$H$8)),0)</f>
        <v>2130.5161670146817</v>
      </c>
      <c r="AA23" s="73">
        <f t="shared" si="2"/>
        <v>548.21499359664597</v>
      </c>
      <c r="AB23" s="73">
        <f t="shared" si="3"/>
        <v>1516.0468781803372</v>
      </c>
      <c r="AC23" s="73">
        <f t="shared" si="4"/>
        <v>5414.9512962248073</v>
      </c>
      <c r="AD23" s="73">
        <f t="shared" si="5"/>
        <v>5414.9512962248073</v>
      </c>
      <c r="AE23" s="73">
        <f t="shared" si="6"/>
        <v>5526.6638218714015</v>
      </c>
    </row>
    <row r="24" spans="1:31">
      <c r="A24">
        <f t="shared" si="7"/>
        <v>17</v>
      </c>
      <c r="B24">
        <f t="shared" si="8"/>
        <v>116.18102667245778</v>
      </c>
      <c r="C24">
        <f t="shared" si="9"/>
        <v>0</v>
      </c>
      <c r="D24">
        <f>IF(COUNT(A24)&gt;0,'Active Project'!$C$14,0)</f>
        <v>0</v>
      </c>
      <c r="E24" s="12">
        <f>IF(COUNT(A24)&gt;0,'Active Project'!$C$20,0)</f>
        <v>8392.471022222222</v>
      </c>
      <c r="F24" s="12">
        <f>IF(AND((COUNT($G24)&gt;0),(G24&lt;=$J$3)),'ESPO Calculator'!$D$48,0)</f>
        <v>2166.6666666666665</v>
      </c>
      <c r="G24">
        <f t="shared" si="10"/>
        <v>17</v>
      </c>
      <c r="H24">
        <f t="shared" si="11"/>
        <v>116.18102667245778</v>
      </c>
      <c r="I24" s="12">
        <f t="shared" si="0"/>
        <v>318.40681177362291</v>
      </c>
      <c r="J24" s="12">
        <f>IF(AND((COUNT($G24)&gt;0),(G24&lt;=$J$3)),'Custom ESPO Selection'!$D$41,0)</f>
        <v>0</v>
      </c>
      <c r="K24" s="12">
        <f>IF(AND((COUNT($G24)&gt;0),(G24&lt;=$J$3)),'ESPO Calculator'!$D$67,0)</f>
        <v>15250</v>
      </c>
      <c r="L24" s="12">
        <f>IF(AND((COUNT($G24)&gt;0),(G24&lt;=$J$3)),'ESPO Calculator'!$D$84,0)</f>
        <v>49008.333333333336</v>
      </c>
      <c r="M24" s="12">
        <f t="shared" si="1"/>
        <v>0</v>
      </c>
      <c r="N24" s="12">
        <f>IF(COUNT(G24)&gt;0,'Active Project'!$C$20+F24,0)</f>
        <v>10559.137688888888</v>
      </c>
      <c r="O24" s="73">
        <f>IF(COUNT($G24)&gt;0,(O23*(1+'Cloud Consumption'!$F$5)),0)</f>
        <v>81.365232171255428</v>
      </c>
      <c r="P24" s="73">
        <f>IF(COUNT($G24)&gt;0,(P23*(1+'Cloud Consumption'!$G$5)),0)</f>
        <v>195.40109132296172</v>
      </c>
      <c r="Q24" s="73">
        <f>IF(COUNT($G24)&gt;0,(Q23*(1+'Cloud Consumption'!$H$5)),0)</f>
        <v>378.379481150125</v>
      </c>
      <c r="R24" s="73">
        <f>IF(COUNT($G24)&gt;0,(R23*(1+'Cloud Consumption'!$F$6)),0)</f>
        <v>320.3166645211428</v>
      </c>
      <c r="S24" s="73">
        <f>IF(COUNT($G24)&gt;0,(S23*(1+'Cloud Consumption'!$G$6)),0)</f>
        <v>1018.6748079115708</v>
      </c>
      <c r="T24" s="73">
        <f>IF(COUNT($G24)&gt;0,(T23*(1+'Cloud Consumption'!$H$6)),0)</f>
        <v>3216.481090450055</v>
      </c>
      <c r="U24" s="73">
        <f>IF(COUNT($G24)&gt;0,(U23*(1+'Cloud Consumption'!$F$7)),0)</f>
        <v>155.15560629630383</v>
      </c>
      <c r="V24" s="73">
        <f>IF(COUNT($G24)&gt;0,(V23*(1+'Cloud Consumption'!$G$7)),0)</f>
        <v>363.29400899517981</v>
      </c>
      <c r="W24" s="73">
        <f>IF(COUNT($G24)&gt;0,(W23*(1+'Cloud Consumption'!$H$7)),0)</f>
        <v>637.00426806465475</v>
      </c>
      <c r="X24" s="73">
        <f>IF(COUNT($G24)&gt;0,(X23*(1+'Cloud Consumption'!$F$8)),0)</f>
        <v>541.33516304073146</v>
      </c>
      <c r="Y24" s="73">
        <f>IF(COUNT($G24)&gt;0,(Y23*(1+'Cloud Consumption'!$G$8)),0)</f>
        <v>1265.5784783025774</v>
      </c>
      <c r="Z24" s="73">
        <f>IF(COUNT($G24)&gt;0,(Z23*(1+'Cloud Consumption'!$H$8)),0)</f>
        <v>2215.7368136952691</v>
      </c>
      <c r="AA24" s="73">
        <f t="shared" si="2"/>
        <v>556.83750298870211</v>
      </c>
      <c r="AB24" s="73">
        <f t="shared" si="3"/>
        <v>1577.3699082297123</v>
      </c>
      <c r="AC24" s="73">
        <f t="shared" si="4"/>
        <v>5810.5973852954494</v>
      </c>
      <c r="AD24" s="73">
        <f t="shared" si="5"/>
        <v>5810.5973852954494</v>
      </c>
      <c r="AE24" s="73">
        <f t="shared" si="6"/>
        <v>5926.7784119679072</v>
      </c>
    </row>
    <row r="25" spans="1:31">
      <c r="A25">
        <f t="shared" si="7"/>
        <v>18</v>
      </c>
      <c r="B25">
        <f t="shared" si="8"/>
        <v>120.82826773935609</v>
      </c>
      <c r="C25">
        <f t="shared" si="9"/>
        <v>0</v>
      </c>
      <c r="D25">
        <f>IF(COUNT(A25)&gt;0,'Active Project'!$C$14,0)</f>
        <v>0</v>
      </c>
      <c r="E25" s="12">
        <f>IF(COUNT(A25)&gt;0,'Active Project'!$C$20,0)</f>
        <v>8392.471022222222</v>
      </c>
      <c r="F25" s="12">
        <f>IF(AND((COUNT($G25)&gt;0),(G25&lt;=$J$3)),'ESPO Calculator'!$D$48,0)</f>
        <v>2166.6666666666665</v>
      </c>
      <c r="G25">
        <f t="shared" si="10"/>
        <v>18</v>
      </c>
      <c r="H25">
        <f t="shared" si="11"/>
        <v>120.82826773935609</v>
      </c>
      <c r="I25" s="12">
        <f t="shared" si="0"/>
        <v>331.14308424456783</v>
      </c>
      <c r="J25" s="12">
        <f>IF(AND((COUNT($G25)&gt;0),(G25&lt;=$J$3)),'Custom ESPO Selection'!$D$41,0)</f>
        <v>0</v>
      </c>
      <c r="K25" s="12">
        <f>IF(AND((COUNT($G25)&gt;0),(G25&lt;=$J$3)),'ESPO Calculator'!$D$67,0)</f>
        <v>15250</v>
      </c>
      <c r="L25" s="12">
        <f>IF(AND((COUNT($G25)&gt;0),(G25&lt;=$J$3)),'ESPO Calculator'!$D$84,0)</f>
        <v>49008.333333333336</v>
      </c>
      <c r="M25" s="12">
        <f t="shared" si="1"/>
        <v>0</v>
      </c>
      <c r="N25" s="12">
        <f>IF(COUNT(G25)&gt;0,'Active Project'!$C$20+F25,0)</f>
        <v>10559.137688888888</v>
      </c>
      <c r="O25" s="73">
        <f>IF(COUNT($G25)&gt;0,(O24*(1+'Cloud Consumption'!$F$5)),0)</f>
        <v>82.178884492967981</v>
      </c>
      <c r="P25" s="73">
        <f>IF(COUNT($G25)&gt;0,(P24*(1+'Cloud Consumption'!$G$5)),0)</f>
        <v>201.26312406265058</v>
      </c>
      <c r="Q25" s="73">
        <f>IF(COUNT($G25)&gt;0,(Q24*(1+'Cloud Consumption'!$H$5)),0)</f>
        <v>397.29845520763126</v>
      </c>
      <c r="R25" s="73">
        <f>IF(COUNT($G25)&gt;0,(R24*(1+'Cloud Consumption'!$F$6)),0)</f>
        <v>326.72299781156568</v>
      </c>
      <c r="S25" s="73">
        <f>IF(COUNT($G25)&gt;0,(S24*(1+'Cloud Consumption'!$G$6)),0)</f>
        <v>1069.6085483071495</v>
      </c>
      <c r="T25" s="73">
        <f>IF(COUNT($G25)&gt;0,(T24*(1+'Cloud Consumption'!$H$6)),0)</f>
        <v>3538.1291994950607</v>
      </c>
      <c r="U25" s="73">
        <f>IF(COUNT($G25)&gt;0,(U24*(1+'Cloud Consumption'!$F$7)),0)</f>
        <v>156.70716235926687</v>
      </c>
      <c r="V25" s="73">
        <f>IF(COUNT($G25)&gt;0,(V24*(1+'Cloud Consumption'!$G$7)),0)</f>
        <v>370.55988917508341</v>
      </c>
      <c r="W25" s="73">
        <f>IF(COUNT($G25)&gt;0,(W24*(1+'Cloud Consumption'!$H$7)),0)</f>
        <v>656.11439610659443</v>
      </c>
      <c r="X25" s="73">
        <f>IF(COUNT($G25)&gt;0,(X24*(1+'Cloud Consumption'!$F$8)),0)</f>
        <v>552.16186630154607</v>
      </c>
      <c r="Y25" s="73">
        <f>IF(COUNT($G25)&gt;0,(Y24*(1+'Cloud Consumption'!$G$8)),0)</f>
        <v>1303.5458326516548</v>
      </c>
      <c r="Z25" s="73">
        <f>IF(COUNT($G25)&gt;0,(Z24*(1+'Cloud Consumption'!$H$8)),0)</f>
        <v>2304.3662862430801</v>
      </c>
      <c r="AA25" s="73">
        <f t="shared" si="2"/>
        <v>565.60904466380055</v>
      </c>
      <c r="AB25" s="73">
        <f t="shared" si="3"/>
        <v>1641.4315615448836</v>
      </c>
      <c r="AC25" s="73">
        <f t="shared" si="4"/>
        <v>6239.7939409457722</v>
      </c>
      <c r="AD25" s="73">
        <f t="shared" si="5"/>
        <v>6239.7939409457722</v>
      </c>
      <c r="AE25" s="73">
        <f t="shared" si="6"/>
        <v>6360.6222086851285</v>
      </c>
    </row>
    <row r="26" spans="1:31">
      <c r="A26">
        <f t="shared" si="7"/>
        <v>19</v>
      </c>
      <c r="B26">
        <f t="shared" si="8"/>
        <v>125.66139844893034</v>
      </c>
      <c r="C26">
        <f t="shared" si="9"/>
        <v>0</v>
      </c>
      <c r="D26">
        <f>IF(COUNT(A26)&gt;0,'Active Project'!$C$14,0)</f>
        <v>0</v>
      </c>
      <c r="E26" s="12">
        <f>IF(COUNT(A26)&gt;0,'Active Project'!$C$20,0)</f>
        <v>8392.471022222222</v>
      </c>
      <c r="F26" s="12">
        <f>IF(AND((COUNT($G26)&gt;0),(G26&lt;=$J$3)),'ESPO Calculator'!$D$48,0)</f>
        <v>0</v>
      </c>
      <c r="G26">
        <f t="shared" si="10"/>
        <v>19</v>
      </c>
      <c r="H26">
        <f t="shared" si="11"/>
        <v>125.66139844893034</v>
      </c>
      <c r="I26" s="12">
        <f t="shared" si="0"/>
        <v>344.38880761435058</v>
      </c>
      <c r="J26" s="12">
        <f>IF(AND((COUNT($G26)&gt;0),(G26&lt;=$J$3)),'Custom ESPO Selection'!$D$41,0)</f>
        <v>0</v>
      </c>
      <c r="K26" s="12">
        <f>IF(AND((COUNT($G26)&gt;0),(G26&lt;=$J$3)),'ESPO Calculator'!$D$67,0)</f>
        <v>0</v>
      </c>
      <c r="L26" s="12">
        <f>IF(AND((COUNT($G26)&gt;0),(G26&lt;=$J$3)),'ESPO Calculator'!$D$84,0)</f>
        <v>0</v>
      </c>
      <c r="M26" s="12">
        <f t="shared" si="1"/>
        <v>0</v>
      </c>
      <c r="N26" s="12">
        <f>IF(COUNT(G26)&gt;0,'Active Project'!$C$20+F26,0)</f>
        <v>8392.471022222222</v>
      </c>
      <c r="O26" s="73">
        <f>IF(COUNT($G26)&gt;0,(O25*(1+'Cloud Consumption'!$F$5)),0)</f>
        <v>83.000673337897666</v>
      </c>
      <c r="P26" s="73">
        <f>IF(COUNT($G26)&gt;0,(P25*(1+'Cloud Consumption'!$G$5)),0)</f>
        <v>207.3010177845301</v>
      </c>
      <c r="Q26" s="73">
        <f>IF(COUNT($G26)&gt;0,(Q25*(1+'Cloud Consumption'!$H$5)),0)</f>
        <v>417.16337796801287</v>
      </c>
      <c r="R26" s="73">
        <f>IF(COUNT($G26)&gt;0,(R25*(1+'Cloud Consumption'!$F$6)),0)</f>
        <v>333.25745776779701</v>
      </c>
      <c r="S26" s="73">
        <f>IF(COUNT($G26)&gt;0,(S25*(1+'Cloud Consumption'!$G$6)),0)</f>
        <v>1123.088975722507</v>
      </c>
      <c r="T26" s="73">
        <f>IF(COUNT($G26)&gt;0,(T25*(1+'Cloud Consumption'!$H$6)),0)</f>
        <v>3891.9421194445672</v>
      </c>
      <c r="U26" s="73">
        <f>IF(COUNT($G26)&gt;0,(U25*(1+'Cloud Consumption'!$F$7)),0)</f>
        <v>158.27423398285956</v>
      </c>
      <c r="V26" s="73">
        <f>IF(COUNT($G26)&gt;0,(V25*(1+'Cloud Consumption'!$G$7)),0)</f>
        <v>377.97108695858509</v>
      </c>
      <c r="W26" s="73">
        <f>IF(COUNT($G26)&gt;0,(W25*(1+'Cloud Consumption'!$H$7)),0)</f>
        <v>675.79782798979227</v>
      </c>
      <c r="X26" s="73">
        <f>IF(COUNT($G26)&gt;0,(X25*(1+'Cloud Consumption'!$F$8)),0)</f>
        <v>563.20510362757705</v>
      </c>
      <c r="Y26" s="73">
        <f>IF(COUNT($G26)&gt;0,(Y25*(1+'Cloud Consumption'!$G$8)),0)</f>
        <v>1342.6522076312044</v>
      </c>
      <c r="Z26" s="73">
        <f>IF(COUNT($G26)&gt;0,(Z25*(1+'Cloud Consumption'!$H$8)),0)</f>
        <v>2396.5409376928033</v>
      </c>
      <c r="AA26" s="73">
        <f t="shared" si="2"/>
        <v>574.53236508855423</v>
      </c>
      <c r="AB26" s="73">
        <f t="shared" si="3"/>
        <v>1708.3610804656223</v>
      </c>
      <c r="AC26" s="73">
        <f t="shared" si="4"/>
        <v>6705.6464351053837</v>
      </c>
      <c r="AD26" s="73">
        <f t="shared" si="5"/>
        <v>6705.6464351053837</v>
      </c>
      <c r="AE26" s="73">
        <f t="shared" si="6"/>
        <v>6831.3078335543141</v>
      </c>
    </row>
    <row r="27" spans="1:31">
      <c r="A27">
        <f t="shared" si="7"/>
        <v>20</v>
      </c>
      <c r="B27">
        <f t="shared" si="8"/>
        <v>130.68785438688755</v>
      </c>
      <c r="C27">
        <f t="shared" si="9"/>
        <v>0</v>
      </c>
      <c r="D27">
        <f>IF(COUNT(A27)&gt;0,'Active Project'!$C$14,0)</f>
        <v>0</v>
      </c>
      <c r="E27" s="12">
        <f>IF(COUNT(A27)&gt;0,'Active Project'!$C$20,0)</f>
        <v>8392.471022222222</v>
      </c>
      <c r="F27" s="12">
        <f>IF(AND((COUNT($G27)&gt;0),(G27&lt;=$J$3)),'ESPO Calculator'!$D$48,0)</f>
        <v>0</v>
      </c>
      <c r="G27">
        <f t="shared" si="10"/>
        <v>20</v>
      </c>
      <c r="H27">
        <f t="shared" si="11"/>
        <v>130.68785438688755</v>
      </c>
      <c r="I27" s="12">
        <f t="shared" si="0"/>
        <v>358.16435991892462</v>
      </c>
      <c r="J27" s="12">
        <f>IF(AND((COUNT($G27)&gt;0),(G27&lt;=$J$3)),'Custom ESPO Selection'!$D$41,0)</f>
        <v>0</v>
      </c>
      <c r="K27" s="12">
        <f>IF(AND((COUNT($G27)&gt;0),(G27&lt;=$J$3)),'ESPO Calculator'!$D$67,0)</f>
        <v>0</v>
      </c>
      <c r="L27" s="12">
        <f>IF(AND((COUNT($G27)&gt;0),(G27&lt;=$J$3)),'ESPO Calculator'!$D$84,0)</f>
        <v>0</v>
      </c>
      <c r="M27" s="12">
        <f t="shared" si="1"/>
        <v>0</v>
      </c>
      <c r="N27" s="12">
        <f>IF(COUNT(G27)&gt;0,'Active Project'!$C$20+F27,0)</f>
        <v>8392.471022222222</v>
      </c>
      <c r="O27" s="73">
        <f>IF(COUNT($G27)&gt;0,(O26*(1+'Cloud Consumption'!$F$5)),0)</f>
        <v>83.830680071276646</v>
      </c>
      <c r="P27" s="73">
        <f>IF(COUNT($G27)&gt;0,(P26*(1+'Cloud Consumption'!$G$5)),0)</f>
        <v>213.52004831806602</v>
      </c>
      <c r="Q27" s="73">
        <f>IF(COUNT($G27)&gt;0,(Q26*(1+'Cloud Consumption'!$H$5)),0)</f>
        <v>438.02154686641353</v>
      </c>
      <c r="R27" s="73">
        <f>IF(COUNT($G27)&gt;0,(R26*(1+'Cloud Consumption'!$F$6)),0)</f>
        <v>339.92260692315296</v>
      </c>
      <c r="S27" s="73">
        <f>IF(COUNT($G27)&gt;0,(S26*(1+'Cloud Consumption'!$G$6)),0)</f>
        <v>1179.2434245086324</v>
      </c>
      <c r="T27" s="73">
        <f>IF(COUNT($G27)&gt;0,(T26*(1+'Cloud Consumption'!$H$6)),0)</f>
        <v>4281.1363313890242</v>
      </c>
      <c r="U27" s="73">
        <f>IF(COUNT($G27)&gt;0,(U26*(1+'Cloud Consumption'!$F$7)),0)</f>
        <v>159.85697632268815</v>
      </c>
      <c r="V27" s="73">
        <f>IF(COUNT($G27)&gt;0,(V26*(1+'Cloud Consumption'!$G$7)),0)</f>
        <v>385.53050869775677</v>
      </c>
      <c r="W27" s="73">
        <f>IF(COUNT($G27)&gt;0,(W26*(1+'Cloud Consumption'!$H$7)),0)</f>
        <v>696.07176282948603</v>
      </c>
      <c r="X27" s="73">
        <f>IF(COUNT($G27)&gt;0,(X26*(1+'Cloud Consumption'!$F$8)),0)</f>
        <v>574.46920570012855</v>
      </c>
      <c r="Y27" s="73">
        <f>IF(COUNT($G27)&gt;0,(Y26*(1+'Cloud Consumption'!$G$8)),0)</f>
        <v>1382.9317738601405</v>
      </c>
      <c r="Z27" s="73">
        <f>IF(COUNT($G27)&gt;0,(Z26*(1+'Cloud Consumption'!$H$8)),0)</f>
        <v>2492.4025752005155</v>
      </c>
      <c r="AA27" s="73">
        <f t="shared" si="2"/>
        <v>583.61026331711776</v>
      </c>
      <c r="AB27" s="73">
        <f t="shared" si="3"/>
        <v>1778.2939815244554</v>
      </c>
      <c r="AC27" s="73">
        <f t="shared" si="4"/>
        <v>7211.5604534559534</v>
      </c>
      <c r="AD27" s="73">
        <f t="shared" si="5"/>
        <v>7211.5604534559534</v>
      </c>
      <c r="AE27" s="73">
        <f t="shared" si="6"/>
        <v>7342.2483078428413</v>
      </c>
    </row>
    <row r="28" spans="1:31">
      <c r="A28">
        <f t="shared" si="7"/>
        <v>21</v>
      </c>
      <c r="B28">
        <f t="shared" si="8"/>
        <v>135.91536856236306</v>
      </c>
      <c r="C28">
        <f t="shared" si="9"/>
        <v>0</v>
      </c>
      <c r="D28">
        <f>IF(COUNT(A28)&gt;0,'Active Project'!$C$14,0)</f>
        <v>0</v>
      </c>
      <c r="E28" s="12">
        <f>IF(COUNT(A28)&gt;0,'Active Project'!$C$20,0)</f>
        <v>8392.471022222222</v>
      </c>
      <c r="F28" s="12">
        <f>IF(AND((COUNT($G28)&gt;0),(G28&lt;=$J$3)),'ESPO Calculator'!$D$48,0)</f>
        <v>0</v>
      </c>
      <c r="G28">
        <f t="shared" si="10"/>
        <v>21</v>
      </c>
      <c r="H28">
        <f t="shared" si="11"/>
        <v>135.91536856236306</v>
      </c>
      <c r="I28" s="12">
        <f t="shared" si="0"/>
        <v>372.49093431568161</v>
      </c>
      <c r="J28" s="12">
        <f>IF(AND((COUNT($G28)&gt;0),(G28&lt;=$J$3)),'Custom ESPO Selection'!$D$41,0)</f>
        <v>0</v>
      </c>
      <c r="K28" s="12">
        <f>IF(AND((COUNT($G28)&gt;0),(G28&lt;=$J$3)),'ESPO Calculator'!$D$67,0)</f>
        <v>0</v>
      </c>
      <c r="L28" s="12">
        <f>IF(AND((COUNT($G28)&gt;0),(G28&lt;=$J$3)),'ESPO Calculator'!$D$84,0)</f>
        <v>0</v>
      </c>
      <c r="M28" s="12">
        <f t="shared" si="1"/>
        <v>0</v>
      </c>
      <c r="N28" s="12">
        <f>IF(COUNT(G28)&gt;0,'Active Project'!$C$20+F28,0)</f>
        <v>8392.471022222222</v>
      </c>
      <c r="O28" s="73">
        <f>IF(COUNT($G28)&gt;0,(O27*(1+'Cloud Consumption'!$F$5)),0)</f>
        <v>84.668986871989418</v>
      </c>
      <c r="P28" s="73">
        <f>IF(COUNT($G28)&gt;0,(P27*(1+'Cloud Consumption'!$G$5)),0)</f>
        <v>219.92564976760801</v>
      </c>
      <c r="Q28" s="73">
        <f>IF(COUNT($G28)&gt;0,(Q27*(1+'Cloud Consumption'!$H$5)),0)</f>
        <v>459.92262420973424</v>
      </c>
      <c r="R28" s="73">
        <f>IF(COUNT($G28)&gt;0,(R27*(1+'Cloud Consumption'!$F$6)),0)</f>
        <v>346.72105906161602</v>
      </c>
      <c r="S28" s="73">
        <f>IF(COUNT($G28)&gt;0,(S27*(1+'Cloud Consumption'!$G$6)),0)</f>
        <v>1238.205595734064</v>
      </c>
      <c r="T28" s="73">
        <f>IF(COUNT($G28)&gt;0,(T27*(1+'Cloud Consumption'!$H$6)),0)</f>
        <v>4709.2499645279267</v>
      </c>
      <c r="U28" s="73">
        <f>IF(COUNT($G28)&gt;0,(U27*(1+'Cloud Consumption'!$F$7)),0)</f>
        <v>161.45554608591505</v>
      </c>
      <c r="V28" s="73">
        <f>IF(COUNT($G28)&gt;0,(V27*(1+'Cloud Consumption'!$G$7)),0)</f>
        <v>393.24111887171193</v>
      </c>
      <c r="W28" s="73">
        <f>IF(COUNT($G28)&gt;0,(W27*(1+'Cloud Consumption'!$H$7)),0)</f>
        <v>716.95391571437062</v>
      </c>
      <c r="X28" s="73">
        <f>IF(COUNT($G28)&gt;0,(X27*(1+'Cloud Consumption'!$F$8)),0)</f>
        <v>585.95858981413119</v>
      </c>
      <c r="Y28" s="73">
        <f>IF(COUNT($G28)&gt;0,(Y27*(1+'Cloud Consumption'!$G$8)),0)</f>
        <v>1424.4197270759448</v>
      </c>
      <c r="Z28" s="73">
        <f>IF(COUNT($G28)&gt;0,(Z27*(1+'Cloud Consumption'!$H$8)),0)</f>
        <v>2592.0986782085361</v>
      </c>
      <c r="AA28" s="73">
        <f t="shared" si="2"/>
        <v>592.8455920195205</v>
      </c>
      <c r="AB28" s="73">
        <f t="shared" si="3"/>
        <v>1851.372364373384</v>
      </c>
      <c r="AC28" s="73">
        <f t="shared" si="4"/>
        <v>7761.2712669461962</v>
      </c>
      <c r="AD28" s="73">
        <f t="shared" si="5"/>
        <v>7761.2712669461962</v>
      </c>
      <c r="AE28" s="73">
        <f t="shared" si="6"/>
        <v>7897.1866355085594</v>
      </c>
    </row>
    <row r="29" spans="1:31">
      <c r="A29">
        <f t="shared" si="7"/>
        <v>22</v>
      </c>
      <c r="B29">
        <f t="shared" si="8"/>
        <v>141.35198330485758</v>
      </c>
      <c r="C29">
        <f t="shared" si="9"/>
        <v>0</v>
      </c>
      <c r="D29">
        <f>IF(COUNT(A29)&gt;0,'Active Project'!$C$14,0)</f>
        <v>0</v>
      </c>
      <c r="E29" s="12">
        <f>IF(COUNT(A29)&gt;0,'Active Project'!$C$20,0)</f>
        <v>8392.471022222222</v>
      </c>
      <c r="F29" s="12">
        <f>IF(AND((COUNT($G29)&gt;0),(G29&lt;=$J$3)),'ESPO Calculator'!$D$48,0)</f>
        <v>0</v>
      </c>
      <c r="G29">
        <f t="shared" si="10"/>
        <v>22</v>
      </c>
      <c r="H29">
        <f t="shared" si="11"/>
        <v>141.35198330485758</v>
      </c>
      <c r="I29" s="12">
        <f t="shared" si="0"/>
        <v>387.39057168830891</v>
      </c>
      <c r="J29" s="12">
        <f>IF(AND((COUNT($G29)&gt;0),(G29&lt;=$J$3)),'Custom ESPO Selection'!$D$41,0)</f>
        <v>0</v>
      </c>
      <c r="K29" s="12">
        <f>IF(AND((COUNT($G29)&gt;0),(G29&lt;=$J$3)),'ESPO Calculator'!$D$67,0)</f>
        <v>0</v>
      </c>
      <c r="L29" s="12">
        <f>IF(AND((COUNT($G29)&gt;0),(G29&lt;=$J$3)),'ESPO Calculator'!$D$84,0)</f>
        <v>0</v>
      </c>
      <c r="M29" s="12">
        <f t="shared" si="1"/>
        <v>0</v>
      </c>
      <c r="N29" s="12">
        <f>IF(COUNT(G29)&gt;0,'Active Project'!$C$20+F29,0)</f>
        <v>8392.471022222222</v>
      </c>
      <c r="O29" s="73">
        <f>IF(COUNT($G29)&gt;0,(O28*(1+'Cloud Consumption'!$F$5)),0)</f>
        <v>85.51567674070931</v>
      </c>
      <c r="P29" s="73">
        <f>IF(COUNT($G29)&gt;0,(P28*(1+'Cloud Consumption'!$G$5)),0)</f>
        <v>226.52341926063625</v>
      </c>
      <c r="Q29" s="73">
        <f>IF(COUNT($G29)&gt;0,(Q28*(1+'Cloud Consumption'!$H$5)),0)</f>
        <v>482.91875542022098</v>
      </c>
      <c r="R29" s="73">
        <f>IF(COUNT($G29)&gt;0,(R28*(1+'Cloud Consumption'!$F$6)),0)</f>
        <v>353.65548024284834</v>
      </c>
      <c r="S29" s="73">
        <f>IF(COUNT($G29)&gt;0,(S28*(1+'Cloud Consumption'!$G$6)),0)</f>
        <v>1300.1158755207673</v>
      </c>
      <c r="T29" s="73">
        <f>IF(COUNT($G29)&gt;0,(T28*(1+'Cloud Consumption'!$H$6)),0)</f>
        <v>5180.1749609807202</v>
      </c>
      <c r="U29" s="73">
        <f>IF(COUNT($G29)&gt;0,(U28*(1+'Cloud Consumption'!$F$7)),0)</f>
        <v>163.0701015467742</v>
      </c>
      <c r="V29" s="73">
        <f>IF(COUNT($G29)&gt;0,(V28*(1+'Cloud Consumption'!$G$7)),0)</f>
        <v>401.10594124914616</v>
      </c>
      <c r="W29" s="73">
        <f>IF(COUNT($G29)&gt;0,(W28*(1+'Cloud Consumption'!$H$7)),0)</f>
        <v>738.46253318580182</v>
      </c>
      <c r="X29" s="73">
        <f>IF(COUNT($G29)&gt;0,(X28*(1+'Cloud Consumption'!$F$8)),0)</f>
        <v>597.67776161041377</v>
      </c>
      <c r="Y29" s="73">
        <f>IF(COUNT($G29)&gt;0,(Y28*(1+'Cloud Consumption'!$G$8)),0)</f>
        <v>1467.1523188882231</v>
      </c>
      <c r="Z29" s="73">
        <f>IF(COUNT($G29)&gt;0,(Z28*(1+'Cloud Consumption'!$H$8)),0)</f>
        <v>2695.7826253368776</v>
      </c>
      <c r="AA29" s="73">
        <f t="shared" si="2"/>
        <v>602.24125853033183</v>
      </c>
      <c r="AB29" s="73">
        <f t="shared" si="3"/>
        <v>1927.7452360305497</v>
      </c>
      <c r="AC29" s="73">
        <f t="shared" si="4"/>
        <v>8358.8763417378177</v>
      </c>
      <c r="AD29" s="73">
        <f t="shared" si="5"/>
        <v>8358.8763417378177</v>
      </c>
      <c r="AE29" s="73">
        <f t="shared" si="6"/>
        <v>8500.2283250426754</v>
      </c>
    </row>
    <row r="30" spans="1:31">
      <c r="A30">
        <f t="shared" si="7"/>
        <v>23</v>
      </c>
      <c r="B30">
        <f t="shared" si="8"/>
        <v>147.00606263705188</v>
      </c>
      <c r="C30">
        <f t="shared" si="9"/>
        <v>0</v>
      </c>
      <c r="D30">
        <f>IF(COUNT(A30)&gt;0,'Active Project'!$C$14,0)</f>
        <v>0</v>
      </c>
      <c r="E30" s="12">
        <f>IF(COUNT(A30)&gt;0,'Active Project'!$C$20,0)</f>
        <v>8392.471022222222</v>
      </c>
      <c r="F30" s="12">
        <f>IF(AND((COUNT($G30)&gt;0),(G30&lt;=$J$3)),'ESPO Calculator'!$D$48,0)</f>
        <v>0</v>
      </c>
      <c r="G30">
        <f t="shared" si="10"/>
        <v>23</v>
      </c>
      <c r="H30">
        <f t="shared" si="11"/>
        <v>147.00606263705188</v>
      </c>
      <c r="I30" s="12">
        <f t="shared" si="0"/>
        <v>402.88619455584126</v>
      </c>
      <c r="J30" s="12">
        <f>IF(AND((COUNT($G30)&gt;0),(G30&lt;=$J$3)),'Custom ESPO Selection'!$D$41,0)</f>
        <v>0</v>
      </c>
      <c r="K30" s="12">
        <f>IF(AND((COUNT($G30)&gt;0),(G30&lt;=$J$3)),'ESPO Calculator'!$D$67,0)</f>
        <v>0</v>
      </c>
      <c r="L30" s="12">
        <f>IF(AND((COUNT($G30)&gt;0),(G30&lt;=$J$3)),'ESPO Calculator'!$D$84,0)</f>
        <v>0</v>
      </c>
      <c r="M30" s="12">
        <f t="shared" si="1"/>
        <v>0</v>
      </c>
      <c r="N30" s="12">
        <f>IF(COUNT(G30)&gt;0,'Active Project'!$C$20+F30,0)</f>
        <v>8392.471022222222</v>
      </c>
      <c r="O30" s="73">
        <f>IF(COUNT($G30)&gt;0,(O29*(1+'Cloud Consumption'!$F$5)),0)</f>
        <v>86.370833508116405</v>
      </c>
      <c r="P30" s="73">
        <f>IF(COUNT($G30)&gt;0,(P29*(1+'Cloud Consumption'!$G$5)),0)</f>
        <v>233.31912183845535</v>
      </c>
      <c r="Q30" s="73">
        <f>IF(COUNT($G30)&gt;0,(Q29*(1+'Cloud Consumption'!$H$5)),0)</f>
        <v>507.06469319123204</v>
      </c>
      <c r="R30" s="73">
        <f>IF(COUNT($G30)&gt;0,(R29*(1+'Cloud Consumption'!$F$6)),0)</f>
        <v>360.72858984770534</v>
      </c>
      <c r="S30" s="73">
        <f>IF(COUNT($G30)&gt;0,(S29*(1+'Cloud Consumption'!$G$6)),0)</f>
        <v>1365.1216692968057</v>
      </c>
      <c r="T30" s="73">
        <f>IF(COUNT($G30)&gt;0,(T29*(1+'Cloud Consumption'!$H$6)),0)</f>
        <v>5698.1924570787924</v>
      </c>
      <c r="U30" s="73">
        <f>IF(COUNT($G30)&gt;0,(U29*(1+'Cloud Consumption'!$F$7)),0)</f>
        <v>164.70080256224193</v>
      </c>
      <c r="V30" s="73">
        <f>IF(COUNT($G30)&gt;0,(V29*(1+'Cloud Consumption'!$G$7)),0)</f>
        <v>409.12806007412911</v>
      </c>
      <c r="W30" s="73">
        <f>IF(COUNT($G30)&gt;0,(W29*(1+'Cloud Consumption'!$H$7)),0)</f>
        <v>760.61640918137584</v>
      </c>
      <c r="X30" s="73">
        <f>IF(COUNT($G30)&gt;0,(X29*(1+'Cloud Consumption'!$F$8)),0)</f>
        <v>609.63131684262203</v>
      </c>
      <c r="Y30" s="73">
        <f>IF(COUNT($G30)&gt;0,(Y29*(1+'Cloud Consumption'!$G$8)),0)</f>
        <v>1511.1668884548699</v>
      </c>
      <c r="Z30" s="73">
        <f>IF(COUNT($G30)&gt;0,(Z29*(1+'Cloud Consumption'!$H$8)),0)</f>
        <v>2803.6139303503528</v>
      </c>
      <c r="AA30" s="73">
        <f t="shared" si="2"/>
        <v>611.80022591806369</v>
      </c>
      <c r="AB30" s="73">
        <f t="shared" si="3"/>
        <v>2007.5688512093902</v>
      </c>
      <c r="AC30" s="73">
        <f t="shared" si="4"/>
        <v>9008.8710806203781</v>
      </c>
      <c r="AD30" s="73">
        <f t="shared" si="5"/>
        <v>9008.8710806203781</v>
      </c>
      <c r="AE30" s="73">
        <f t="shared" si="6"/>
        <v>9155.8771432574304</v>
      </c>
    </row>
    <row r="31" spans="1:31">
      <c r="A31">
        <f t="shared" si="7"/>
        <v>24</v>
      </c>
      <c r="B31">
        <f t="shared" si="8"/>
        <v>152.88630514253396</v>
      </c>
      <c r="C31">
        <f t="shared" si="9"/>
        <v>0</v>
      </c>
      <c r="D31">
        <f>IF(COUNT(A31)&gt;0,'Active Project'!$C$14,0)</f>
        <v>0</v>
      </c>
      <c r="E31" s="12">
        <f>IF(COUNT(A31)&gt;0,'Active Project'!$C$20,0)</f>
        <v>8392.471022222222</v>
      </c>
      <c r="F31" s="12">
        <f>IF(AND((COUNT($G31)&gt;0),(G31&lt;=$J$3)),'ESPO Calculator'!$D$48,0)</f>
        <v>0</v>
      </c>
      <c r="G31">
        <f t="shared" si="10"/>
        <v>24</v>
      </c>
      <c r="H31">
        <f t="shared" si="11"/>
        <v>152.88630514253396</v>
      </c>
      <c r="I31" s="12">
        <f t="shared" si="0"/>
        <v>419.00164233807493</v>
      </c>
      <c r="J31" s="12">
        <f>IF(AND((COUNT($G31)&gt;0),(G31&lt;=$J$3)),'Custom ESPO Selection'!$D$41,0)</f>
        <v>0</v>
      </c>
      <c r="K31" s="12">
        <f>IF(AND((COUNT($G31)&gt;0),(G31&lt;=$J$3)),'ESPO Calculator'!$D$67,0)</f>
        <v>0</v>
      </c>
      <c r="L31" s="12">
        <f>IF(AND((COUNT($G31)&gt;0),(G31&lt;=$J$3)),'ESPO Calculator'!$D$84,0)</f>
        <v>0</v>
      </c>
      <c r="M31" s="12">
        <f t="shared" si="1"/>
        <v>0</v>
      </c>
      <c r="N31" s="12">
        <f>IF(COUNT(G31)&gt;0,'Active Project'!$C$20+F31,0)</f>
        <v>8392.471022222222</v>
      </c>
      <c r="O31" s="73">
        <f>IF(COUNT($G31)&gt;0,(O30*(1+'Cloud Consumption'!$F$5)),0)</f>
        <v>87.234541843197576</v>
      </c>
      <c r="P31" s="73">
        <f>IF(COUNT($G31)&gt;0,(P30*(1+'Cloud Consumption'!$G$5)),0)</f>
        <v>240.318695493609</v>
      </c>
      <c r="Q31" s="73">
        <f>IF(COUNT($G31)&gt;0,(Q30*(1+'Cloud Consumption'!$H$5)),0)</f>
        <v>532.41792785079372</v>
      </c>
      <c r="R31" s="73">
        <f>IF(COUNT($G31)&gt;0,(R30*(1+'Cloud Consumption'!$F$6)),0)</f>
        <v>367.94316164465943</v>
      </c>
      <c r="S31" s="73">
        <f>IF(COUNT($G31)&gt;0,(S30*(1+'Cloud Consumption'!$G$6)),0)</f>
        <v>1433.3777527616462</v>
      </c>
      <c r="T31" s="73">
        <f>IF(COUNT($G31)&gt;0,(T30*(1+'Cloud Consumption'!$H$6)),0)</f>
        <v>6268.0117027866718</v>
      </c>
      <c r="U31" s="73">
        <f>IF(COUNT($G31)&gt;0,(U30*(1+'Cloud Consumption'!$F$7)),0)</f>
        <v>166.34781058786436</v>
      </c>
      <c r="V31" s="73">
        <f>IF(COUNT($G31)&gt;0,(V30*(1+'Cloud Consumption'!$G$7)),0)</f>
        <v>417.31062127561171</v>
      </c>
      <c r="W31" s="73">
        <f>IF(COUNT($G31)&gt;0,(W30*(1+'Cloud Consumption'!$H$7)),0)</f>
        <v>783.4349014568171</v>
      </c>
      <c r="X31" s="73">
        <f>IF(COUNT($G31)&gt;0,(X30*(1+'Cloud Consumption'!$F$8)),0)</f>
        <v>621.82394317947444</v>
      </c>
      <c r="Y31" s="73">
        <f>IF(COUNT($G31)&gt;0,(Y30*(1+'Cloud Consumption'!$G$8)),0)</f>
        <v>1556.501895108516</v>
      </c>
      <c r="Z31" s="73">
        <f>IF(COUNT($G31)&gt;0,(Z30*(1+'Cloud Consumption'!$H$8)),0)</f>
        <v>2915.758487564367</v>
      </c>
      <c r="AA31" s="73">
        <f t="shared" si="2"/>
        <v>621.52551407572139</v>
      </c>
      <c r="AB31" s="73">
        <f t="shared" si="3"/>
        <v>2091.0070695308668</v>
      </c>
      <c r="AC31" s="73">
        <f t="shared" si="4"/>
        <v>9716.1881182018333</v>
      </c>
      <c r="AD31" s="73">
        <f t="shared" si="5"/>
        <v>9716.1881182018333</v>
      </c>
      <c r="AE31" s="73">
        <f t="shared" si="6"/>
        <v>9869.0744233443675</v>
      </c>
    </row>
    <row r="32" spans="1:31">
      <c r="A32" t="str">
        <f t="shared" si="7"/>
        <v/>
      </c>
      <c r="B32">
        <f t="shared" si="8"/>
        <v>0</v>
      </c>
      <c r="C32">
        <f t="shared" si="9"/>
        <v>0</v>
      </c>
      <c r="D32">
        <f>IF(COUNT(A32)&gt;0,'Active Project'!$C$14,0)</f>
        <v>0</v>
      </c>
      <c r="E32" s="12">
        <f>IF(COUNT(A32)&gt;0,'Active Project'!$C$20,0)</f>
        <v>0</v>
      </c>
      <c r="F32" s="12">
        <f>IF(AND((COUNT($G32)&gt;0),(G32&lt;=$J$3)),'ESPO Calculator'!$D$48,0)</f>
        <v>0</v>
      </c>
      <c r="G32" t="str">
        <f t="shared" si="10"/>
        <v/>
      </c>
      <c r="H32">
        <f t="shared" si="11"/>
        <v>0</v>
      </c>
      <c r="I32" s="12">
        <f t="shared" si="0"/>
        <v>0</v>
      </c>
      <c r="J32" s="12">
        <f>IF(AND((COUNT($G32)&gt;0),(G32&lt;=$J$3)),'Custom ESPO Selection'!$D$41,0)</f>
        <v>0</v>
      </c>
      <c r="K32" s="12">
        <f>IF(AND((COUNT($G32)&gt;0),(G32&lt;=$J$3)),'ESPO Calculator'!$D$67,0)</f>
        <v>0</v>
      </c>
      <c r="L32" s="12">
        <f>IF(AND((COUNT($G32)&gt;0),(G32&lt;=$J$3)),'ESPO Calculator'!$D$84,0)</f>
        <v>0</v>
      </c>
      <c r="M32" s="12">
        <f t="shared" si="1"/>
        <v>0</v>
      </c>
      <c r="N32" s="12">
        <f>IF(COUNT(G32)&gt;0,'Active Project'!$C$20+F32,0)</f>
        <v>0</v>
      </c>
      <c r="O32" s="73">
        <f>IF(COUNT($G32)&gt;0,(O31*(1+'Cloud Consumption'!$F$5)),0)</f>
        <v>0</v>
      </c>
      <c r="P32" s="73">
        <f>IF(COUNT($G32)&gt;0,(P31*(1+'Cloud Consumption'!$G$5)),0)</f>
        <v>0</v>
      </c>
      <c r="Q32" s="73">
        <f>IF(COUNT($G32)&gt;0,(Q31*(1+'Cloud Consumption'!$H$5)),0)</f>
        <v>0</v>
      </c>
      <c r="R32" s="73">
        <f>IF(COUNT($G32)&gt;0,(R31*(1+'Cloud Consumption'!$F$6)),0)</f>
        <v>0</v>
      </c>
      <c r="S32" s="73">
        <f>IF(COUNT($G32)&gt;0,(S31*(1+'Cloud Consumption'!$G$6)),0)</f>
        <v>0</v>
      </c>
      <c r="T32" s="73">
        <f>IF(COUNT($G32)&gt;0,(T31*(1+'Cloud Consumption'!$H$6)),0)</f>
        <v>0</v>
      </c>
      <c r="U32" s="73">
        <f>IF(COUNT($G32)&gt;0,(U31*(1+'Cloud Consumption'!$F$7)),0)</f>
        <v>0</v>
      </c>
      <c r="V32" s="73">
        <f>IF(COUNT($G32)&gt;0,(V31*(1+'Cloud Consumption'!$G$7)),0)</f>
        <v>0</v>
      </c>
      <c r="W32" s="73">
        <f>IF(COUNT($G32)&gt;0,(W31*(1+'Cloud Consumption'!$H$7)),0)</f>
        <v>0</v>
      </c>
      <c r="X32" s="73">
        <f>IF(COUNT($G32)&gt;0,(X31*(1+'Cloud Consumption'!$F$8)),0)</f>
        <v>0</v>
      </c>
      <c r="Y32" s="73">
        <f>IF(COUNT($G32)&gt;0,(Y31*(1+'Cloud Consumption'!$G$8)),0)</f>
        <v>0</v>
      </c>
      <c r="Z32" s="73">
        <f>IF(COUNT($G32)&gt;0,(Z31*(1+'Cloud Consumption'!$H$8)),0)</f>
        <v>0</v>
      </c>
      <c r="AA32" s="73">
        <f t="shared" si="2"/>
        <v>0</v>
      </c>
      <c r="AB32" s="73">
        <f t="shared" si="3"/>
        <v>0</v>
      </c>
      <c r="AC32" s="73">
        <f t="shared" si="4"/>
        <v>0</v>
      </c>
      <c r="AD32" s="73">
        <f t="shared" si="5"/>
        <v>0</v>
      </c>
      <c r="AE32" s="73">
        <f t="shared" si="6"/>
        <v>0</v>
      </c>
    </row>
    <row r="33" spans="1:31">
      <c r="A33" t="str">
        <f t="shared" si="7"/>
        <v/>
      </c>
      <c r="B33">
        <f t="shared" si="8"/>
        <v>0</v>
      </c>
      <c r="C33">
        <f t="shared" si="9"/>
        <v>0</v>
      </c>
      <c r="D33">
        <f>IF(COUNT(A33)&gt;0,'Active Project'!$C$14,0)</f>
        <v>0</v>
      </c>
      <c r="E33" s="12">
        <f>IF(COUNT(A33)&gt;0,'Active Project'!$C$20,0)</f>
        <v>0</v>
      </c>
      <c r="F33" s="12">
        <f>IF(AND((COUNT($G33)&gt;0),(G33&lt;=$J$3)),'ESPO Calculator'!$D$48,0)</f>
        <v>0</v>
      </c>
      <c r="G33" t="str">
        <f t="shared" si="10"/>
        <v/>
      </c>
      <c r="H33">
        <f t="shared" si="11"/>
        <v>0</v>
      </c>
      <c r="I33" s="12">
        <f t="shared" si="0"/>
        <v>0</v>
      </c>
      <c r="J33" s="12">
        <f>IF(AND((COUNT($G33)&gt;0),(G33&lt;=$J$3)),'Custom ESPO Selection'!$D$41,0)</f>
        <v>0</v>
      </c>
      <c r="K33" s="12">
        <f>IF(AND((COUNT($G33)&gt;0),(G33&lt;=$J$3)),'ESPO Calculator'!$D$67,0)</f>
        <v>0</v>
      </c>
      <c r="L33" s="12">
        <f>IF(AND((COUNT($G33)&gt;0),(G33&lt;=$J$3)),'ESPO Calculator'!$D$84,0)</f>
        <v>0</v>
      </c>
      <c r="M33" s="12">
        <f t="shared" si="1"/>
        <v>0</v>
      </c>
      <c r="N33" s="12">
        <f>IF(COUNT(G33)&gt;0,'Active Project'!$C$20+F33,0)</f>
        <v>0</v>
      </c>
      <c r="O33" s="73">
        <f>IF(COUNT($G33)&gt;0,(O32*(1+'Cloud Consumption'!$F$5)),0)</f>
        <v>0</v>
      </c>
      <c r="P33" s="73">
        <f>IF(COUNT($G33)&gt;0,(P32*(1+'Cloud Consumption'!$G$5)),0)</f>
        <v>0</v>
      </c>
      <c r="Q33" s="73">
        <f>IF(COUNT($G33)&gt;0,(Q32*(1+'Cloud Consumption'!$H$5)),0)</f>
        <v>0</v>
      </c>
      <c r="R33" s="73">
        <f>IF(COUNT($G33)&gt;0,(R32*(1+'Cloud Consumption'!$F$6)),0)</f>
        <v>0</v>
      </c>
      <c r="S33" s="73">
        <f>IF(COUNT($G33)&gt;0,(S32*(1+'Cloud Consumption'!$G$6)),0)</f>
        <v>0</v>
      </c>
      <c r="T33" s="73">
        <f>IF(COUNT($G33)&gt;0,(T32*(1+'Cloud Consumption'!$H$6)),0)</f>
        <v>0</v>
      </c>
      <c r="U33" s="73">
        <f>IF(COUNT($G33)&gt;0,(U32*(1+'Cloud Consumption'!$F$7)),0)</f>
        <v>0</v>
      </c>
      <c r="V33" s="73">
        <f>IF(COUNT($G33)&gt;0,(V32*(1+'Cloud Consumption'!$G$7)),0)</f>
        <v>0</v>
      </c>
      <c r="W33" s="73">
        <f>IF(COUNT($G33)&gt;0,(W32*(1+'Cloud Consumption'!$H$7)),0)</f>
        <v>0</v>
      </c>
      <c r="X33" s="73">
        <f>IF(COUNT($G33)&gt;0,(X32*(1+'Cloud Consumption'!$F$8)),0)</f>
        <v>0</v>
      </c>
      <c r="Y33" s="73">
        <f>IF(COUNT($G33)&gt;0,(Y32*(1+'Cloud Consumption'!$G$8)),0)</f>
        <v>0</v>
      </c>
      <c r="Z33" s="73">
        <f>IF(COUNT($G33)&gt;0,(Z32*(1+'Cloud Consumption'!$H$8)),0)</f>
        <v>0</v>
      </c>
      <c r="AA33" s="73">
        <f t="shared" si="2"/>
        <v>0</v>
      </c>
      <c r="AB33" s="73">
        <f t="shared" si="3"/>
        <v>0</v>
      </c>
      <c r="AC33" s="73">
        <f t="shared" si="4"/>
        <v>0</v>
      </c>
      <c r="AD33" s="73">
        <f t="shared" si="5"/>
        <v>0</v>
      </c>
      <c r="AE33" s="73">
        <f t="shared" si="6"/>
        <v>0</v>
      </c>
    </row>
    <row r="34" spans="1:31">
      <c r="A34" t="str">
        <f t="shared" si="7"/>
        <v/>
      </c>
      <c r="B34">
        <f t="shared" si="8"/>
        <v>0</v>
      </c>
      <c r="C34">
        <f t="shared" si="9"/>
        <v>0</v>
      </c>
      <c r="D34">
        <f>IF(COUNT(A34)&gt;0,'Active Project'!$C$14,0)</f>
        <v>0</v>
      </c>
      <c r="E34" s="12">
        <f>IF(COUNT(A34)&gt;0,'Active Project'!$C$20,0)</f>
        <v>0</v>
      </c>
      <c r="F34" s="12">
        <f>IF(AND((COUNT($G34)&gt;0),(G34&lt;=$J$3)),'ESPO Calculator'!$D$48,0)</f>
        <v>0</v>
      </c>
      <c r="G34" t="str">
        <f t="shared" si="10"/>
        <v/>
      </c>
      <c r="H34">
        <f t="shared" si="11"/>
        <v>0</v>
      </c>
      <c r="I34" s="12">
        <f t="shared" si="0"/>
        <v>0</v>
      </c>
      <c r="J34" s="12">
        <f>IF(AND((COUNT($G34)&gt;0),(G34&lt;=$J$3)),'Custom ESPO Selection'!$D$41,0)</f>
        <v>0</v>
      </c>
      <c r="K34" s="12">
        <f>IF(AND((COUNT($G34)&gt;0),(G34&lt;=$J$3)),'ESPO Calculator'!$D$67,0)</f>
        <v>0</v>
      </c>
      <c r="L34" s="12">
        <f>IF(AND((COUNT($G34)&gt;0),(G34&lt;=$J$3)),'ESPO Calculator'!$D$84,0)</f>
        <v>0</v>
      </c>
      <c r="M34" s="12">
        <f t="shared" si="1"/>
        <v>0</v>
      </c>
      <c r="N34" s="12">
        <f>IF(COUNT(G34)&gt;0,'Active Project'!$C$20+F34,0)</f>
        <v>0</v>
      </c>
      <c r="O34" s="73">
        <f>IF(COUNT($G34)&gt;0,(O33*(1+'Cloud Consumption'!$F$5)),0)</f>
        <v>0</v>
      </c>
      <c r="P34" s="73">
        <f>IF(COUNT($G34)&gt;0,(P33*(1+'Cloud Consumption'!$G$5)),0)</f>
        <v>0</v>
      </c>
      <c r="Q34" s="73">
        <f>IF(COUNT($G34)&gt;0,(Q33*(1+'Cloud Consumption'!$H$5)),0)</f>
        <v>0</v>
      </c>
      <c r="R34" s="73">
        <f>IF(COUNT($G34)&gt;0,(R33*(1+'Cloud Consumption'!$F$6)),0)</f>
        <v>0</v>
      </c>
      <c r="S34" s="73">
        <f>IF(COUNT($G34)&gt;0,(S33*(1+'Cloud Consumption'!$G$6)),0)</f>
        <v>0</v>
      </c>
      <c r="T34" s="73">
        <f>IF(COUNT($G34)&gt;0,(T33*(1+'Cloud Consumption'!$H$6)),0)</f>
        <v>0</v>
      </c>
      <c r="U34" s="73">
        <f>IF(COUNT($G34)&gt;0,(U33*(1+'Cloud Consumption'!$F$7)),0)</f>
        <v>0</v>
      </c>
      <c r="V34" s="73">
        <f>IF(COUNT($G34)&gt;0,(V33*(1+'Cloud Consumption'!$G$7)),0)</f>
        <v>0</v>
      </c>
      <c r="W34" s="73">
        <f>IF(COUNT($G34)&gt;0,(W33*(1+'Cloud Consumption'!$H$7)),0)</f>
        <v>0</v>
      </c>
      <c r="X34" s="73">
        <f>IF(COUNT($G34)&gt;0,(X33*(1+'Cloud Consumption'!$F$8)),0)</f>
        <v>0</v>
      </c>
      <c r="Y34" s="73">
        <f>IF(COUNT($G34)&gt;0,(Y33*(1+'Cloud Consumption'!$G$8)),0)</f>
        <v>0</v>
      </c>
      <c r="Z34" s="73">
        <f>IF(COUNT($G34)&gt;0,(Z33*(1+'Cloud Consumption'!$H$8)),0)</f>
        <v>0</v>
      </c>
      <c r="AA34" s="73">
        <f t="shared" si="2"/>
        <v>0</v>
      </c>
      <c r="AB34" s="73">
        <f t="shared" si="3"/>
        <v>0</v>
      </c>
      <c r="AC34" s="73">
        <f t="shared" si="4"/>
        <v>0</v>
      </c>
      <c r="AD34" s="73">
        <f t="shared" si="5"/>
        <v>0</v>
      </c>
      <c r="AE34" s="73">
        <f t="shared" si="6"/>
        <v>0</v>
      </c>
    </row>
    <row r="35" spans="1:31">
      <c r="A35" t="str">
        <f t="shared" si="7"/>
        <v/>
      </c>
      <c r="B35">
        <f t="shared" si="8"/>
        <v>0</v>
      </c>
      <c r="C35">
        <f t="shared" si="9"/>
        <v>0</v>
      </c>
      <c r="D35">
        <f>IF(COUNT(A35)&gt;0,'Active Project'!$C$14,0)</f>
        <v>0</v>
      </c>
      <c r="E35" s="12">
        <f>IF(COUNT(A35)&gt;0,'Active Project'!$C$20,0)</f>
        <v>0</v>
      </c>
      <c r="F35" s="12">
        <f>IF(AND((COUNT($G35)&gt;0),(G35&lt;=$J$3)),'ESPO Calculator'!$D$48,0)</f>
        <v>0</v>
      </c>
      <c r="G35" t="str">
        <f t="shared" si="10"/>
        <v/>
      </c>
      <c r="H35">
        <f t="shared" si="11"/>
        <v>0</v>
      </c>
      <c r="I35" s="12">
        <f t="shared" si="0"/>
        <v>0</v>
      </c>
      <c r="J35" s="12">
        <f>IF(AND((COUNT($G35)&gt;0),(G35&lt;=$J$3)),'Custom ESPO Selection'!$D$41,0)</f>
        <v>0</v>
      </c>
      <c r="K35" s="12">
        <f>IF(AND((COUNT($G35)&gt;0),(G35&lt;=$J$3)),'ESPO Calculator'!$D$67,0)</f>
        <v>0</v>
      </c>
      <c r="L35" s="12">
        <f>IF(AND((COUNT($G35)&gt;0),(G35&lt;=$J$3)),'ESPO Calculator'!$D$84,0)</f>
        <v>0</v>
      </c>
      <c r="M35" s="12">
        <f t="shared" si="1"/>
        <v>0</v>
      </c>
      <c r="N35" s="12">
        <f>IF(COUNT(G35)&gt;0,'Active Project'!$C$20+F35,0)</f>
        <v>0</v>
      </c>
      <c r="O35" s="73">
        <f>IF(COUNT($G35)&gt;0,(O34*(1+'Cloud Consumption'!$F$5)),0)</f>
        <v>0</v>
      </c>
      <c r="P35" s="73">
        <f>IF(COUNT($G35)&gt;0,(P34*(1+'Cloud Consumption'!$G$5)),0)</f>
        <v>0</v>
      </c>
      <c r="Q35" s="73">
        <f>IF(COUNT($G35)&gt;0,(Q34*(1+'Cloud Consumption'!$H$5)),0)</f>
        <v>0</v>
      </c>
      <c r="R35" s="73">
        <f>IF(COUNT($G35)&gt;0,(R34*(1+'Cloud Consumption'!$F$6)),0)</f>
        <v>0</v>
      </c>
      <c r="S35" s="73">
        <f>IF(COUNT($G35)&gt;0,(S34*(1+'Cloud Consumption'!$G$6)),0)</f>
        <v>0</v>
      </c>
      <c r="T35" s="73">
        <f>IF(COUNT($G35)&gt;0,(T34*(1+'Cloud Consumption'!$H$6)),0)</f>
        <v>0</v>
      </c>
      <c r="U35" s="73">
        <f>IF(COUNT($G35)&gt;0,(U34*(1+'Cloud Consumption'!$F$7)),0)</f>
        <v>0</v>
      </c>
      <c r="V35" s="73">
        <f>IF(COUNT($G35)&gt;0,(V34*(1+'Cloud Consumption'!$G$7)),0)</f>
        <v>0</v>
      </c>
      <c r="W35" s="73">
        <f>IF(COUNT($G35)&gt;0,(W34*(1+'Cloud Consumption'!$H$7)),0)</f>
        <v>0</v>
      </c>
      <c r="X35" s="73">
        <f>IF(COUNT($G35)&gt;0,(X34*(1+'Cloud Consumption'!$F$8)),0)</f>
        <v>0</v>
      </c>
      <c r="Y35" s="73">
        <f>IF(COUNT($G35)&gt;0,(Y34*(1+'Cloud Consumption'!$G$8)),0)</f>
        <v>0</v>
      </c>
      <c r="Z35" s="73">
        <f>IF(COUNT($G35)&gt;0,(Z34*(1+'Cloud Consumption'!$H$8)),0)</f>
        <v>0</v>
      </c>
      <c r="AA35" s="73">
        <f t="shared" si="2"/>
        <v>0</v>
      </c>
      <c r="AB35" s="73">
        <f t="shared" si="3"/>
        <v>0</v>
      </c>
      <c r="AC35" s="73">
        <f t="shared" si="4"/>
        <v>0</v>
      </c>
      <c r="AD35" s="73">
        <f t="shared" si="5"/>
        <v>0</v>
      </c>
      <c r="AE35" s="73">
        <f t="shared" si="6"/>
        <v>0</v>
      </c>
    </row>
    <row r="36" spans="1:31">
      <c r="A36" t="str">
        <f t="shared" si="7"/>
        <v/>
      </c>
      <c r="B36">
        <f t="shared" si="8"/>
        <v>0</v>
      </c>
      <c r="C36">
        <f t="shared" si="9"/>
        <v>0</v>
      </c>
      <c r="D36">
        <f>IF(COUNT(A36)&gt;0,'Active Project'!$C$14,0)</f>
        <v>0</v>
      </c>
      <c r="E36" s="12">
        <f>IF(COUNT(A36)&gt;0,'Active Project'!$C$20,0)</f>
        <v>0</v>
      </c>
      <c r="F36" s="12">
        <f>IF(AND((COUNT($G36)&gt;0),(G36&lt;=$J$3)),'ESPO Calculator'!$D$48,0)</f>
        <v>0</v>
      </c>
      <c r="G36" t="str">
        <f t="shared" si="10"/>
        <v/>
      </c>
      <c r="H36">
        <f t="shared" si="11"/>
        <v>0</v>
      </c>
      <c r="I36" s="12">
        <f t="shared" si="0"/>
        <v>0</v>
      </c>
      <c r="J36" s="12">
        <f>IF(AND((COUNT($G36)&gt;0),(G36&lt;=$J$3)),'Custom ESPO Selection'!$D$41,0)</f>
        <v>0</v>
      </c>
      <c r="K36" s="12">
        <f>IF(AND((COUNT($G36)&gt;0),(G36&lt;=$J$3)),'ESPO Calculator'!$D$67,0)</f>
        <v>0</v>
      </c>
      <c r="L36" s="12">
        <f>IF(AND((COUNT($G36)&gt;0),(G36&lt;=$J$3)),'ESPO Calculator'!$D$84,0)</f>
        <v>0</v>
      </c>
      <c r="M36" s="12">
        <f t="shared" si="1"/>
        <v>0</v>
      </c>
      <c r="N36" s="12">
        <f>IF(COUNT(G36)&gt;0,'Active Project'!$C$20+F36,0)</f>
        <v>0</v>
      </c>
      <c r="O36" s="73">
        <f>IF(COUNT($G36)&gt;0,(O35*(1+'Cloud Consumption'!$F$5)),0)</f>
        <v>0</v>
      </c>
      <c r="P36" s="73">
        <f>IF(COUNT($G36)&gt;0,(P35*(1+'Cloud Consumption'!$G$5)),0)</f>
        <v>0</v>
      </c>
      <c r="Q36" s="73">
        <f>IF(COUNT($G36)&gt;0,(Q35*(1+'Cloud Consumption'!$H$5)),0)</f>
        <v>0</v>
      </c>
      <c r="R36" s="73">
        <f>IF(COUNT($G36)&gt;0,(R35*(1+'Cloud Consumption'!$F$6)),0)</f>
        <v>0</v>
      </c>
      <c r="S36" s="73">
        <f>IF(COUNT($G36)&gt;0,(S35*(1+'Cloud Consumption'!$G$6)),0)</f>
        <v>0</v>
      </c>
      <c r="T36" s="73">
        <f>IF(COUNT($G36)&gt;0,(T35*(1+'Cloud Consumption'!$H$6)),0)</f>
        <v>0</v>
      </c>
      <c r="U36" s="73">
        <f>IF(COUNT($G36)&gt;0,(U35*(1+'Cloud Consumption'!$F$7)),0)</f>
        <v>0</v>
      </c>
      <c r="V36" s="73">
        <f>IF(COUNT($G36)&gt;0,(V35*(1+'Cloud Consumption'!$G$7)),0)</f>
        <v>0</v>
      </c>
      <c r="W36" s="73">
        <f>IF(COUNT($G36)&gt;0,(W35*(1+'Cloud Consumption'!$H$7)),0)</f>
        <v>0</v>
      </c>
      <c r="X36" s="73">
        <f>IF(COUNT($G36)&gt;0,(X35*(1+'Cloud Consumption'!$F$8)),0)</f>
        <v>0</v>
      </c>
      <c r="Y36" s="73">
        <f>IF(COUNT($G36)&gt;0,(Y35*(1+'Cloud Consumption'!$G$8)),0)</f>
        <v>0</v>
      </c>
      <c r="Z36" s="73">
        <f>IF(COUNT($G36)&gt;0,(Z35*(1+'Cloud Consumption'!$H$8)),0)</f>
        <v>0</v>
      </c>
      <c r="AA36" s="73">
        <f t="shared" si="2"/>
        <v>0</v>
      </c>
      <c r="AB36" s="73">
        <f t="shared" si="3"/>
        <v>0</v>
      </c>
      <c r="AC36" s="73">
        <f t="shared" si="4"/>
        <v>0</v>
      </c>
      <c r="AD36" s="73">
        <f t="shared" si="5"/>
        <v>0</v>
      </c>
      <c r="AE36" s="73">
        <f t="shared" si="6"/>
        <v>0</v>
      </c>
    </row>
    <row r="37" spans="1:31">
      <c r="A37" t="str">
        <f t="shared" si="7"/>
        <v/>
      </c>
      <c r="B37">
        <f t="shared" si="8"/>
        <v>0</v>
      </c>
      <c r="C37">
        <f t="shared" si="9"/>
        <v>0</v>
      </c>
      <c r="D37">
        <f>IF(COUNT(A37)&gt;0,'Active Project'!$C$14,0)</f>
        <v>0</v>
      </c>
      <c r="E37" s="12">
        <f>IF(COUNT(A37)&gt;0,'Active Project'!$C$20,0)</f>
        <v>0</v>
      </c>
      <c r="F37" s="12">
        <f>IF(AND((COUNT($G37)&gt;0),(G37&lt;=$J$3)),'ESPO Calculator'!$D$48,0)</f>
        <v>0</v>
      </c>
      <c r="G37" t="str">
        <f t="shared" si="10"/>
        <v/>
      </c>
      <c r="H37">
        <f t="shared" si="11"/>
        <v>0</v>
      </c>
      <c r="I37" s="12">
        <f t="shared" si="0"/>
        <v>0</v>
      </c>
      <c r="J37" s="12">
        <f>IF(AND((COUNT($G37)&gt;0),(G37&lt;=$J$3)),'Custom ESPO Selection'!$D$41,0)</f>
        <v>0</v>
      </c>
      <c r="K37" s="12">
        <f>IF(AND((COUNT($G37)&gt;0),(G37&lt;=$J$3)),'ESPO Calculator'!$D$67,0)</f>
        <v>0</v>
      </c>
      <c r="L37" s="12">
        <f>IF(AND((COUNT($G37)&gt;0),(G37&lt;=$J$3)),'ESPO Calculator'!$D$84,0)</f>
        <v>0</v>
      </c>
      <c r="M37" s="12">
        <f t="shared" si="1"/>
        <v>0</v>
      </c>
      <c r="N37" s="12">
        <f>IF(COUNT(G37)&gt;0,'Active Project'!$C$20+F37,0)</f>
        <v>0</v>
      </c>
      <c r="O37" s="73">
        <f>IF(COUNT($G37)&gt;0,(O36*(1+'Cloud Consumption'!$F$5)),0)</f>
        <v>0</v>
      </c>
      <c r="P37" s="73">
        <f>IF(COUNT($G37)&gt;0,(P36*(1+'Cloud Consumption'!$G$5)),0)</f>
        <v>0</v>
      </c>
      <c r="Q37" s="73">
        <f>IF(COUNT($G37)&gt;0,(Q36*(1+'Cloud Consumption'!$H$5)),0)</f>
        <v>0</v>
      </c>
      <c r="R37" s="73">
        <f>IF(COUNT($G37)&gt;0,(R36*(1+'Cloud Consumption'!$F$6)),0)</f>
        <v>0</v>
      </c>
      <c r="S37" s="73">
        <f>IF(COUNT($G37)&gt;0,(S36*(1+'Cloud Consumption'!$G$6)),0)</f>
        <v>0</v>
      </c>
      <c r="T37" s="73">
        <f>IF(COUNT($G37)&gt;0,(T36*(1+'Cloud Consumption'!$H$6)),0)</f>
        <v>0</v>
      </c>
      <c r="U37" s="73">
        <f>IF(COUNT($G37)&gt;0,(U36*(1+'Cloud Consumption'!$F$7)),0)</f>
        <v>0</v>
      </c>
      <c r="V37" s="73">
        <f>IF(COUNT($G37)&gt;0,(V36*(1+'Cloud Consumption'!$G$7)),0)</f>
        <v>0</v>
      </c>
      <c r="W37" s="73">
        <f>IF(COUNT($G37)&gt;0,(W36*(1+'Cloud Consumption'!$H$7)),0)</f>
        <v>0</v>
      </c>
      <c r="X37" s="73">
        <f>IF(COUNT($G37)&gt;0,(X36*(1+'Cloud Consumption'!$F$8)),0)</f>
        <v>0</v>
      </c>
      <c r="Y37" s="73">
        <f>IF(COUNT($G37)&gt;0,(Y36*(1+'Cloud Consumption'!$G$8)),0)</f>
        <v>0</v>
      </c>
      <c r="Z37" s="73">
        <f>IF(COUNT($G37)&gt;0,(Z36*(1+'Cloud Consumption'!$H$8)),0)</f>
        <v>0</v>
      </c>
      <c r="AA37" s="73">
        <f t="shared" si="2"/>
        <v>0</v>
      </c>
      <c r="AB37" s="73">
        <f t="shared" si="3"/>
        <v>0</v>
      </c>
      <c r="AC37" s="73">
        <f t="shared" si="4"/>
        <v>0</v>
      </c>
      <c r="AD37" s="73">
        <f t="shared" si="5"/>
        <v>0</v>
      </c>
      <c r="AE37" s="73">
        <f t="shared" si="6"/>
        <v>0</v>
      </c>
    </row>
    <row r="38" spans="1:31">
      <c r="A38" t="str">
        <f t="shared" si="7"/>
        <v/>
      </c>
      <c r="B38">
        <f t="shared" si="8"/>
        <v>0</v>
      </c>
      <c r="C38">
        <f t="shared" si="9"/>
        <v>0</v>
      </c>
      <c r="D38">
        <f>IF(COUNT(A38)&gt;0,'Active Project'!$C$14,0)</f>
        <v>0</v>
      </c>
      <c r="E38" s="12">
        <f>IF(COUNT(A38)&gt;0,'Active Project'!$C$20,0)</f>
        <v>0</v>
      </c>
      <c r="F38" s="12">
        <f>IF(AND((COUNT($G38)&gt;0),(G38&lt;=$J$3)),'ESPO Calculator'!$D$48,0)</f>
        <v>0</v>
      </c>
      <c r="G38" t="str">
        <f t="shared" si="10"/>
        <v/>
      </c>
      <c r="H38">
        <f t="shared" si="11"/>
        <v>0</v>
      </c>
      <c r="I38" s="12">
        <f t="shared" si="0"/>
        <v>0</v>
      </c>
      <c r="J38" s="12">
        <f>IF(AND((COUNT($G38)&gt;0),(G38&lt;=$J$3)),'Custom ESPO Selection'!$D$41,0)</f>
        <v>0</v>
      </c>
      <c r="K38" s="12">
        <f>IF(AND((COUNT($G38)&gt;0),(G38&lt;=$J$3)),'ESPO Calculator'!$D$67,0)</f>
        <v>0</v>
      </c>
      <c r="L38" s="12">
        <f>IF(AND((COUNT($G38)&gt;0),(G38&lt;=$J$3)),'ESPO Calculator'!$D$84,0)</f>
        <v>0</v>
      </c>
      <c r="M38" s="12">
        <f t="shared" si="1"/>
        <v>0</v>
      </c>
      <c r="N38" s="12">
        <f>IF(COUNT(G38)&gt;0,'Active Project'!$C$20+F38,0)</f>
        <v>0</v>
      </c>
      <c r="O38" s="73">
        <f>IF(COUNT($G38)&gt;0,(O37*(1+'Cloud Consumption'!$F$5)),0)</f>
        <v>0</v>
      </c>
      <c r="P38" s="73">
        <f>IF(COUNT($G38)&gt;0,(P37*(1+'Cloud Consumption'!$G$5)),0)</f>
        <v>0</v>
      </c>
      <c r="Q38" s="73">
        <f>IF(COUNT($G38)&gt;0,(Q37*(1+'Cloud Consumption'!$H$5)),0)</f>
        <v>0</v>
      </c>
      <c r="R38" s="73">
        <f>IF(COUNT($G38)&gt;0,(R37*(1+'Cloud Consumption'!$F$6)),0)</f>
        <v>0</v>
      </c>
      <c r="S38" s="73">
        <f>IF(COUNT($G38)&gt;0,(S37*(1+'Cloud Consumption'!$G$6)),0)</f>
        <v>0</v>
      </c>
      <c r="T38" s="73">
        <f>IF(COUNT($G38)&gt;0,(T37*(1+'Cloud Consumption'!$H$6)),0)</f>
        <v>0</v>
      </c>
      <c r="U38" s="73">
        <f>IF(COUNT($G38)&gt;0,(U37*(1+'Cloud Consumption'!$F$7)),0)</f>
        <v>0</v>
      </c>
      <c r="V38" s="73">
        <f>IF(COUNT($G38)&gt;0,(V37*(1+'Cloud Consumption'!$G$7)),0)</f>
        <v>0</v>
      </c>
      <c r="W38" s="73">
        <f>IF(COUNT($G38)&gt;0,(W37*(1+'Cloud Consumption'!$H$7)),0)</f>
        <v>0</v>
      </c>
      <c r="X38" s="73">
        <f>IF(COUNT($G38)&gt;0,(X37*(1+'Cloud Consumption'!$F$8)),0)</f>
        <v>0</v>
      </c>
      <c r="Y38" s="73">
        <f>IF(COUNT($G38)&gt;0,(Y37*(1+'Cloud Consumption'!$G$8)),0)</f>
        <v>0</v>
      </c>
      <c r="Z38" s="73">
        <f>IF(COUNT($G38)&gt;0,(Z37*(1+'Cloud Consumption'!$H$8)),0)</f>
        <v>0</v>
      </c>
      <c r="AA38" s="73">
        <f t="shared" si="2"/>
        <v>0</v>
      </c>
      <c r="AB38" s="73">
        <f t="shared" si="3"/>
        <v>0</v>
      </c>
      <c r="AC38" s="73">
        <f t="shared" si="4"/>
        <v>0</v>
      </c>
      <c r="AD38" s="73">
        <f t="shared" si="5"/>
        <v>0</v>
      </c>
      <c r="AE38" s="73">
        <f t="shared" si="6"/>
        <v>0</v>
      </c>
    </row>
    <row r="39" spans="1:31">
      <c r="A39" t="str">
        <f t="shared" si="7"/>
        <v/>
      </c>
      <c r="B39">
        <f t="shared" si="8"/>
        <v>0</v>
      </c>
      <c r="C39">
        <f t="shared" si="9"/>
        <v>0</v>
      </c>
      <c r="D39">
        <f>IF(COUNT(A39)&gt;0,'Active Project'!$C$14,0)</f>
        <v>0</v>
      </c>
      <c r="E39" s="12">
        <f>IF(COUNT(A39)&gt;0,'Active Project'!$C$20,0)</f>
        <v>0</v>
      </c>
      <c r="F39" s="12">
        <f>IF(AND((COUNT($G39)&gt;0),(G39&lt;=$J$3)),'ESPO Calculator'!$D$48,0)</f>
        <v>0</v>
      </c>
      <c r="G39" t="str">
        <f t="shared" si="10"/>
        <v/>
      </c>
      <c r="H39">
        <f t="shared" si="11"/>
        <v>0</v>
      </c>
      <c r="I39" s="12">
        <f t="shared" si="0"/>
        <v>0</v>
      </c>
      <c r="J39" s="12">
        <f>IF(AND((COUNT($G39)&gt;0),(G39&lt;=$J$3)),'Custom ESPO Selection'!$D$41,0)</f>
        <v>0</v>
      </c>
      <c r="K39" s="12">
        <f>IF(AND((COUNT($G39)&gt;0),(G39&lt;=$J$3)),'ESPO Calculator'!$D$67,0)</f>
        <v>0</v>
      </c>
      <c r="L39" s="12">
        <f>IF(AND((COUNT($G39)&gt;0),(G39&lt;=$J$3)),'ESPO Calculator'!$D$84,0)</f>
        <v>0</v>
      </c>
      <c r="M39" s="12">
        <f t="shared" si="1"/>
        <v>0</v>
      </c>
      <c r="N39" s="12">
        <f>IF(COUNT(G39)&gt;0,'Active Project'!$C$20+F39,0)</f>
        <v>0</v>
      </c>
      <c r="O39" s="73">
        <f>IF(COUNT($G39)&gt;0,(O38*(1+'Cloud Consumption'!$F$5)),0)</f>
        <v>0</v>
      </c>
      <c r="P39" s="73">
        <f>IF(COUNT($G39)&gt;0,(P38*(1+'Cloud Consumption'!$G$5)),0)</f>
        <v>0</v>
      </c>
      <c r="Q39" s="73">
        <f>IF(COUNT($G39)&gt;0,(Q38*(1+'Cloud Consumption'!$H$5)),0)</f>
        <v>0</v>
      </c>
      <c r="R39" s="73">
        <f>IF(COUNT($G39)&gt;0,(R38*(1+'Cloud Consumption'!$F$6)),0)</f>
        <v>0</v>
      </c>
      <c r="S39" s="73">
        <f>IF(COUNT($G39)&gt;0,(S38*(1+'Cloud Consumption'!$G$6)),0)</f>
        <v>0</v>
      </c>
      <c r="T39" s="73">
        <f>IF(COUNT($G39)&gt;0,(T38*(1+'Cloud Consumption'!$H$6)),0)</f>
        <v>0</v>
      </c>
      <c r="U39" s="73">
        <f>IF(COUNT($G39)&gt;0,(U38*(1+'Cloud Consumption'!$F$7)),0)</f>
        <v>0</v>
      </c>
      <c r="V39" s="73">
        <f>IF(COUNT($G39)&gt;0,(V38*(1+'Cloud Consumption'!$G$7)),0)</f>
        <v>0</v>
      </c>
      <c r="W39" s="73">
        <f>IF(COUNT($G39)&gt;0,(W38*(1+'Cloud Consumption'!$H$7)),0)</f>
        <v>0</v>
      </c>
      <c r="X39" s="73">
        <f>IF(COUNT($G39)&gt;0,(X38*(1+'Cloud Consumption'!$F$8)),0)</f>
        <v>0</v>
      </c>
      <c r="Y39" s="73">
        <f>IF(COUNT($G39)&gt;0,(Y38*(1+'Cloud Consumption'!$G$8)),0)</f>
        <v>0</v>
      </c>
      <c r="Z39" s="73">
        <f>IF(COUNT($G39)&gt;0,(Z38*(1+'Cloud Consumption'!$H$8)),0)</f>
        <v>0</v>
      </c>
      <c r="AA39" s="73">
        <f t="shared" si="2"/>
        <v>0</v>
      </c>
      <c r="AB39" s="73">
        <f t="shared" si="3"/>
        <v>0</v>
      </c>
      <c r="AC39" s="73">
        <f t="shared" si="4"/>
        <v>0</v>
      </c>
      <c r="AD39" s="73">
        <f t="shared" si="5"/>
        <v>0</v>
      </c>
      <c r="AE39" s="73">
        <f t="shared" si="6"/>
        <v>0</v>
      </c>
    </row>
    <row r="40" spans="1:31">
      <c r="A40" t="str">
        <f t="shared" si="7"/>
        <v/>
      </c>
      <c r="B40">
        <f t="shared" si="8"/>
        <v>0</v>
      </c>
      <c r="C40">
        <f t="shared" si="9"/>
        <v>0</v>
      </c>
      <c r="D40">
        <f>IF(COUNT(A40)&gt;0,'Active Project'!$C$14,0)</f>
        <v>0</v>
      </c>
      <c r="E40" s="12">
        <f>IF(COUNT(A40)&gt;0,'Active Project'!$C$20,0)</f>
        <v>0</v>
      </c>
      <c r="F40" s="12">
        <f>IF(AND((COUNT($G40)&gt;0),(G40&lt;=$J$3)),'ESPO Calculator'!$D$48,0)</f>
        <v>0</v>
      </c>
      <c r="G40" t="str">
        <f t="shared" si="10"/>
        <v/>
      </c>
      <c r="H40">
        <f t="shared" si="11"/>
        <v>0</v>
      </c>
      <c r="I40" s="12">
        <f t="shared" si="0"/>
        <v>0</v>
      </c>
      <c r="J40" s="12">
        <f>IF(AND((COUNT($G40)&gt;0),(G40&lt;=$J$3)),'Custom ESPO Selection'!$D$41,0)</f>
        <v>0</v>
      </c>
      <c r="K40" s="12">
        <f>IF(AND((COUNT($G40)&gt;0),(G40&lt;=$J$3)),'ESPO Calculator'!$D$67,0)</f>
        <v>0</v>
      </c>
      <c r="L40" s="12">
        <f>IF(AND((COUNT($G40)&gt;0),(G40&lt;=$J$3)),'ESPO Calculator'!$D$84,0)</f>
        <v>0</v>
      </c>
      <c r="M40" s="12">
        <f t="shared" si="1"/>
        <v>0</v>
      </c>
      <c r="N40" s="12">
        <f>IF(COUNT(G40)&gt;0,'Active Project'!$C$20+F40,0)</f>
        <v>0</v>
      </c>
      <c r="O40" s="73">
        <f>IF(COUNT($G40)&gt;0,(O39*(1+'Cloud Consumption'!$F$5)),0)</f>
        <v>0</v>
      </c>
      <c r="P40" s="73">
        <f>IF(COUNT($G40)&gt;0,(P39*(1+'Cloud Consumption'!$G$5)),0)</f>
        <v>0</v>
      </c>
      <c r="Q40" s="73">
        <f>IF(COUNT($G40)&gt;0,(Q39*(1+'Cloud Consumption'!$H$5)),0)</f>
        <v>0</v>
      </c>
      <c r="R40" s="73">
        <f>IF(COUNT($G40)&gt;0,(R39*(1+'Cloud Consumption'!$F$6)),0)</f>
        <v>0</v>
      </c>
      <c r="S40" s="73">
        <f>IF(COUNT($G40)&gt;0,(S39*(1+'Cloud Consumption'!$G$6)),0)</f>
        <v>0</v>
      </c>
      <c r="T40" s="73">
        <f>IF(COUNT($G40)&gt;0,(T39*(1+'Cloud Consumption'!$H$6)),0)</f>
        <v>0</v>
      </c>
      <c r="U40" s="73">
        <f>IF(COUNT($G40)&gt;0,(U39*(1+'Cloud Consumption'!$F$7)),0)</f>
        <v>0</v>
      </c>
      <c r="V40" s="73">
        <f>IF(COUNT($G40)&gt;0,(V39*(1+'Cloud Consumption'!$G$7)),0)</f>
        <v>0</v>
      </c>
      <c r="W40" s="73">
        <f>IF(COUNT($G40)&gt;0,(W39*(1+'Cloud Consumption'!$H$7)),0)</f>
        <v>0</v>
      </c>
      <c r="X40" s="73">
        <f>IF(COUNT($G40)&gt;0,(X39*(1+'Cloud Consumption'!$F$8)),0)</f>
        <v>0</v>
      </c>
      <c r="Y40" s="73">
        <f>IF(COUNT($G40)&gt;0,(Y39*(1+'Cloud Consumption'!$G$8)),0)</f>
        <v>0</v>
      </c>
      <c r="Z40" s="73">
        <f>IF(COUNT($G40)&gt;0,(Z39*(1+'Cloud Consumption'!$H$8)),0)</f>
        <v>0</v>
      </c>
      <c r="AA40" s="73">
        <f t="shared" si="2"/>
        <v>0</v>
      </c>
      <c r="AB40" s="73">
        <f t="shared" si="3"/>
        <v>0</v>
      </c>
      <c r="AC40" s="73">
        <f t="shared" si="4"/>
        <v>0</v>
      </c>
      <c r="AD40" s="73">
        <f t="shared" si="5"/>
        <v>0</v>
      </c>
      <c r="AE40" s="73">
        <f t="shared" si="6"/>
        <v>0</v>
      </c>
    </row>
    <row r="41" spans="1:31">
      <c r="A41" t="str">
        <f t="shared" si="7"/>
        <v/>
      </c>
      <c r="B41">
        <f t="shared" si="8"/>
        <v>0</v>
      </c>
      <c r="C41">
        <f t="shared" si="9"/>
        <v>0</v>
      </c>
      <c r="D41">
        <f>IF(COUNT(A41)&gt;0,'Active Project'!$C$14,0)</f>
        <v>0</v>
      </c>
      <c r="E41" s="12">
        <f>IF(COUNT(A41)&gt;0,'Active Project'!$C$20,0)</f>
        <v>0</v>
      </c>
      <c r="F41" s="12">
        <f>IF(AND((COUNT($G41)&gt;0),(G41&lt;=$J$3)),'ESPO Calculator'!$D$48,0)</f>
        <v>0</v>
      </c>
      <c r="G41" t="str">
        <f t="shared" si="10"/>
        <v/>
      </c>
      <c r="H41">
        <f t="shared" si="11"/>
        <v>0</v>
      </c>
      <c r="I41" s="12">
        <f t="shared" si="0"/>
        <v>0</v>
      </c>
      <c r="J41" s="12">
        <f>IF(AND((COUNT($G41)&gt;0),(G41&lt;=$J$3)),'Custom ESPO Selection'!$D$41,0)</f>
        <v>0</v>
      </c>
      <c r="K41" s="12">
        <f>IF(AND((COUNT($G41)&gt;0),(G41&lt;=$J$3)),'ESPO Calculator'!$D$67,0)</f>
        <v>0</v>
      </c>
      <c r="L41" s="12">
        <f>IF(AND((COUNT($G41)&gt;0),(G41&lt;=$J$3)),'ESPO Calculator'!$D$84,0)</f>
        <v>0</v>
      </c>
      <c r="M41" s="12">
        <f t="shared" si="1"/>
        <v>0</v>
      </c>
      <c r="N41" s="12">
        <f>IF(COUNT(G41)&gt;0,'Active Project'!$C$20+F41,0)</f>
        <v>0</v>
      </c>
      <c r="O41" s="73">
        <f>IF(COUNT($G41)&gt;0,(O40*(1+'Cloud Consumption'!$F$5)),0)</f>
        <v>0</v>
      </c>
      <c r="P41" s="73">
        <f>IF(COUNT($G41)&gt;0,(P40*(1+'Cloud Consumption'!$G$5)),0)</f>
        <v>0</v>
      </c>
      <c r="Q41" s="73">
        <f>IF(COUNT($G41)&gt;0,(Q40*(1+'Cloud Consumption'!$H$5)),0)</f>
        <v>0</v>
      </c>
      <c r="R41" s="73">
        <f>IF(COUNT($G41)&gt;0,(R40*(1+'Cloud Consumption'!$F$6)),0)</f>
        <v>0</v>
      </c>
      <c r="S41" s="73">
        <f>IF(COUNT($G41)&gt;0,(S40*(1+'Cloud Consumption'!$G$6)),0)</f>
        <v>0</v>
      </c>
      <c r="T41" s="73">
        <f>IF(COUNT($G41)&gt;0,(T40*(1+'Cloud Consumption'!$H$6)),0)</f>
        <v>0</v>
      </c>
      <c r="U41" s="73">
        <f>IF(COUNT($G41)&gt;0,(U40*(1+'Cloud Consumption'!$F$7)),0)</f>
        <v>0</v>
      </c>
      <c r="V41" s="73">
        <f>IF(COUNT($G41)&gt;0,(V40*(1+'Cloud Consumption'!$G$7)),0)</f>
        <v>0</v>
      </c>
      <c r="W41" s="73">
        <f>IF(COUNT($G41)&gt;0,(W40*(1+'Cloud Consumption'!$H$7)),0)</f>
        <v>0</v>
      </c>
      <c r="X41" s="73">
        <f>IF(COUNT($G41)&gt;0,(X40*(1+'Cloud Consumption'!$F$8)),0)</f>
        <v>0</v>
      </c>
      <c r="Y41" s="73">
        <f>IF(COUNT($G41)&gt;0,(Y40*(1+'Cloud Consumption'!$G$8)),0)</f>
        <v>0</v>
      </c>
      <c r="Z41" s="73">
        <f>IF(COUNT($G41)&gt;0,(Z40*(1+'Cloud Consumption'!$H$8)),0)</f>
        <v>0</v>
      </c>
      <c r="AA41" s="73">
        <f t="shared" si="2"/>
        <v>0</v>
      </c>
      <c r="AB41" s="73">
        <f t="shared" si="3"/>
        <v>0</v>
      </c>
      <c r="AC41" s="73">
        <f t="shared" si="4"/>
        <v>0</v>
      </c>
      <c r="AD41" s="73">
        <f t="shared" si="5"/>
        <v>0</v>
      </c>
      <c r="AE41" s="73">
        <f t="shared" si="6"/>
        <v>0</v>
      </c>
    </row>
    <row r="42" spans="1:31">
      <c r="A42" t="str">
        <f t="shared" si="7"/>
        <v/>
      </c>
      <c r="B42">
        <f t="shared" si="8"/>
        <v>0</v>
      </c>
      <c r="C42">
        <f t="shared" si="9"/>
        <v>0</v>
      </c>
      <c r="D42">
        <f>IF(COUNT(A42)&gt;0,'Active Project'!$C$14,0)</f>
        <v>0</v>
      </c>
      <c r="E42" s="12">
        <f>IF(COUNT(A42)&gt;0,'Active Project'!$C$20,0)</f>
        <v>0</v>
      </c>
      <c r="F42" s="12">
        <f>IF(AND((COUNT($G42)&gt;0),(G42&lt;=$J$3)),'ESPO Calculator'!$D$48,0)</f>
        <v>0</v>
      </c>
      <c r="G42" t="str">
        <f t="shared" si="10"/>
        <v/>
      </c>
      <c r="H42">
        <f t="shared" si="11"/>
        <v>0</v>
      </c>
      <c r="I42" s="12">
        <f t="shared" si="0"/>
        <v>0</v>
      </c>
      <c r="J42" s="12">
        <f>IF(AND((COUNT($G42)&gt;0),(G42&lt;=$J$3)),'Custom ESPO Selection'!$D$41,0)</f>
        <v>0</v>
      </c>
      <c r="K42" s="12">
        <f>IF(AND((COUNT($G42)&gt;0),(G42&lt;=$J$3)),'ESPO Calculator'!$D$67,0)</f>
        <v>0</v>
      </c>
      <c r="L42" s="12">
        <f>IF(AND((COUNT($G42)&gt;0),(G42&lt;=$J$3)),'ESPO Calculator'!$D$84,0)</f>
        <v>0</v>
      </c>
      <c r="M42" s="12">
        <f t="shared" si="1"/>
        <v>0</v>
      </c>
      <c r="N42" s="12">
        <f>IF(COUNT(G42)&gt;0,'Active Project'!$C$20+F42,0)</f>
        <v>0</v>
      </c>
      <c r="O42" s="73">
        <f>IF(COUNT($G42)&gt;0,(O41*(1+'Cloud Consumption'!$F$5)),0)</f>
        <v>0</v>
      </c>
      <c r="P42" s="73">
        <f>IF(COUNT($G42)&gt;0,(P41*(1+'Cloud Consumption'!$G$5)),0)</f>
        <v>0</v>
      </c>
      <c r="Q42" s="73">
        <f>IF(COUNT($G42)&gt;0,(Q41*(1+'Cloud Consumption'!$H$5)),0)</f>
        <v>0</v>
      </c>
      <c r="R42" s="73">
        <f>IF(COUNT($G42)&gt;0,(R41*(1+'Cloud Consumption'!$F$6)),0)</f>
        <v>0</v>
      </c>
      <c r="S42" s="73">
        <f>IF(COUNT($G42)&gt;0,(S41*(1+'Cloud Consumption'!$G$6)),0)</f>
        <v>0</v>
      </c>
      <c r="T42" s="73">
        <f>IF(COUNT($G42)&gt;0,(T41*(1+'Cloud Consumption'!$H$6)),0)</f>
        <v>0</v>
      </c>
      <c r="U42" s="73">
        <f>IF(COUNT($G42)&gt;0,(U41*(1+'Cloud Consumption'!$F$7)),0)</f>
        <v>0</v>
      </c>
      <c r="V42" s="73">
        <f>IF(COUNT($G42)&gt;0,(V41*(1+'Cloud Consumption'!$G$7)),0)</f>
        <v>0</v>
      </c>
      <c r="W42" s="73">
        <f>IF(COUNT($G42)&gt;0,(W41*(1+'Cloud Consumption'!$H$7)),0)</f>
        <v>0</v>
      </c>
      <c r="X42" s="73">
        <f>IF(COUNT($G42)&gt;0,(X41*(1+'Cloud Consumption'!$F$8)),0)</f>
        <v>0</v>
      </c>
      <c r="Y42" s="73">
        <f>IF(COUNT($G42)&gt;0,(Y41*(1+'Cloud Consumption'!$G$8)),0)</f>
        <v>0</v>
      </c>
      <c r="Z42" s="73">
        <f>IF(COUNT($G42)&gt;0,(Z41*(1+'Cloud Consumption'!$H$8)),0)</f>
        <v>0</v>
      </c>
      <c r="AA42" s="73">
        <f t="shared" si="2"/>
        <v>0</v>
      </c>
      <c r="AB42" s="73">
        <f t="shared" si="3"/>
        <v>0</v>
      </c>
      <c r="AC42" s="73">
        <f t="shared" si="4"/>
        <v>0</v>
      </c>
      <c r="AD42" s="73">
        <f t="shared" si="5"/>
        <v>0</v>
      </c>
      <c r="AE42" s="73">
        <f t="shared" si="6"/>
        <v>0</v>
      </c>
    </row>
    <row r="43" spans="1:31">
      <c r="A43" t="s">
        <v>273</v>
      </c>
      <c r="B43" s="12">
        <f>SUM(B8:B42)</f>
        <v>2424.2939337058815</v>
      </c>
      <c r="C43" s="12">
        <f>SUM(C8:C42)</f>
        <v>0</v>
      </c>
      <c r="D43" s="12">
        <f>SUM(D8:D42)</f>
        <v>0</v>
      </c>
      <c r="E43" s="12">
        <f>SUM(E8:E42)</f>
        <v>201419.30453333331</v>
      </c>
      <c r="F43" s="12">
        <f>SUM(F8:F42)</f>
        <v>39000</v>
      </c>
      <c r="I43" s="72">
        <f>SUM(I8:I42)</f>
        <v>6644.0427007899407</v>
      </c>
      <c r="M43" s="72">
        <f>SUM(M8:M42)</f>
        <v>0</v>
      </c>
      <c r="N43" s="72">
        <f>SUM(N8:N42)</f>
        <v>240419.30453333328</v>
      </c>
      <c r="AE43" s="112">
        <f>SUM(AE8:AE42)</f>
        <v>118321.1198258994</v>
      </c>
    </row>
    <row r="47" spans="1:31" ht="46.5" customHeight="1">
      <c r="A47" s="479"/>
      <c r="B47" s="480"/>
      <c r="C47" s="480"/>
      <c r="D47" s="481"/>
      <c r="E47" s="481"/>
      <c r="F47" s="482"/>
      <c r="G47" s="482"/>
    </row>
    <row r="48" spans="1:31">
      <c r="A48" s="50"/>
      <c r="B48" s="483"/>
      <c r="C48" s="483"/>
      <c r="D48" s="483"/>
      <c r="E48" s="483"/>
      <c r="F48" s="484"/>
      <c r="G48" s="485"/>
    </row>
    <row r="49" spans="1:7">
      <c r="A49" s="50"/>
      <c r="B49" s="483"/>
      <c r="C49" s="483"/>
      <c r="D49" s="483"/>
      <c r="E49" s="483"/>
      <c r="F49" s="484"/>
      <c r="G49" s="485"/>
    </row>
    <row r="50" spans="1:7">
      <c r="A50" s="50"/>
      <c r="B50" s="483"/>
      <c r="C50" s="483"/>
      <c r="D50" s="483"/>
      <c r="E50" s="483"/>
      <c r="F50" s="484"/>
      <c r="G50" s="485"/>
    </row>
    <row r="51" spans="1:7">
      <c r="A51" s="50"/>
      <c r="B51" s="483"/>
      <c r="C51" s="483"/>
      <c r="D51" s="483"/>
      <c r="E51" s="483"/>
      <c r="F51" s="484"/>
      <c r="G51" s="485"/>
    </row>
    <row r="52" spans="1:7">
      <c r="A52" s="50"/>
      <c r="B52" s="483"/>
      <c r="C52" s="483"/>
      <c r="D52" s="483"/>
      <c r="E52" s="483"/>
      <c r="F52" s="484"/>
      <c r="G52" s="485"/>
    </row>
    <row r="53" spans="1:7">
      <c r="A53" s="50"/>
      <c r="B53" s="483"/>
      <c r="C53" s="483"/>
      <c r="D53" s="483"/>
      <c r="E53" s="483"/>
      <c r="F53" s="484"/>
      <c r="G53" s="485"/>
    </row>
    <row r="54" spans="1:7">
      <c r="A54" s="50"/>
      <c r="B54" s="483"/>
      <c r="C54" s="483"/>
      <c r="D54" s="483"/>
      <c r="E54" s="483"/>
      <c r="F54" s="484"/>
      <c r="G54" s="485"/>
    </row>
    <row r="55" spans="1:7">
      <c r="A55" s="50"/>
      <c r="B55" s="483"/>
      <c r="C55" s="483"/>
      <c r="D55" s="483"/>
      <c r="E55" s="483"/>
      <c r="F55" s="484"/>
      <c r="G55" s="485"/>
    </row>
    <row r="56" spans="1:7">
      <c r="A56" s="50"/>
      <c r="B56" s="483"/>
      <c r="C56" s="483"/>
      <c r="D56" s="483"/>
      <c r="E56" s="483"/>
      <c r="F56" s="484"/>
      <c r="G56" s="485"/>
    </row>
    <row r="57" spans="1:7">
      <c r="A57" s="50"/>
      <c r="B57" s="483"/>
      <c r="C57" s="483"/>
      <c r="D57" s="483"/>
      <c r="E57" s="483"/>
      <c r="F57" s="484"/>
      <c r="G57" s="485"/>
    </row>
    <row r="58" spans="1:7">
      <c r="A58" s="65"/>
      <c r="B58" s="483"/>
      <c r="C58" s="483"/>
      <c r="D58" s="483"/>
      <c r="E58" s="483"/>
      <c r="F58" s="484"/>
      <c r="G58" s="485"/>
    </row>
    <row r="59" spans="1:7">
      <c r="A59" s="65"/>
      <c r="B59" s="483"/>
      <c r="C59" s="483"/>
      <c r="D59" s="483"/>
      <c r="E59" s="483"/>
      <c r="F59" s="484"/>
      <c r="G59" s="485"/>
    </row>
    <row r="60" spans="1:7">
      <c r="A60" s="65"/>
      <c r="B60" s="483"/>
      <c r="C60" s="483"/>
      <c r="D60" s="483"/>
      <c r="E60" s="483"/>
      <c r="F60" s="484"/>
      <c r="G60" s="485"/>
    </row>
    <row r="61" spans="1:7">
      <c r="A61" s="65"/>
      <c r="B61" s="483"/>
      <c r="C61" s="483"/>
      <c r="D61" s="483"/>
      <c r="E61" s="483"/>
      <c r="F61" s="484"/>
      <c r="G61" s="485"/>
    </row>
    <row r="62" spans="1:7">
      <c r="A62" s="65"/>
      <c r="B62" s="483"/>
      <c r="C62" s="483"/>
      <c r="D62" s="483"/>
      <c r="E62" s="483"/>
      <c r="F62" s="484"/>
      <c r="G62" s="485"/>
    </row>
    <row r="63" spans="1:7">
      <c r="A63" s="65"/>
      <c r="B63" s="483"/>
      <c r="C63" s="483"/>
      <c r="D63" s="483"/>
      <c r="E63" s="483"/>
      <c r="F63" s="484"/>
      <c r="G63" s="485"/>
    </row>
    <row r="64" spans="1:7">
      <c r="A64" s="65"/>
      <c r="B64" s="483"/>
      <c r="C64" s="483"/>
      <c r="D64" s="483"/>
      <c r="E64" s="483"/>
      <c r="F64" s="484"/>
      <c r="G64" s="485"/>
    </row>
    <row r="65" spans="1:7">
      <c r="A65" s="50"/>
      <c r="B65" s="50"/>
      <c r="C65" s="50"/>
      <c r="D65" s="50"/>
      <c r="E65" s="50"/>
      <c r="F65" s="50"/>
      <c r="G65" s="50"/>
    </row>
  </sheetData>
  <sheetProtection algorithmName="SHA-512" hashValue="0neb9ffNFZA2JsO4cP8VjQjnOhw+yPglO8ltp5Pk7JfXNloetKHFgyJxUDxbo8Z8SGyWfbShhAgfuCMMiSPpAw==" saltValue="9SOHAGhFu4SpuYZG5srMtQ==" spinCount="100000" sheet="1" objects="1" scenarios="1" selectLockedCells="1" selectUnlockedCells="1"/>
  <mergeCells count="3">
    <mergeCell ref="B6:F6"/>
    <mergeCell ref="H6:N6"/>
    <mergeCell ref="O6:Z6"/>
  </mergeCells>
  <pageMargins left="0.7" right="0.7" top="0.75" bottom="0.75" header="0.3" footer="0.3"/>
  <pageSetup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0000000}">
          <x14:formula1>
            <xm:f>Inputs!$E$3:$E$6</xm:f>
          </x14:formula1>
          <xm:sqref>J2:M2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AE93"/>
  <sheetViews>
    <sheetView topLeftCell="S1" zoomScale="55" zoomScaleNormal="55" workbookViewId="0">
      <selection activeCell="A17" sqref="A17:XFD17"/>
    </sheetView>
  </sheetViews>
  <sheetFormatPr defaultRowHeight="14.25"/>
  <cols>
    <col min="1" max="1" width="25.73046875" bestFit="1" customWidth="1"/>
    <col min="2" max="2" width="18.86328125" bestFit="1" customWidth="1"/>
    <col min="3" max="3" width="18.86328125" customWidth="1"/>
    <col min="4" max="4" width="18.3984375" bestFit="1" customWidth="1"/>
    <col min="5" max="5" width="16.265625" customWidth="1"/>
    <col min="6" max="6" width="24.1328125" customWidth="1"/>
    <col min="7" max="7" width="12.86328125" customWidth="1"/>
    <col min="8" max="8" width="15.1328125" customWidth="1"/>
    <col min="9" max="9" width="16.73046875" customWidth="1"/>
    <col min="10" max="10" width="16.265625" customWidth="1"/>
    <col min="11" max="11" width="16.86328125" customWidth="1"/>
    <col min="12" max="12" width="17" customWidth="1"/>
    <col min="13" max="13" width="12.1328125" customWidth="1"/>
    <col min="14" max="14" width="29.73046875" customWidth="1"/>
    <col min="15" max="15" width="18.73046875" customWidth="1"/>
    <col min="16" max="16" width="15.73046875" customWidth="1"/>
    <col min="17" max="17" width="26.86328125" customWidth="1"/>
    <col min="18" max="18" width="23.265625" customWidth="1"/>
    <col min="19" max="19" width="11.59765625" customWidth="1"/>
    <col min="20" max="22" width="24.1328125" customWidth="1"/>
    <col min="23" max="23" width="26.1328125" customWidth="1"/>
    <col min="24" max="25" width="24.1328125" customWidth="1"/>
    <col min="26" max="26" width="23.73046875" customWidth="1"/>
    <col min="27" max="27" width="25.1328125" customWidth="1"/>
    <col min="28" max="28" width="21.1328125" customWidth="1"/>
    <col min="29" max="29" width="27" customWidth="1"/>
    <col min="30" max="30" width="22.265625" customWidth="1"/>
    <col min="31" max="31" width="17.1328125" customWidth="1"/>
  </cols>
  <sheetData>
    <row r="1" spans="1:31">
      <c r="A1" t="s">
        <v>16</v>
      </c>
    </row>
    <row r="2" spans="1:31" ht="14.65" thickBot="1">
      <c r="T2" s="128"/>
      <c r="U2" s="128"/>
      <c r="V2" s="128"/>
      <c r="W2" s="128"/>
      <c r="X2" s="128"/>
      <c r="Y2" s="128"/>
      <c r="Z2" s="824" t="s">
        <v>322</v>
      </c>
      <c r="AA2" s="824"/>
      <c r="AB2" s="824"/>
      <c r="AC2" s="824"/>
      <c r="AD2" s="824"/>
    </row>
    <row r="3" spans="1:31" ht="14.65" thickBot="1">
      <c r="A3" s="825" t="str">
        <f>Inputs!A12</f>
        <v>Project Tables (Update Monthly from Dashboard)</v>
      </c>
      <c r="B3" s="826"/>
      <c r="C3" s="826"/>
      <c r="D3" s="827"/>
      <c r="E3" s="828" t="str">
        <f>Inputs!D12</f>
        <v>Previous Month</v>
      </c>
      <c r="F3" s="829"/>
      <c r="G3" s="829"/>
      <c r="H3" s="830"/>
      <c r="I3" s="831"/>
      <c r="J3" s="832" t="str">
        <f>Inputs!I12</f>
        <v>3-Month Rolling Average</v>
      </c>
      <c r="K3" s="829"/>
      <c r="L3" s="829"/>
      <c r="M3" s="829"/>
      <c r="N3" s="830"/>
      <c r="O3" s="583" t="str">
        <f>Inputs!N12</f>
        <v>Project Cost to Date</v>
      </c>
      <c r="P3" s="583" t="str">
        <f>Inputs!O12</f>
        <v>Number of current analysts</v>
      </c>
      <c r="Q3" s="583" t="str">
        <f>Inputs!P12</f>
        <v>Current Level of Enablement</v>
      </c>
      <c r="R3" s="583" t="str">
        <f>Inputs!Q12</f>
        <v>MoM Growth Rate in Costs</v>
      </c>
      <c r="S3" s="583" t="str">
        <f>Inputs!R12</f>
        <v xml:space="preserve">Annual Cost </v>
      </c>
      <c r="T3" t="s">
        <v>317</v>
      </c>
      <c r="U3" t="s">
        <v>327</v>
      </c>
      <c r="V3" t="s">
        <v>310</v>
      </c>
      <c r="W3" t="s">
        <v>329</v>
      </c>
      <c r="X3" t="s">
        <v>17</v>
      </c>
      <c r="Y3" t="s">
        <v>464</v>
      </c>
      <c r="Z3" t="s">
        <v>318</v>
      </c>
      <c r="AA3" t="s">
        <v>320</v>
      </c>
      <c r="AB3" t="s">
        <v>319</v>
      </c>
      <c r="AC3" t="s">
        <v>609</v>
      </c>
      <c r="AD3" t="s">
        <v>321</v>
      </c>
      <c r="AE3" t="s">
        <v>40</v>
      </c>
    </row>
    <row r="4" spans="1:31">
      <c r="A4" s="44" t="str">
        <f>Inputs!A13</f>
        <v>Project List</v>
      </c>
      <c r="B4" s="44" t="str">
        <f>Inputs!B13</f>
        <v>Remaining Duration</v>
      </c>
      <c r="C4" s="44" t="s">
        <v>328</v>
      </c>
      <c r="D4" s="44" t="str">
        <f>Inputs!C13</f>
        <v>Current Phase</v>
      </c>
      <c r="E4" s="44" t="str">
        <f>Inputs!D13</f>
        <v>Enablement Cost</v>
      </c>
      <c r="F4" s="44" t="str">
        <f>Inputs!E13</f>
        <v>Data Related Cost</v>
      </c>
      <c r="G4" s="44" t="str">
        <f>Inputs!F13</f>
        <v>Analysts Cost</v>
      </c>
      <c r="H4" s="44" t="str">
        <f>Inputs!G13</f>
        <v>Overhead Costs</v>
      </c>
      <c r="I4" s="44" t="str">
        <f>Inputs!H13</f>
        <v>Platform Services</v>
      </c>
      <c r="J4" s="44" t="str">
        <f>Inputs!I13</f>
        <v>Enablement Cost</v>
      </c>
      <c r="K4" s="44" t="str">
        <f>Inputs!J13</f>
        <v>Data Related Cost</v>
      </c>
      <c r="L4" s="44" t="str">
        <f>Inputs!K13</f>
        <v>Analysts Cost</v>
      </c>
      <c r="M4" s="44" t="str">
        <f>Inputs!L13</f>
        <v>Overhead</v>
      </c>
      <c r="N4" s="44" t="str">
        <f>Inputs!M13</f>
        <v>Plaftorm Services</v>
      </c>
      <c r="O4" s="44"/>
      <c r="P4" s="44"/>
      <c r="Q4" s="44"/>
      <c r="R4" s="44"/>
      <c r="S4" s="44"/>
      <c r="T4" s="584"/>
      <c r="U4" s="584"/>
      <c r="V4" s="584"/>
      <c r="W4" s="584"/>
      <c r="X4" s="584"/>
      <c r="Y4" s="584"/>
      <c r="Z4" s="584"/>
      <c r="AA4" s="584"/>
      <c r="AB4" s="584"/>
      <c r="AC4" s="584"/>
      <c r="AD4" s="584"/>
      <c r="AE4" s="585"/>
    </row>
    <row r="5" spans="1:31">
      <c r="A5" s="15" t="str">
        <f>Inputs!A14</f>
        <v>CVP-NYC</v>
      </c>
      <c r="B5" s="15">
        <f>Inputs!B14</f>
        <v>12</v>
      </c>
      <c r="C5" s="15" t="s">
        <v>31</v>
      </c>
      <c r="D5" s="15" t="s">
        <v>83</v>
      </c>
      <c r="E5" s="136">
        <f>Inputs!D14</f>
        <v>0</v>
      </c>
      <c r="F5" s="136">
        <f>Inputs!E14</f>
        <v>0</v>
      </c>
      <c r="G5" s="136">
        <f>Inputs!F14</f>
        <v>0</v>
      </c>
      <c r="H5" s="136">
        <f>Inputs!G14</f>
        <v>1348.2025000000001</v>
      </c>
      <c r="I5" s="136">
        <f>Inputs!H14</f>
        <v>169.03936250000001</v>
      </c>
      <c r="J5" s="136">
        <f>Inputs!I14</f>
        <v>0</v>
      </c>
      <c r="K5" s="136">
        <f>Inputs!J14</f>
        <v>0</v>
      </c>
      <c r="L5" s="136">
        <f>Inputs!K14</f>
        <v>0</v>
      </c>
      <c r="M5" s="136">
        <f>Inputs!L14</f>
        <v>1348.2025000000001</v>
      </c>
      <c r="N5" s="136">
        <f>Inputs!M14</f>
        <v>169.03936250000001</v>
      </c>
      <c r="O5" s="136">
        <f>Inputs!N14</f>
        <v>20000</v>
      </c>
      <c r="P5" s="136">
        <f>Inputs!O14</f>
        <v>5</v>
      </c>
      <c r="Q5" s="136" t="str">
        <f>Inputs!P14</f>
        <v>None</v>
      </c>
      <c r="R5" s="136">
        <f>Inputs!Q14</f>
        <v>0</v>
      </c>
      <c r="S5" s="136">
        <f>Inputs!R14</f>
        <v>18206.90235</v>
      </c>
      <c r="T5" s="563" t="str">
        <f>'Sys Admin'!G24</f>
        <v>None</v>
      </c>
      <c r="U5" s="563" t="str">
        <f>'Sys Admin'!I24</f>
        <v>Active</v>
      </c>
      <c r="V5" s="563">
        <f>'Sys Admin'!K24</f>
        <v>0</v>
      </c>
      <c r="W5" s="490">
        <f t="shared" ref="W5:W36" si="0">IF(X54=1, VLOOKUP(U5&amp;T5,$N$48:$Q$65,4,FALSE), VLOOKUP(U5&amp;T5,$N$66:$Q$70,4,FALSE))</f>
        <v>0</v>
      </c>
      <c r="X5" s="563">
        <f>IF(U5="Prospective",0,IF(U5="Onboarding",2,IF(U5="Planning/Discovery",2,(12-V5))))</f>
        <v>12</v>
      </c>
      <c r="Y5" s="490">
        <f>IF(X54=1, VLOOKUP(T5,$P$71:$Q$74,2,FALSE), W5*X5)</f>
        <v>0</v>
      </c>
      <c r="Z5" s="50">
        <f>(IF(U5=D5,F5,IF(U5="Prospective",0,IF(U5="Planning/Discovery",0,IF(U5="Onboarding",0,IF(U5="Export/Retirement",0,VLOOKUP(U5&amp;C5,$V$46:$X$48,3,FALSE)))))))*(12-V5)</f>
        <v>24676.080000000002</v>
      </c>
      <c r="AA5" s="50">
        <f>(IF(U5=D5,F5,IF(U5="Prospective",0,IF(U5="Planning/Discovery",0,IF(U5="Onboarding",0,IF(U5="Export/Retirement",0,VLOOKUP(U5&amp;C5,$V$46:$Y$48,4,FALSE)))))))*(12-V5)</f>
        <v>4509.12</v>
      </c>
      <c r="AB5" s="50">
        <f>IF(U5="Planning/Discovery",$L$49*2,IF(U5="Onboarding",$L$50*2,IF(U5="Active",$L$51*(12-V5),IF(U5="Export/Retirement",$L$52*1, 0))))</f>
        <v>77656.463999999993</v>
      </c>
      <c r="AC5" s="490">
        <f t="shared" ref="AC5:AC21" si="1">AA54</f>
        <v>63000</v>
      </c>
      <c r="AD5" s="50">
        <f>IF(U5="Planning/Discovery",$L$56*2,IF(U5="Onboarding",$L$57*2,IF(U5="Active",$L$58*(12-V5),IF(U5="Export/Retirement",$L$59*2, 0))))</f>
        <v>14280.445344000003</v>
      </c>
      <c r="AE5" s="564">
        <f>SUM(Y5,Z5,AA5,AB5,, AC5, AD5)</f>
        <v>184122.109344</v>
      </c>
    </row>
    <row r="6" spans="1:31">
      <c r="A6" s="15" t="str">
        <f>Inputs!A15</f>
        <v>CVP-THEA</v>
      </c>
      <c r="B6" s="15">
        <f>Inputs!B15</f>
        <v>12</v>
      </c>
      <c r="C6" s="15" t="s">
        <v>32</v>
      </c>
      <c r="D6" s="15" t="str">
        <f>Inputs!C15</f>
        <v>Active</v>
      </c>
      <c r="E6" s="136">
        <f>Inputs!D15</f>
        <v>0</v>
      </c>
      <c r="F6" s="136">
        <f>Inputs!E15</f>
        <v>20.96</v>
      </c>
      <c r="G6" s="136">
        <f>Inputs!F15</f>
        <v>0</v>
      </c>
      <c r="H6" s="136">
        <f>Inputs!G15</f>
        <v>7190.413333333333</v>
      </c>
      <c r="I6" s="136">
        <f>Inputs!H15</f>
        <v>1202.0576888888891</v>
      </c>
      <c r="J6" s="136">
        <f>Inputs!I15</f>
        <v>0</v>
      </c>
      <c r="K6" s="136">
        <f>Inputs!J15</f>
        <v>477.21333333333337</v>
      </c>
      <c r="L6" s="136">
        <f>Inputs!K15</f>
        <v>0</v>
      </c>
      <c r="M6" s="136">
        <f>Inputs!L15</f>
        <v>7190.413333333333</v>
      </c>
      <c r="N6" s="136">
        <f>Inputs!M15</f>
        <v>1202.0576888888891</v>
      </c>
      <c r="O6" s="136">
        <f>Inputs!N15</f>
        <v>0</v>
      </c>
      <c r="P6" s="136">
        <f>Inputs!O15</f>
        <v>5</v>
      </c>
      <c r="Q6" s="136" t="str">
        <f>Inputs!P15</f>
        <v>None</v>
      </c>
      <c r="R6" s="136">
        <f>Inputs!Q15</f>
        <v>0.04</v>
      </c>
      <c r="S6" s="136">
        <f>Inputs!R15</f>
        <v>100961.17226666668</v>
      </c>
      <c r="T6" s="563" t="str">
        <f>'Sys Admin'!G25</f>
        <v>None</v>
      </c>
      <c r="U6" s="563" t="str">
        <f>'Sys Admin'!I25</f>
        <v>Active</v>
      </c>
      <c r="V6" s="563">
        <f>'Sys Admin'!K25</f>
        <v>0</v>
      </c>
      <c r="W6" s="490">
        <f t="shared" si="0"/>
        <v>0</v>
      </c>
      <c r="X6" s="563">
        <f t="shared" ref="X6:X21" si="2">IF(U6="Prospective",0,IF(U6="Onboarding",2,IF(U6="Planning/Discovery",2,(12-V6))))</f>
        <v>12</v>
      </c>
      <c r="Y6" s="490">
        <f t="shared" ref="Y6:Y36" si="3">IF(X55=1, VLOOKUP(T6,$P$71:$Q$74,2,FALSE), W6*X6)</f>
        <v>0</v>
      </c>
      <c r="Z6" s="50">
        <f t="shared" ref="Z6:Z21" si="4">(IF(U6=D6,F6,IF(U6="Prospective",0,IF(U6="Planning/Discovery",0,IF(U6="Onboarding",0,IF(U6="Export/Retirement",0,VLOOKUP(U6&amp;C6,$V$46:$X$48,3,FALSE)))))))*(12-V6)</f>
        <v>251.52</v>
      </c>
      <c r="AA6" s="50">
        <f t="shared" ref="AA6:AA21" si="5">(IF(U6=D6,F6,IF(U6="Prospective",0,IF(U6="Planning/Discovery",0,IF(U6="Onboarding",0,IF(U6="Export/Retirement",0,VLOOKUP(U6&amp;C6,$V$46:$Y$48,4,FALSE)))))))*(12-V6)</f>
        <v>251.52</v>
      </c>
      <c r="AB6" s="50">
        <f t="shared" ref="AB6:AB21" si="6">IF(U6="Planning/Discovery",$L$49*2,IF(U6="Onboarding",$L$50*2,IF(U6="Active",$L$51*(12-V6),IF(U6="Export/Retirement",$L$52*1, 0))))</f>
        <v>77656.463999999993</v>
      </c>
      <c r="AC6" s="490">
        <f t="shared" si="1"/>
        <v>89000</v>
      </c>
      <c r="AD6" s="50">
        <f t="shared" ref="AD6:AD21" si="7">IF(U6="Planning/Discovery",$L$56*2,IF(U6="Onboarding",$L$57*2,IF(U6="Active",$L$58*(12-V6),IF(U6="Export/Retirement",$L$59*2, 0))))</f>
        <v>14280.445344000003</v>
      </c>
      <c r="AE6" s="564">
        <f t="shared" ref="AE6:AE36" si="8">SUM(Y6,Z6,AA6,AB6,, AC6, AD6)</f>
        <v>181439.94934399999</v>
      </c>
    </row>
    <row r="7" spans="1:31">
      <c r="A7" s="15" t="str">
        <f>Inputs!A16</f>
        <v>CVP-WYDOT</v>
      </c>
      <c r="B7" s="15">
        <f>Inputs!B16</f>
        <v>12</v>
      </c>
      <c r="C7" s="15" t="s">
        <v>31</v>
      </c>
      <c r="D7" s="15" t="str">
        <f>Inputs!C16</f>
        <v>Active</v>
      </c>
      <c r="E7" s="136">
        <f>Inputs!D16</f>
        <v>0</v>
      </c>
      <c r="F7" s="136">
        <f>Inputs!E16</f>
        <v>62.03</v>
      </c>
      <c r="G7" s="136">
        <f>Inputs!F16</f>
        <v>0</v>
      </c>
      <c r="H7" s="136">
        <f>Inputs!G16</f>
        <v>7190.413333333333</v>
      </c>
      <c r="I7" s="136">
        <f>Inputs!H16</f>
        <v>1202.0576888888891</v>
      </c>
      <c r="J7" s="136">
        <f>Inputs!I16</f>
        <v>0</v>
      </c>
      <c r="K7" s="136">
        <f>Inputs!J16</f>
        <v>49.360000000000007</v>
      </c>
      <c r="L7" s="136">
        <f>Inputs!K16</f>
        <v>0</v>
      </c>
      <c r="M7" s="136">
        <f>Inputs!L16</f>
        <v>7190.413333333333</v>
      </c>
      <c r="N7" s="136">
        <f>Inputs!M16</f>
        <v>1202.0576888888891</v>
      </c>
      <c r="O7" s="136">
        <f>Inputs!N16</f>
        <v>0</v>
      </c>
      <c r="P7" s="136">
        <f>Inputs!O16</f>
        <v>8</v>
      </c>
      <c r="Q7" s="136" t="str">
        <f>Inputs!P16</f>
        <v>None</v>
      </c>
      <c r="R7" s="136">
        <f>Inputs!Q16</f>
        <v>0.04</v>
      </c>
      <c r="S7" s="136">
        <f>Inputs!R16</f>
        <v>101454.01226666667</v>
      </c>
      <c r="T7" s="563" t="str">
        <f>'Sys Admin'!G26</f>
        <v>None</v>
      </c>
      <c r="U7" s="563" t="str">
        <f>'Sys Admin'!I26</f>
        <v>Active</v>
      </c>
      <c r="V7" s="563">
        <f>'Sys Admin'!K26</f>
        <v>0</v>
      </c>
      <c r="W7" s="490">
        <f t="shared" si="0"/>
        <v>0</v>
      </c>
      <c r="X7" s="563">
        <f t="shared" si="2"/>
        <v>12</v>
      </c>
      <c r="Y7" s="490">
        <f t="shared" si="3"/>
        <v>0</v>
      </c>
      <c r="Z7" s="50">
        <f t="shared" si="4"/>
        <v>744.36</v>
      </c>
      <c r="AA7" s="50">
        <f t="shared" si="5"/>
        <v>744.36</v>
      </c>
      <c r="AB7" s="50">
        <f t="shared" si="6"/>
        <v>77656.463999999993</v>
      </c>
      <c r="AC7" s="490">
        <f t="shared" si="1"/>
        <v>89000</v>
      </c>
      <c r="AD7" s="50">
        <f t="shared" si="7"/>
        <v>14280.445344000003</v>
      </c>
      <c r="AE7" s="564">
        <f t="shared" si="8"/>
        <v>182425.62934400002</v>
      </c>
    </row>
    <row r="8" spans="1:31">
      <c r="A8" s="15" t="str">
        <f>Inputs!A17</f>
        <v>CVP-Volpe-IE</v>
      </c>
      <c r="B8" s="15">
        <f>Inputs!B17</f>
        <v>12</v>
      </c>
      <c r="C8" s="15" t="s">
        <v>31</v>
      </c>
      <c r="D8" s="15" t="str">
        <f>Inputs!C17</f>
        <v>Active</v>
      </c>
      <c r="E8" s="136">
        <f>Inputs!D17</f>
        <v>0</v>
      </c>
      <c r="F8" s="136">
        <f>Inputs!E17</f>
        <v>0</v>
      </c>
      <c r="G8" s="136">
        <f>Inputs!F17</f>
        <v>148.24</v>
      </c>
      <c r="H8" s="136">
        <f>Inputs!G17</f>
        <v>7190.413333333333</v>
      </c>
      <c r="I8" s="136">
        <f>Inputs!H17</f>
        <v>1202.0576888888891</v>
      </c>
      <c r="J8" s="136">
        <f>Inputs!I17</f>
        <v>0</v>
      </c>
      <c r="K8" s="136">
        <f>Inputs!J17</f>
        <v>0</v>
      </c>
      <c r="L8" s="136">
        <f>Inputs!K17</f>
        <v>170.27333333333334</v>
      </c>
      <c r="M8" s="136">
        <f>Inputs!L17</f>
        <v>7190.413333333333</v>
      </c>
      <c r="N8" s="136">
        <f>Inputs!M17</f>
        <v>1202.0576888888891</v>
      </c>
      <c r="O8" s="136">
        <f>Inputs!N17</f>
        <v>0</v>
      </c>
      <c r="P8" s="136">
        <f>Inputs!O17</f>
        <v>5</v>
      </c>
      <c r="Q8" s="136" t="str">
        <f>Inputs!P17</f>
        <v>None</v>
      </c>
      <c r="R8" s="136">
        <f>Inputs!Q17</f>
        <v>0.04</v>
      </c>
      <c r="S8" s="136">
        <f>Inputs!R17</f>
        <v>102488.53226666666</v>
      </c>
      <c r="T8" s="563" t="str">
        <f>'Sys Admin'!G27</f>
        <v>None</v>
      </c>
      <c r="U8" s="563" t="str">
        <f>'Sys Admin'!I27</f>
        <v>Active</v>
      </c>
      <c r="V8" s="563">
        <f>'Sys Admin'!K27</f>
        <v>0</v>
      </c>
      <c r="W8" s="490">
        <f t="shared" si="0"/>
        <v>0</v>
      </c>
      <c r="X8" s="563">
        <f t="shared" si="2"/>
        <v>12</v>
      </c>
      <c r="Y8" s="490">
        <f t="shared" si="3"/>
        <v>0</v>
      </c>
      <c r="Z8" s="50">
        <f t="shared" si="4"/>
        <v>0</v>
      </c>
      <c r="AA8" s="50">
        <f t="shared" si="5"/>
        <v>0</v>
      </c>
      <c r="AB8" s="50">
        <f t="shared" si="6"/>
        <v>77656.463999999993</v>
      </c>
      <c r="AC8" s="490">
        <f t="shared" si="1"/>
        <v>89000</v>
      </c>
      <c r="AD8" s="50">
        <f t="shared" si="7"/>
        <v>14280.445344000003</v>
      </c>
      <c r="AE8" s="564">
        <f t="shared" si="8"/>
        <v>180936.90934399999</v>
      </c>
    </row>
    <row r="9" spans="1:31">
      <c r="A9" s="15" t="str">
        <f>Inputs!A18</f>
        <v>CVP-TTI-IE</v>
      </c>
      <c r="B9" s="15">
        <f>Inputs!B18</f>
        <v>12</v>
      </c>
      <c r="C9" s="15" t="s">
        <v>31</v>
      </c>
      <c r="D9" s="15" t="str">
        <f>Inputs!C18</f>
        <v>Active</v>
      </c>
      <c r="E9" s="136">
        <f>Inputs!D18</f>
        <v>0</v>
      </c>
      <c r="F9" s="136">
        <f>Inputs!E18</f>
        <v>0</v>
      </c>
      <c r="G9" s="136">
        <f>Inputs!F18</f>
        <v>93.63</v>
      </c>
      <c r="H9" s="136">
        <f>Inputs!G18</f>
        <v>7190.413333333333</v>
      </c>
      <c r="I9" s="136">
        <f>Inputs!H18</f>
        <v>1202.0576888888891</v>
      </c>
      <c r="J9" s="136">
        <f>Inputs!I18</f>
        <v>0</v>
      </c>
      <c r="K9" s="136">
        <f>Inputs!J18</f>
        <v>0</v>
      </c>
      <c r="L9" s="136">
        <f>Inputs!K18</f>
        <v>95.11</v>
      </c>
      <c r="M9" s="136">
        <f>Inputs!L18</f>
        <v>7190.413333333333</v>
      </c>
      <c r="N9" s="136">
        <f>Inputs!M18</f>
        <v>1202.0576888888891</v>
      </c>
      <c r="O9" s="136">
        <f>Inputs!N18</f>
        <v>0</v>
      </c>
      <c r="P9" s="136">
        <f>Inputs!O18</f>
        <v>10</v>
      </c>
      <c r="Q9" s="136" t="str">
        <f>Inputs!P18</f>
        <v>None</v>
      </c>
      <c r="R9" s="136">
        <f>Inputs!Q18</f>
        <v>0.04</v>
      </c>
      <c r="S9" s="136">
        <f>Inputs!R18</f>
        <v>101833.21226666665</v>
      </c>
      <c r="T9" s="563" t="str">
        <f>'Sys Admin'!G28</f>
        <v>None</v>
      </c>
      <c r="U9" s="563" t="str">
        <f>'Sys Admin'!I28</f>
        <v>Active</v>
      </c>
      <c r="V9" s="563">
        <f>'Sys Admin'!K28</f>
        <v>0</v>
      </c>
      <c r="W9" s="490">
        <f t="shared" si="0"/>
        <v>0</v>
      </c>
      <c r="X9" s="563">
        <f t="shared" si="2"/>
        <v>12</v>
      </c>
      <c r="Y9" s="490">
        <f t="shared" si="3"/>
        <v>0</v>
      </c>
      <c r="Z9" s="50">
        <f t="shared" si="4"/>
        <v>0</v>
      </c>
      <c r="AA9" s="50">
        <f t="shared" si="5"/>
        <v>0</v>
      </c>
      <c r="AB9" s="50">
        <f t="shared" si="6"/>
        <v>77656.463999999993</v>
      </c>
      <c r="AC9" s="490">
        <f t="shared" si="1"/>
        <v>89000</v>
      </c>
      <c r="AD9" s="50">
        <f t="shared" si="7"/>
        <v>14280.445344000003</v>
      </c>
      <c r="AE9" s="564">
        <f t="shared" si="8"/>
        <v>180936.90934399999</v>
      </c>
    </row>
    <row r="10" spans="1:31">
      <c r="A10" s="15" t="str">
        <f>Inputs!A19</f>
        <v>CARMA3-FMCSA</v>
      </c>
      <c r="B10" s="15">
        <f>Inputs!B19</f>
        <v>12</v>
      </c>
      <c r="C10" s="15" t="s">
        <v>32</v>
      </c>
      <c r="D10" s="15" t="str">
        <f>Inputs!C19</f>
        <v>Planning/Discovery</v>
      </c>
      <c r="E10" s="136">
        <f>Inputs!D19</f>
        <v>0</v>
      </c>
      <c r="F10" s="136">
        <f>Inputs!E19</f>
        <v>0</v>
      </c>
      <c r="G10" s="136">
        <f>Inputs!F19</f>
        <v>0</v>
      </c>
      <c r="H10" s="136">
        <f>Inputs!G19</f>
        <v>1348.2025000000001</v>
      </c>
      <c r="I10" s="136">
        <f>Inputs!H19</f>
        <v>169.03936250000001</v>
      </c>
      <c r="J10" s="136">
        <f>Inputs!I19</f>
        <v>0</v>
      </c>
      <c r="K10" s="136">
        <f>Inputs!J19</f>
        <v>0</v>
      </c>
      <c r="L10" s="136">
        <f>Inputs!K19</f>
        <v>0</v>
      </c>
      <c r="M10" s="136">
        <f>Inputs!L19</f>
        <v>0</v>
      </c>
      <c r="N10" s="136">
        <f>Inputs!M19</f>
        <v>0</v>
      </c>
      <c r="O10" s="136">
        <f>Inputs!N19</f>
        <v>0</v>
      </c>
      <c r="P10" s="136">
        <f>Inputs!O19</f>
        <v>0</v>
      </c>
      <c r="Q10" s="136" t="str">
        <f>Inputs!P19</f>
        <v>None</v>
      </c>
      <c r="R10" s="136">
        <f>Inputs!Q19</f>
        <v>0</v>
      </c>
      <c r="S10" s="136">
        <f>Inputs!R19</f>
        <v>18206.90235</v>
      </c>
      <c r="T10" s="563" t="str">
        <f>'Sys Admin'!G29</f>
        <v>None</v>
      </c>
      <c r="U10" s="563" t="str">
        <f>'Sys Admin'!I29</f>
        <v>Prospective</v>
      </c>
      <c r="V10" s="563">
        <f>'Sys Admin'!K29</f>
        <v>0</v>
      </c>
      <c r="W10" s="490">
        <f t="shared" si="0"/>
        <v>0</v>
      </c>
      <c r="X10" s="563">
        <f t="shared" si="2"/>
        <v>0</v>
      </c>
      <c r="Y10" s="490">
        <f t="shared" si="3"/>
        <v>0</v>
      </c>
      <c r="Z10" s="50">
        <f t="shared" si="4"/>
        <v>0</v>
      </c>
      <c r="AA10" s="50">
        <f t="shared" si="5"/>
        <v>0</v>
      </c>
      <c r="AB10" s="50">
        <f t="shared" si="6"/>
        <v>0</v>
      </c>
      <c r="AC10" s="490">
        <f t="shared" si="1"/>
        <v>0</v>
      </c>
      <c r="AD10" s="50">
        <f t="shared" si="7"/>
        <v>0</v>
      </c>
      <c r="AE10" s="564">
        <f t="shared" si="8"/>
        <v>0</v>
      </c>
    </row>
    <row r="11" spans="1:31">
      <c r="A11" s="15" t="str">
        <f>Inputs!A20</f>
        <v>CARMA-FHWA</v>
      </c>
      <c r="B11" s="15">
        <f>Inputs!B20</f>
        <v>12</v>
      </c>
      <c r="C11" s="15" t="s">
        <v>32</v>
      </c>
      <c r="D11" s="15" t="str">
        <f>Inputs!C20</f>
        <v>Planning/Discovery</v>
      </c>
      <c r="E11" s="136">
        <f>Inputs!D20</f>
        <v>0</v>
      </c>
      <c r="F11" s="136">
        <f>Inputs!E20</f>
        <v>0</v>
      </c>
      <c r="G11" s="136">
        <f>Inputs!F20</f>
        <v>0</v>
      </c>
      <c r="H11" s="136">
        <f>Inputs!G20</f>
        <v>1348.2025000000001</v>
      </c>
      <c r="I11" s="136">
        <f>Inputs!H20</f>
        <v>169.03936250000001</v>
      </c>
      <c r="J11" s="136">
        <f>Inputs!I20</f>
        <v>0</v>
      </c>
      <c r="K11" s="136">
        <f>Inputs!J20</f>
        <v>0</v>
      </c>
      <c r="L11" s="136">
        <f>Inputs!K20</f>
        <v>0</v>
      </c>
      <c r="M11" s="136">
        <f>Inputs!L20</f>
        <v>1348.2025000000001</v>
      </c>
      <c r="N11" s="136">
        <f>Inputs!M20</f>
        <v>169.03936250000001</v>
      </c>
      <c r="O11" s="136">
        <f>Inputs!N20</f>
        <v>0</v>
      </c>
      <c r="P11" s="136">
        <f>Inputs!O20</f>
        <v>0</v>
      </c>
      <c r="Q11" s="136" t="str">
        <f>Inputs!P20</f>
        <v>None</v>
      </c>
      <c r="R11" s="136">
        <f>Inputs!Q20</f>
        <v>0</v>
      </c>
      <c r="S11" s="136">
        <f>Inputs!R20</f>
        <v>18206.90235</v>
      </c>
      <c r="T11" s="563" t="str">
        <f>'Sys Admin'!G30</f>
        <v>None</v>
      </c>
      <c r="U11" s="563" t="str">
        <f>'Sys Admin'!I30</f>
        <v>Prospective</v>
      </c>
      <c r="V11" s="563">
        <f>'Sys Admin'!K30</f>
        <v>0</v>
      </c>
      <c r="W11" s="490">
        <f t="shared" si="0"/>
        <v>0</v>
      </c>
      <c r="X11" s="563">
        <f t="shared" si="2"/>
        <v>0</v>
      </c>
      <c r="Y11" s="490">
        <f t="shared" si="3"/>
        <v>0</v>
      </c>
      <c r="Z11" s="50">
        <f t="shared" si="4"/>
        <v>0</v>
      </c>
      <c r="AA11" s="50">
        <f t="shared" si="5"/>
        <v>0</v>
      </c>
      <c r="AB11" s="50">
        <f t="shared" si="6"/>
        <v>0</v>
      </c>
      <c r="AC11" s="490">
        <f t="shared" si="1"/>
        <v>0</v>
      </c>
      <c r="AD11" s="50">
        <f t="shared" si="7"/>
        <v>0</v>
      </c>
      <c r="AE11" s="564">
        <f t="shared" si="8"/>
        <v>0</v>
      </c>
    </row>
    <row r="12" spans="1:31">
      <c r="A12" s="15" t="str">
        <f>Inputs!A21</f>
        <v>FMI-ATRI</v>
      </c>
      <c r="B12" s="15">
        <f>Inputs!B21</f>
        <v>12</v>
      </c>
      <c r="C12" s="15" t="s">
        <v>31</v>
      </c>
      <c r="D12" s="15" t="str">
        <f>Inputs!C21</f>
        <v>Active</v>
      </c>
      <c r="E12" s="136">
        <f>Inputs!D21</f>
        <v>0</v>
      </c>
      <c r="F12" s="136">
        <f>Inputs!E21</f>
        <v>131.35</v>
      </c>
      <c r="G12" s="136">
        <f>Inputs!F21</f>
        <v>0</v>
      </c>
      <c r="H12" s="136">
        <f>Inputs!G21</f>
        <v>7190.413333333333</v>
      </c>
      <c r="I12" s="136">
        <f>Inputs!H21</f>
        <v>1202.0576888888891</v>
      </c>
      <c r="J12" s="136">
        <f>Inputs!I21</f>
        <v>0</v>
      </c>
      <c r="K12" s="136">
        <f>Inputs!J21</f>
        <v>187.05333333333331</v>
      </c>
      <c r="L12" s="136">
        <f>Inputs!K21</f>
        <v>0</v>
      </c>
      <c r="M12" s="136">
        <f>Inputs!L21</f>
        <v>7190.413333333333</v>
      </c>
      <c r="N12" s="136">
        <f>Inputs!M21</f>
        <v>1202.0576888888891</v>
      </c>
      <c r="O12" s="136">
        <f>Inputs!N21</f>
        <v>0</v>
      </c>
      <c r="P12" s="136">
        <f>Inputs!O21</f>
        <v>5</v>
      </c>
      <c r="Q12" s="136" t="str">
        <f>Inputs!P21</f>
        <v>None</v>
      </c>
      <c r="R12" s="136">
        <f>Inputs!Q21</f>
        <v>0.04</v>
      </c>
      <c r="S12" s="136">
        <f>Inputs!R21</f>
        <v>102285.85226666667</v>
      </c>
      <c r="T12" s="563" t="str">
        <f>'Sys Admin'!G31</f>
        <v>None</v>
      </c>
      <c r="U12" s="563" t="str">
        <f>'Sys Admin'!I31</f>
        <v>Active</v>
      </c>
      <c r="V12" s="563">
        <f>'Sys Admin'!K31</f>
        <v>0</v>
      </c>
      <c r="W12" s="490">
        <f t="shared" si="0"/>
        <v>0</v>
      </c>
      <c r="X12" s="563">
        <f t="shared" si="2"/>
        <v>12</v>
      </c>
      <c r="Y12" s="490">
        <f t="shared" si="3"/>
        <v>0</v>
      </c>
      <c r="Z12" s="50">
        <f t="shared" si="4"/>
        <v>1576.1999999999998</v>
      </c>
      <c r="AA12" s="50">
        <f t="shared" si="5"/>
        <v>1576.1999999999998</v>
      </c>
      <c r="AB12" s="50">
        <f t="shared" si="6"/>
        <v>77656.463999999993</v>
      </c>
      <c r="AC12" s="490">
        <f t="shared" si="1"/>
        <v>89000</v>
      </c>
      <c r="AD12" s="50">
        <f t="shared" si="7"/>
        <v>14280.445344000003</v>
      </c>
      <c r="AE12" s="564">
        <f t="shared" si="8"/>
        <v>184089.30934400001</v>
      </c>
    </row>
    <row r="13" spans="1:31">
      <c r="A13" s="15" t="str">
        <f>Inputs!A22</f>
        <v>FMI-BTS</v>
      </c>
      <c r="B13" s="15">
        <f>Inputs!B22</f>
        <v>12</v>
      </c>
      <c r="C13" s="15" t="s">
        <v>31</v>
      </c>
      <c r="D13" s="15" t="str">
        <f>Inputs!C22</f>
        <v>Active</v>
      </c>
      <c r="E13" s="136">
        <f>Inputs!D22</f>
        <v>0</v>
      </c>
      <c r="F13" s="136">
        <f>Inputs!E22</f>
        <v>0</v>
      </c>
      <c r="G13" s="136">
        <f>Inputs!F22</f>
        <v>0</v>
      </c>
      <c r="H13" s="136">
        <f>Inputs!G22</f>
        <v>7190.413333333333</v>
      </c>
      <c r="I13" s="136">
        <f>Inputs!H22</f>
        <v>1202.0576888888891</v>
      </c>
      <c r="J13" s="136">
        <f>Inputs!I22</f>
        <v>0</v>
      </c>
      <c r="K13" s="136">
        <f>Inputs!J22</f>
        <v>0</v>
      </c>
      <c r="L13" s="136">
        <f>Inputs!K22</f>
        <v>0</v>
      </c>
      <c r="M13" s="136">
        <f>Inputs!L22</f>
        <v>7190.413333333333</v>
      </c>
      <c r="N13" s="136">
        <f>Inputs!M22</f>
        <v>1202.0576888888891</v>
      </c>
      <c r="O13" s="136">
        <f>Inputs!N22</f>
        <v>0</v>
      </c>
      <c r="P13" s="136">
        <f>Inputs!O22</f>
        <v>3</v>
      </c>
      <c r="Q13" s="136" t="str">
        <f>Inputs!P22</f>
        <v>None</v>
      </c>
      <c r="R13" s="136">
        <f>Inputs!Q22</f>
        <v>0.04</v>
      </c>
      <c r="S13" s="136">
        <f>Inputs!R22</f>
        <v>100709.65226666667</v>
      </c>
      <c r="T13" s="563" t="str">
        <f>'Sys Admin'!G32</f>
        <v>None</v>
      </c>
      <c r="U13" s="563" t="str">
        <f>'Sys Admin'!I32</f>
        <v>Active</v>
      </c>
      <c r="V13" s="563">
        <f>'Sys Admin'!K32</f>
        <v>0</v>
      </c>
      <c r="W13" s="490">
        <f t="shared" si="0"/>
        <v>0</v>
      </c>
      <c r="X13" s="563">
        <f t="shared" si="2"/>
        <v>12</v>
      </c>
      <c r="Y13" s="490">
        <f t="shared" si="3"/>
        <v>0</v>
      </c>
      <c r="Z13" s="50">
        <f t="shared" si="4"/>
        <v>0</v>
      </c>
      <c r="AA13" s="50">
        <f t="shared" si="5"/>
        <v>0</v>
      </c>
      <c r="AB13" s="50">
        <f t="shared" si="6"/>
        <v>77656.463999999993</v>
      </c>
      <c r="AC13" s="490">
        <f t="shared" si="1"/>
        <v>89000</v>
      </c>
      <c r="AD13" s="50">
        <f t="shared" si="7"/>
        <v>14280.445344000003</v>
      </c>
      <c r="AE13" s="564">
        <f t="shared" si="8"/>
        <v>180936.90934399999</v>
      </c>
    </row>
    <row r="14" spans="1:31">
      <c r="A14" s="15" t="str">
        <f>Inputs!A23</f>
        <v>FTA-DA</v>
      </c>
      <c r="B14" s="15">
        <f>Inputs!B23</f>
        <v>12</v>
      </c>
      <c r="C14" s="15" t="s">
        <v>33</v>
      </c>
      <c r="D14" s="15" t="str">
        <f>Inputs!C23</f>
        <v>Active</v>
      </c>
      <c r="E14" s="136">
        <f>Inputs!D23</f>
        <v>0</v>
      </c>
      <c r="F14" s="136">
        <f>Inputs!E23</f>
        <v>0</v>
      </c>
      <c r="G14" s="136">
        <f>Inputs!F23</f>
        <v>0</v>
      </c>
      <c r="H14" s="136">
        <f>Inputs!G23</f>
        <v>7190.413333333333</v>
      </c>
      <c r="I14" s="136">
        <f>Inputs!H23</f>
        <v>1202.0576888888891</v>
      </c>
      <c r="J14" s="136">
        <f>Inputs!I23</f>
        <v>0</v>
      </c>
      <c r="K14" s="136">
        <f>Inputs!J23</f>
        <v>0</v>
      </c>
      <c r="L14" s="136">
        <f>Inputs!K23</f>
        <v>0</v>
      </c>
      <c r="M14" s="136">
        <f>Inputs!L23</f>
        <v>7190.413333333333</v>
      </c>
      <c r="N14" s="136">
        <f>Inputs!M23</f>
        <v>1202.0576888888891</v>
      </c>
      <c r="O14" s="136">
        <f>Inputs!N23</f>
        <v>0</v>
      </c>
      <c r="P14" s="136">
        <f>Inputs!O23</f>
        <v>1</v>
      </c>
      <c r="Q14" s="136" t="str">
        <f>Inputs!P23</f>
        <v>None</v>
      </c>
      <c r="R14" s="136">
        <f>Inputs!Q23</f>
        <v>0.04</v>
      </c>
      <c r="S14" s="136">
        <f>Inputs!R23</f>
        <v>100709.65226666667</v>
      </c>
      <c r="T14" s="563" t="str">
        <f>'Sys Admin'!G33</f>
        <v>None</v>
      </c>
      <c r="U14" s="563" t="str">
        <f>'Sys Admin'!I33</f>
        <v>Active</v>
      </c>
      <c r="V14" s="563">
        <f>'Sys Admin'!K33</f>
        <v>0</v>
      </c>
      <c r="W14" s="490">
        <f t="shared" si="0"/>
        <v>0</v>
      </c>
      <c r="X14" s="563">
        <f t="shared" si="2"/>
        <v>12</v>
      </c>
      <c r="Y14" s="490">
        <f t="shared" si="3"/>
        <v>0</v>
      </c>
      <c r="Z14" s="50">
        <f t="shared" si="4"/>
        <v>0</v>
      </c>
      <c r="AA14" s="50">
        <f t="shared" si="5"/>
        <v>0</v>
      </c>
      <c r="AB14" s="50">
        <f t="shared" si="6"/>
        <v>77656.463999999993</v>
      </c>
      <c r="AC14" s="490">
        <f t="shared" si="1"/>
        <v>89000</v>
      </c>
      <c r="AD14" s="50">
        <f t="shared" si="7"/>
        <v>14280.445344000003</v>
      </c>
      <c r="AE14" s="564">
        <f t="shared" si="8"/>
        <v>180936.90934399999</v>
      </c>
    </row>
    <row r="15" spans="1:31">
      <c r="A15" s="15" t="str">
        <f>Inputs!A24</f>
        <v>MOD 2.0</v>
      </c>
      <c r="B15" s="15">
        <f>Inputs!B24</f>
        <v>12</v>
      </c>
      <c r="C15" s="15" t="s">
        <v>33</v>
      </c>
      <c r="D15" s="15" t="str">
        <f>Inputs!C24</f>
        <v>Prospective</v>
      </c>
      <c r="E15" s="136">
        <f>Inputs!D24</f>
        <v>0</v>
      </c>
      <c r="F15" s="136">
        <f>Inputs!E24</f>
        <v>0</v>
      </c>
      <c r="G15" s="136">
        <f>Inputs!F24</f>
        <v>0</v>
      </c>
      <c r="H15" s="136">
        <f>Inputs!G24</f>
        <v>0</v>
      </c>
      <c r="I15" s="136">
        <f>Inputs!H24</f>
        <v>0</v>
      </c>
      <c r="J15" s="136">
        <f>Inputs!I24</f>
        <v>0</v>
      </c>
      <c r="K15" s="136">
        <f>Inputs!J24</f>
        <v>0</v>
      </c>
      <c r="L15" s="136">
        <f>Inputs!K24</f>
        <v>0</v>
      </c>
      <c r="M15" s="136">
        <f>Inputs!L24</f>
        <v>0</v>
      </c>
      <c r="N15" s="136">
        <f>Inputs!M24</f>
        <v>0</v>
      </c>
      <c r="O15" s="136">
        <f>Inputs!N24</f>
        <v>0</v>
      </c>
      <c r="P15" s="136">
        <f>Inputs!O24</f>
        <v>0</v>
      </c>
      <c r="Q15" s="136" t="str">
        <f>Inputs!P24</f>
        <v>None</v>
      </c>
      <c r="R15" s="136">
        <f>Inputs!Q24</f>
        <v>0</v>
      </c>
      <c r="S15" s="136">
        <f>Inputs!R24</f>
        <v>0</v>
      </c>
      <c r="T15" s="563" t="str">
        <f>'Sys Admin'!G34</f>
        <v>None</v>
      </c>
      <c r="U15" s="563" t="str">
        <f>'Sys Admin'!I34</f>
        <v>Prospective</v>
      </c>
      <c r="V15" s="563">
        <f>'Sys Admin'!K34</f>
        <v>0</v>
      </c>
      <c r="W15" s="490">
        <f t="shared" si="0"/>
        <v>0</v>
      </c>
      <c r="X15" s="563">
        <f t="shared" si="2"/>
        <v>0</v>
      </c>
      <c r="Y15" s="490">
        <f t="shared" si="3"/>
        <v>0</v>
      </c>
      <c r="Z15" s="50">
        <f t="shared" si="4"/>
        <v>0</v>
      </c>
      <c r="AA15" s="50">
        <f t="shared" si="5"/>
        <v>0</v>
      </c>
      <c r="AB15" s="50">
        <f t="shared" si="6"/>
        <v>0</v>
      </c>
      <c r="AC15" s="490">
        <f t="shared" si="1"/>
        <v>0</v>
      </c>
      <c r="AD15" s="50">
        <f t="shared" si="7"/>
        <v>0</v>
      </c>
      <c r="AE15" s="564">
        <f t="shared" si="8"/>
        <v>0</v>
      </c>
    </row>
    <row r="16" spans="1:31">
      <c r="A16" s="15" t="str">
        <f>Inputs!A25</f>
        <v xml:space="preserve">MPI </v>
      </c>
      <c r="B16" s="15">
        <f>Inputs!B25</f>
        <v>12</v>
      </c>
      <c r="C16" s="15" t="s">
        <v>33</v>
      </c>
      <c r="D16" s="15" t="str">
        <f>Inputs!C25</f>
        <v>Prospective</v>
      </c>
      <c r="E16" s="136">
        <f>Inputs!D25</f>
        <v>0</v>
      </c>
      <c r="F16" s="136">
        <f>Inputs!E25</f>
        <v>0</v>
      </c>
      <c r="G16" s="136">
        <f>Inputs!F25</f>
        <v>0</v>
      </c>
      <c r="H16" s="136">
        <f>Inputs!G25</f>
        <v>0</v>
      </c>
      <c r="I16" s="136">
        <f>Inputs!H25</f>
        <v>0</v>
      </c>
      <c r="J16" s="136">
        <f>Inputs!I25</f>
        <v>0</v>
      </c>
      <c r="K16" s="136">
        <f>Inputs!J25</f>
        <v>0</v>
      </c>
      <c r="L16" s="136">
        <f>Inputs!K25</f>
        <v>0</v>
      </c>
      <c r="M16" s="136">
        <f>Inputs!L25</f>
        <v>0</v>
      </c>
      <c r="N16" s="136">
        <f>Inputs!M25</f>
        <v>0</v>
      </c>
      <c r="O16" s="136">
        <f>Inputs!N25</f>
        <v>0</v>
      </c>
      <c r="P16" s="136">
        <f>Inputs!O25</f>
        <v>0</v>
      </c>
      <c r="Q16" s="136" t="str">
        <f>Inputs!P25</f>
        <v>None</v>
      </c>
      <c r="R16" s="136">
        <f>Inputs!Q25</f>
        <v>0</v>
      </c>
      <c r="S16" s="136">
        <f>Inputs!R25</f>
        <v>0</v>
      </c>
      <c r="T16" s="563" t="str">
        <f>'Sys Admin'!G35</f>
        <v>None</v>
      </c>
      <c r="U16" s="563" t="str">
        <f>'Sys Admin'!I35</f>
        <v>Prospective</v>
      </c>
      <c r="V16" s="563">
        <f>'Sys Admin'!K35</f>
        <v>0</v>
      </c>
      <c r="W16" s="490">
        <f t="shared" si="0"/>
        <v>0</v>
      </c>
      <c r="X16" s="563">
        <f t="shared" si="2"/>
        <v>0</v>
      </c>
      <c r="Y16" s="490">
        <f t="shared" si="3"/>
        <v>0</v>
      </c>
      <c r="Z16" s="50">
        <f t="shared" si="4"/>
        <v>0</v>
      </c>
      <c r="AA16" s="50">
        <f t="shared" si="5"/>
        <v>0</v>
      </c>
      <c r="AB16" s="50">
        <f t="shared" si="6"/>
        <v>0</v>
      </c>
      <c r="AC16" s="490">
        <f t="shared" si="1"/>
        <v>0</v>
      </c>
      <c r="AD16" s="50">
        <f t="shared" si="7"/>
        <v>0</v>
      </c>
      <c r="AE16" s="564">
        <f t="shared" si="8"/>
        <v>0</v>
      </c>
    </row>
    <row r="17" spans="1:31">
      <c r="A17" s="15" t="str">
        <f>Inputs!A26</f>
        <v>WAZE-WAZE</v>
      </c>
      <c r="B17" s="15">
        <f>Inputs!B26</f>
        <v>12</v>
      </c>
      <c r="C17" s="15" t="s">
        <v>31</v>
      </c>
      <c r="D17" s="15" t="str">
        <f>Inputs!C26</f>
        <v>Active</v>
      </c>
      <c r="E17" s="136">
        <f>Inputs!D26</f>
        <v>0</v>
      </c>
      <c r="F17" s="136">
        <f>Inputs!E26</f>
        <v>973.7</v>
      </c>
      <c r="G17" s="171"/>
      <c r="H17" s="136">
        <f>Inputs!G26</f>
        <v>7190.413333333333</v>
      </c>
      <c r="I17" s="136">
        <f>Inputs!H26</f>
        <v>1202.0576888888891</v>
      </c>
      <c r="J17" s="136">
        <f>Inputs!I26</f>
        <v>0</v>
      </c>
      <c r="K17" s="136">
        <f>Inputs!J26</f>
        <v>1109.17</v>
      </c>
      <c r="L17" s="136">
        <f>Inputs!K26</f>
        <v>0</v>
      </c>
      <c r="M17" s="136">
        <f>Inputs!L26</f>
        <v>7190.413333333333</v>
      </c>
      <c r="N17" s="136">
        <f>Inputs!M26</f>
        <v>1202.0576888888891</v>
      </c>
      <c r="O17" s="136">
        <f>Inputs!N26</f>
        <v>0</v>
      </c>
      <c r="P17" s="136">
        <f>Inputs!O26</f>
        <v>3</v>
      </c>
      <c r="Q17" s="136" t="str">
        <f>Inputs!P26</f>
        <v>None</v>
      </c>
      <c r="R17" s="136">
        <f>Inputs!Q26</f>
        <v>0.04</v>
      </c>
      <c r="S17" s="136">
        <f>Inputs!R26</f>
        <v>112394.05226666665</v>
      </c>
      <c r="T17" s="563" t="str">
        <f>'Sys Admin'!G36</f>
        <v>None</v>
      </c>
      <c r="U17" s="563" t="str">
        <f>'Sys Admin'!I36</f>
        <v>Active</v>
      </c>
      <c r="V17" s="563">
        <f>'Sys Admin'!K36</f>
        <v>0</v>
      </c>
      <c r="W17" s="490">
        <f t="shared" si="0"/>
        <v>0</v>
      </c>
      <c r="X17" s="563">
        <f t="shared" si="2"/>
        <v>12</v>
      </c>
      <c r="Y17" s="490">
        <f t="shared" si="3"/>
        <v>0</v>
      </c>
      <c r="Z17" s="50">
        <f t="shared" si="4"/>
        <v>11684.400000000001</v>
      </c>
      <c r="AA17" s="50">
        <f t="shared" si="5"/>
        <v>11684.400000000001</v>
      </c>
      <c r="AB17" s="50">
        <f t="shared" si="6"/>
        <v>77656.463999999993</v>
      </c>
      <c r="AC17" s="490">
        <f t="shared" si="1"/>
        <v>89000</v>
      </c>
      <c r="AD17" s="50">
        <f t="shared" si="7"/>
        <v>14280.445344000003</v>
      </c>
      <c r="AE17" s="564">
        <f t="shared" si="8"/>
        <v>204305.709344</v>
      </c>
    </row>
    <row r="18" spans="1:31">
      <c r="A18" s="15" t="str">
        <f>Inputs!A27</f>
        <v>WAZE-SDI</v>
      </c>
      <c r="B18" s="15">
        <f>Inputs!B27</f>
        <v>12</v>
      </c>
      <c r="C18" s="15" t="s">
        <v>31</v>
      </c>
      <c r="D18" s="15" t="str">
        <f>Inputs!C27</f>
        <v>Active</v>
      </c>
      <c r="E18" s="136">
        <f>Inputs!D27</f>
        <v>0</v>
      </c>
      <c r="F18" s="136">
        <f>Inputs!E27</f>
        <v>0</v>
      </c>
      <c r="G18" s="136">
        <f>Inputs!F27</f>
        <v>353.49</v>
      </c>
      <c r="H18" s="136">
        <f>Inputs!G27</f>
        <v>7190.413333333333</v>
      </c>
      <c r="I18" s="136">
        <f>Inputs!H27</f>
        <v>1202.0576888888891</v>
      </c>
      <c r="J18" s="136">
        <f>Inputs!I27</f>
        <v>0</v>
      </c>
      <c r="K18" s="136">
        <f>Inputs!J27</f>
        <v>0</v>
      </c>
      <c r="L18" s="136">
        <f>Inputs!K27</f>
        <v>449.72333333333336</v>
      </c>
      <c r="M18" s="136">
        <f>Inputs!L27</f>
        <v>7190.413333333333</v>
      </c>
      <c r="N18" s="136">
        <f>Inputs!M27</f>
        <v>1202.0576888888891</v>
      </c>
      <c r="O18" s="136">
        <f>Inputs!N27</f>
        <v>0</v>
      </c>
      <c r="P18" s="136">
        <f>Inputs!O27</f>
        <v>0</v>
      </c>
      <c r="Q18" s="136" t="str">
        <f>Inputs!P27</f>
        <v>None</v>
      </c>
      <c r="R18" s="136">
        <f>Inputs!Q27</f>
        <v>0.04</v>
      </c>
      <c r="S18" s="136">
        <f>Inputs!R27</f>
        <v>104951.53226666666</v>
      </c>
      <c r="T18" s="563" t="str">
        <f>'Sys Admin'!G37</f>
        <v>None</v>
      </c>
      <c r="U18" s="563" t="str">
        <f>'Sys Admin'!I37</f>
        <v>Active</v>
      </c>
      <c r="V18" s="563">
        <f>'Sys Admin'!K37</f>
        <v>0</v>
      </c>
      <c r="W18" s="490">
        <f t="shared" si="0"/>
        <v>0</v>
      </c>
      <c r="X18" s="563">
        <f t="shared" si="2"/>
        <v>12</v>
      </c>
      <c r="Y18" s="490">
        <f t="shared" si="3"/>
        <v>0</v>
      </c>
      <c r="Z18" s="50">
        <f t="shared" si="4"/>
        <v>0</v>
      </c>
      <c r="AA18" s="50">
        <f t="shared" si="5"/>
        <v>0</v>
      </c>
      <c r="AB18" s="50">
        <f t="shared" si="6"/>
        <v>77656.463999999993</v>
      </c>
      <c r="AC18" s="490">
        <f t="shared" si="1"/>
        <v>89000</v>
      </c>
      <c r="AD18" s="50">
        <f t="shared" si="7"/>
        <v>14280.445344000003</v>
      </c>
      <c r="AE18" s="564">
        <f t="shared" si="8"/>
        <v>180936.90934399999</v>
      </c>
    </row>
    <row r="19" spans="1:31">
      <c r="A19" s="15" t="str">
        <f>Inputs!A28</f>
        <v>Smart Columbus Evaluation</v>
      </c>
      <c r="B19" s="15">
        <f>Inputs!B28</f>
        <v>12</v>
      </c>
      <c r="C19" s="15" t="s">
        <v>33</v>
      </c>
      <c r="D19" s="15" t="str">
        <f>Inputs!C28</f>
        <v>Planning/Discovery</v>
      </c>
      <c r="E19" s="136">
        <f>Inputs!D28</f>
        <v>0</v>
      </c>
      <c r="F19" s="136">
        <f>Inputs!E28</f>
        <v>0</v>
      </c>
      <c r="G19" s="136">
        <f>Inputs!F28</f>
        <v>0</v>
      </c>
      <c r="H19" s="136">
        <f>Inputs!G28</f>
        <v>1348.2025000000001</v>
      </c>
      <c r="I19" s="136">
        <f>Inputs!H28</f>
        <v>169.03936250000001</v>
      </c>
      <c r="J19" s="136">
        <f>Inputs!I28</f>
        <v>0</v>
      </c>
      <c r="K19" s="136">
        <f>Inputs!J28</f>
        <v>0</v>
      </c>
      <c r="L19" s="136">
        <f>Inputs!K28</f>
        <v>0</v>
      </c>
      <c r="M19" s="136">
        <f>Inputs!L28</f>
        <v>0</v>
      </c>
      <c r="N19" s="136">
        <f>Inputs!M28</f>
        <v>0</v>
      </c>
      <c r="O19" s="136">
        <f>Inputs!N28</f>
        <v>0</v>
      </c>
      <c r="P19" s="136">
        <f>Inputs!O28</f>
        <v>0</v>
      </c>
      <c r="Q19" s="136" t="str">
        <f>Inputs!P28</f>
        <v>None</v>
      </c>
      <c r="R19" s="136">
        <f>Inputs!Q28</f>
        <v>0</v>
      </c>
      <c r="S19" s="136">
        <f>Inputs!R28</f>
        <v>18206.90235</v>
      </c>
      <c r="T19" s="563" t="str">
        <f>'Sys Admin'!G38</f>
        <v>None</v>
      </c>
      <c r="U19" s="563" t="str">
        <f>'Sys Admin'!I38</f>
        <v>Prospective</v>
      </c>
      <c r="V19" s="563">
        <f>'Sys Admin'!K38</f>
        <v>0</v>
      </c>
      <c r="W19" s="490">
        <f t="shared" si="0"/>
        <v>0</v>
      </c>
      <c r="X19" s="563">
        <f t="shared" si="2"/>
        <v>0</v>
      </c>
      <c r="Y19" s="490">
        <f t="shared" si="3"/>
        <v>0</v>
      </c>
      <c r="Z19" s="50">
        <f t="shared" si="4"/>
        <v>0</v>
      </c>
      <c r="AA19" s="50">
        <f t="shared" si="5"/>
        <v>0</v>
      </c>
      <c r="AB19" s="50">
        <f>IF(U19="Planning/Discovery",$L$49*2,IF(U19="Onboarding",$L$50*2,IF(U19="Active",$L$51*(12-V19),IF(U19="Export/Retirement",$L$52*1, 0))))</f>
        <v>0</v>
      </c>
      <c r="AC19" s="490">
        <f t="shared" si="1"/>
        <v>0</v>
      </c>
      <c r="AD19" s="50">
        <f t="shared" si="7"/>
        <v>0</v>
      </c>
      <c r="AE19" s="564">
        <f t="shared" si="8"/>
        <v>0</v>
      </c>
    </row>
    <row r="20" spans="1:31">
      <c r="A20" s="15" t="str">
        <f>Inputs!A29</f>
        <v>STAR</v>
      </c>
      <c r="B20" s="15">
        <f>Inputs!B29</f>
        <v>12</v>
      </c>
      <c r="C20" s="15" t="s">
        <v>33</v>
      </c>
      <c r="D20" s="15" t="str">
        <f>Inputs!C29</f>
        <v>Prospective</v>
      </c>
      <c r="E20" s="136">
        <f>Inputs!D29</f>
        <v>0</v>
      </c>
      <c r="F20" s="136">
        <f>Inputs!E29</f>
        <v>0</v>
      </c>
      <c r="G20" s="136">
        <f>Inputs!F29</f>
        <v>0</v>
      </c>
      <c r="H20" s="136">
        <f>Inputs!G29</f>
        <v>0</v>
      </c>
      <c r="I20" s="136">
        <f>Inputs!H29</f>
        <v>0</v>
      </c>
      <c r="J20" s="136">
        <f>Inputs!I29</f>
        <v>0</v>
      </c>
      <c r="K20" s="136">
        <f>Inputs!J29</f>
        <v>0</v>
      </c>
      <c r="L20" s="136">
        <f>Inputs!K29</f>
        <v>0</v>
      </c>
      <c r="M20" s="136">
        <f>Inputs!L29</f>
        <v>0</v>
      </c>
      <c r="N20" s="136">
        <f>Inputs!M29</f>
        <v>0</v>
      </c>
      <c r="O20" s="136">
        <f>Inputs!N29</f>
        <v>0</v>
      </c>
      <c r="P20" s="136">
        <f>Inputs!O29</f>
        <v>0</v>
      </c>
      <c r="Q20" s="136" t="str">
        <f>Inputs!P29</f>
        <v>None</v>
      </c>
      <c r="R20" s="136">
        <f>Inputs!Q29</f>
        <v>0</v>
      </c>
      <c r="S20" s="136">
        <f>Inputs!R29</f>
        <v>0</v>
      </c>
      <c r="T20" s="563" t="str">
        <f>'Sys Admin'!G39</f>
        <v>None</v>
      </c>
      <c r="U20" s="563" t="str">
        <f>'Sys Admin'!I39</f>
        <v>Prospective</v>
      </c>
      <c r="V20" s="563">
        <f>'Sys Admin'!K39</f>
        <v>0</v>
      </c>
      <c r="W20" s="490">
        <f t="shared" si="0"/>
        <v>0</v>
      </c>
      <c r="X20" s="563">
        <f t="shared" si="2"/>
        <v>0</v>
      </c>
      <c r="Y20" s="490">
        <f t="shared" si="3"/>
        <v>0</v>
      </c>
      <c r="Z20" s="50">
        <f t="shared" si="4"/>
        <v>0</v>
      </c>
      <c r="AA20" s="50">
        <f t="shared" si="5"/>
        <v>0</v>
      </c>
      <c r="AB20" s="50">
        <f t="shared" si="6"/>
        <v>0</v>
      </c>
      <c r="AC20" s="490">
        <f t="shared" si="1"/>
        <v>0</v>
      </c>
      <c r="AD20" s="50">
        <f t="shared" si="7"/>
        <v>0</v>
      </c>
      <c r="AE20" s="564">
        <f t="shared" si="8"/>
        <v>0</v>
      </c>
    </row>
    <row r="21" spans="1:31" ht="14.65" thickBot="1">
      <c r="A21" s="18" t="str">
        <f>Inputs!A30</f>
        <v>T-PLAT</v>
      </c>
      <c r="B21" s="18">
        <f>Inputs!B30</f>
        <v>12</v>
      </c>
      <c r="C21" s="18" t="s">
        <v>33</v>
      </c>
      <c r="D21" s="18" t="str">
        <f>Inputs!C30</f>
        <v>Prospective</v>
      </c>
      <c r="E21" s="539">
        <f>Inputs!D30</f>
        <v>0</v>
      </c>
      <c r="F21" s="539">
        <f>Inputs!E30</f>
        <v>0</v>
      </c>
      <c r="G21" s="539">
        <f>Inputs!F30</f>
        <v>0</v>
      </c>
      <c r="H21" s="539">
        <f>Inputs!G30</f>
        <v>0</v>
      </c>
      <c r="I21" s="539">
        <f>Inputs!H30</f>
        <v>0</v>
      </c>
      <c r="J21" s="539">
        <f>Inputs!I30</f>
        <v>0</v>
      </c>
      <c r="K21" s="539">
        <f>Inputs!J30</f>
        <v>0</v>
      </c>
      <c r="L21" s="539">
        <f>Inputs!K30</f>
        <v>0</v>
      </c>
      <c r="M21" s="539">
        <f>Inputs!L30</f>
        <v>0</v>
      </c>
      <c r="N21" s="539">
        <f>Inputs!M30</f>
        <v>0</v>
      </c>
      <c r="O21" s="539">
        <f>Inputs!N30</f>
        <v>0</v>
      </c>
      <c r="P21" s="539">
        <f>Inputs!O30</f>
        <v>0</v>
      </c>
      <c r="Q21" s="539" t="str">
        <f>Inputs!P30</f>
        <v>None</v>
      </c>
      <c r="R21" s="539">
        <f>Inputs!Q30</f>
        <v>0</v>
      </c>
      <c r="S21" s="539">
        <f>Inputs!R30</f>
        <v>0</v>
      </c>
      <c r="T21" s="566" t="str">
        <f>'Sys Admin'!G40</f>
        <v>None</v>
      </c>
      <c r="U21" s="566" t="str">
        <f>'Sys Admin'!I40</f>
        <v>Prospective</v>
      </c>
      <c r="V21" s="566">
        <f>'Sys Admin'!K40</f>
        <v>0</v>
      </c>
      <c r="W21" s="491">
        <f t="shared" si="0"/>
        <v>0</v>
      </c>
      <c r="X21" s="563">
        <f t="shared" si="2"/>
        <v>0</v>
      </c>
      <c r="Y21" s="491">
        <f t="shared" si="3"/>
        <v>0</v>
      </c>
      <c r="Z21" s="500">
        <f t="shared" si="4"/>
        <v>0</v>
      </c>
      <c r="AA21" s="500">
        <f t="shared" si="5"/>
        <v>0</v>
      </c>
      <c r="AB21" s="500">
        <f t="shared" si="6"/>
        <v>0</v>
      </c>
      <c r="AC21" s="491">
        <f t="shared" si="1"/>
        <v>0</v>
      </c>
      <c r="AD21" s="500">
        <f t="shared" si="7"/>
        <v>0</v>
      </c>
      <c r="AE21" s="567">
        <f t="shared" si="8"/>
        <v>0</v>
      </c>
    </row>
    <row r="22" spans="1:31" s="449" customFormat="1">
      <c r="A22" s="568" t="str">
        <f>Inputs!A31</f>
        <v>New Project 1</v>
      </c>
      <c r="B22" s="568">
        <f>Inputs!B31</f>
        <v>12</v>
      </c>
      <c r="C22" s="569" t="str">
        <f>'Sys Admin'!F43</f>
        <v>Low</v>
      </c>
      <c r="D22" s="568" t="str">
        <f>Inputs!C31</f>
        <v>Prospective</v>
      </c>
      <c r="E22" s="570">
        <f>Inputs!D31</f>
        <v>0</v>
      </c>
      <c r="F22" s="598"/>
      <c r="G22" s="598"/>
      <c r="H22" s="598"/>
      <c r="I22" s="598"/>
      <c r="J22" s="598"/>
      <c r="K22" s="598"/>
      <c r="L22" s="598"/>
      <c r="M22" s="598"/>
      <c r="N22" s="598"/>
      <c r="O22" s="598"/>
      <c r="P22" s="598"/>
      <c r="Q22" s="598"/>
      <c r="R22" s="598"/>
      <c r="S22" s="598"/>
      <c r="T22" s="571" t="str">
        <f>'Sys Admin'!G43</f>
        <v>None</v>
      </c>
      <c r="U22" s="571" t="str">
        <f>'Sys Admin'!I43</f>
        <v>Prospective</v>
      </c>
      <c r="V22" s="571">
        <f>'Sys Admin'!K43</f>
        <v>0</v>
      </c>
      <c r="W22" s="572">
        <f t="shared" si="0"/>
        <v>0</v>
      </c>
      <c r="X22" s="571">
        <f>IF(U22="Prospective",0,IF(U22="Onboarding",2,IF(U22="Planning/Discovery",2,(12-V22))))</f>
        <v>0</v>
      </c>
      <c r="Y22" s="572">
        <f t="shared" si="3"/>
        <v>0</v>
      </c>
      <c r="Z22" s="569">
        <f>IF(U22="Prospective",0,IF(U22="Onboarding",$I$80,IF(U22="Planning/Discovery",$I$79,IF(U22="Export/Retirement",$I$84,IF(AND(U22="Active",C22="Low"),$I$83,IF(AND(U22="Active",C22="High"),$I$81,$I$82))))))*(12-V22)</f>
        <v>0</v>
      </c>
      <c r="AA22" s="569">
        <f>IF(U22="Prospective",0,IF(U22="Onboarding",$J$80,IF(U22="Planning/Discovery",$J$79,IF(U22="Export/Retirement",$J$84,IF(AND(U22="Active",C22="Low"),$J$83,IF(AND(U22="Active",C22="High"),$J$81,$J$82))))))*(12-V22)</f>
        <v>0</v>
      </c>
      <c r="AB22" s="569">
        <f>IF(U22="Prospective",0,IF(U22="Onboarding",$K$80,IF(U22="Planning/Discovery",$K$79,IF(U22="Export/Retirement",$K$84,IF(AND(U22="Active",C22="Low"),$K$83*(12-V22),IF(AND(U22="Active",C22="High"),$K$81*(12-V22),$K$82*(12-V22)))))))</f>
        <v>0</v>
      </c>
      <c r="AC22" s="572">
        <f>AA71</f>
        <v>0</v>
      </c>
      <c r="AD22" s="569">
        <f>IF(U22="Prospective",0,IF(U22="Onboarding",$L$80,IF(U22="Planning/Discovery",$L$79,IF(U22="Export/Retirement",$L$84,IF(AND(U22="Active",C22="Low"),$L$83*(12-V22),IF(AND(U22="Active",C22="High"),$L$81*(12-V22),$L$82*(12-V22)))))))</f>
        <v>0</v>
      </c>
      <c r="AE22" s="573">
        <f t="shared" si="8"/>
        <v>0</v>
      </c>
    </row>
    <row r="23" spans="1:31">
      <c r="A23" s="79" t="str">
        <f>Inputs!A32</f>
        <v>New Project 2</v>
      </c>
      <c r="B23" s="79">
        <f>Inputs!B32</f>
        <v>12</v>
      </c>
      <c r="C23" s="65" t="str">
        <f>'Sys Admin'!F44</f>
        <v>Low</v>
      </c>
      <c r="D23" s="79" t="str">
        <f>Inputs!C32</f>
        <v>Prospective</v>
      </c>
      <c r="E23" s="574">
        <f>Inputs!D32</f>
        <v>0</v>
      </c>
      <c r="F23" s="506"/>
      <c r="G23" s="506"/>
      <c r="H23" s="506"/>
      <c r="I23" s="506"/>
      <c r="J23" s="506"/>
      <c r="K23" s="506"/>
      <c r="L23" s="506"/>
      <c r="M23" s="506"/>
      <c r="N23" s="506"/>
      <c r="O23" s="506"/>
      <c r="P23" s="506"/>
      <c r="Q23" s="506"/>
      <c r="R23" s="506"/>
      <c r="S23" s="506"/>
      <c r="T23" s="575" t="str">
        <f>'Sys Admin'!G44</f>
        <v>None</v>
      </c>
      <c r="U23" s="575" t="str">
        <f>'Sys Admin'!I44</f>
        <v>Prospective</v>
      </c>
      <c r="V23" s="575">
        <f>'Sys Admin'!K44</f>
        <v>0</v>
      </c>
      <c r="W23" s="576">
        <f t="shared" si="0"/>
        <v>0</v>
      </c>
      <c r="X23" s="575">
        <f t="shared" ref="X23:X36" si="9">IF(U23="Prospective",0,IF(U23="Onboarding",2,IF(U23="Planning/Discovery",2,(12-V23))))</f>
        <v>0</v>
      </c>
      <c r="Y23" s="576">
        <f t="shared" si="3"/>
        <v>0</v>
      </c>
      <c r="Z23" s="65">
        <f t="shared" ref="Z23:Z36" si="10">IF(U23="Prospective",0,IF(U23="Onboarding",$I$80,IF(U23="Planning/Discovery",$I$79,IF(U23="Export/Retirement",$I$84,IF(AND(U23="Active",C23="Low"),$I$83,IF(AND(U23="Active",C23="High"),$I$81,$I$82))))))*(12-V23)</f>
        <v>0</v>
      </c>
      <c r="AA23" s="65">
        <f t="shared" ref="AA23:AA36" si="11">IF(U23="Prospective",0,IF(U23="Onboarding",$J$80,IF(U23="Planning/Discovery",$J$79,IF(U23="Export/Retirement",$J$84,IF(AND(U23="Active",C23="Low"),$J$83,IF(AND(U23="Active",C23="High"),$J$81,$J$82))))))*(12-V23)</f>
        <v>0</v>
      </c>
      <c r="AB23" s="65">
        <f t="shared" ref="AB23:AB36" si="12">IF(U23="Prospective",0,IF(U23="Onboarding",$K$80,IF(U23="Planning/Discovery",$K$79,IF(U23="Export/Retirement",$K$84,IF(AND(U23="Active",C23="Low"),$K$83*(12-V23),IF(AND(U23="Active",C23="High"),$K$81*(12-V23),$K$82*(12-V23)))))))</f>
        <v>0</v>
      </c>
      <c r="AC23" s="576">
        <f t="shared" ref="AC23:AC36" si="13">AA72</f>
        <v>0</v>
      </c>
      <c r="AD23" s="65">
        <f t="shared" ref="AD23:AD36" si="14">IF(U23="Prospective",0,IF(U23="Onboarding",$L$80,IF(U23="Planning/Discovery",$L$79,IF(U23="Export/Retirement",$L$84,IF(AND(U23="Active",C23="Low"),$L$83*(12-V23),IF(AND(U23="Active",C23="High"),$L$81*(12-V23),$L$82*(12-V23)))))))</f>
        <v>0</v>
      </c>
      <c r="AE23" s="577">
        <f>SUM(Y23,Z23,AA23,AB23,, AC23, AD23)</f>
        <v>0</v>
      </c>
    </row>
    <row r="24" spans="1:31">
      <c r="A24" s="79" t="str">
        <f>Inputs!A33</f>
        <v>New Project 3</v>
      </c>
      <c r="B24" s="79">
        <f>Inputs!B33</f>
        <v>12</v>
      </c>
      <c r="C24" s="65" t="str">
        <f>'Sys Admin'!F45</f>
        <v>Low</v>
      </c>
      <c r="D24" s="79" t="str">
        <f>Inputs!C33</f>
        <v>Prospective</v>
      </c>
      <c r="E24" s="574">
        <f>Inputs!D33</f>
        <v>0</v>
      </c>
      <c r="F24" s="506"/>
      <c r="G24" s="506"/>
      <c r="H24" s="506"/>
      <c r="I24" s="506"/>
      <c r="J24" s="506"/>
      <c r="K24" s="506"/>
      <c r="L24" s="506"/>
      <c r="M24" s="506"/>
      <c r="N24" s="506"/>
      <c r="O24" s="506"/>
      <c r="P24" s="506"/>
      <c r="Q24" s="506"/>
      <c r="R24" s="506"/>
      <c r="S24" s="506"/>
      <c r="T24" s="575" t="str">
        <f>'Sys Admin'!G45</f>
        <v>None</v>
      </c>
      <c r="U24" s="575" t="str">
        <f>'Sys Admin'!I45</f>
        <v>Prospective</v>
      </c>
      <c r="V24" s="575">
        <f>'Sys Admin'!K45</f>
        <v>0</v>
      </c>
      <c r="W24" s="576">
        <f t="shared" si="0"/>
        <v>0</v>
      </c>
      <c r="X24" s="575">
        <f t="shared" si="9"/>
        <v>0</v>
      </c>
      <c r="Y24" s="576">
        <f t="shared" si="3"/>
        <v>0</v>
      </c>
      <c r="Z24" s="65">
        <f t="shared" si="10"/>
        <v>0</v>
      </c>
      <c r="AA24" s="65">
        <f t="shared" si="11"/>
        <v>0</v>
      </c>
      <c r="AB24" s="65">
        <f t="shared" si="12"/>
        <v>0</v>
      </c>
      <c r="AC24" s="576">
        <f t="shared" si="13"/>
        <v>0</v>
      </c>
      <c r="AD24" s="65">
        <f t="shared" si="14"/>
        <v>0</v>
      </c>
      <c r="AE24" s="577">
        <f t="shared" si="8"/>
        <v>0</v>
      </c>
    </row>
    <row r="25" spans="1:31">
      <c r="A25" s="79" t="str">
        <f>Inputs!A34</f>
        <v>New Project 4</v>
      </c>
      <c r="B25" s="79">
        <f>Inputs!B34</f>
        <v>12</v>
      </c>
      <c r="C25" s="65" t="str">
        <f>'Sys Admin'!F46</f>
        <v>Low</v>
      </c>
      <c r="D25" s="79" t="str">
        <f>Inputs!C34</f>
        <v>Prospective</v>
      </c>
      <c r="E25" s="574">
        <f>Inputs!D34</f>
        <v>0</v>
      </c>
      <c r="F25" s="506"/>
      <c r="G25" s="506"/>
      <c r="H25" s="506"/>
      <c r="I25" s="506"/>
      <c r="J25" s="506"/>
      <c r="K25" s="506"/>
      <c r="L25" s="506"/>
      <c r="M25" s="506"/>
      <c r="N25" s="506"/>
      <c r="O25" s="506"/>
      <c r="P25" s="506"/>
      <c r="Q25" s="506"/>
      <c r="R25" s="506"/>
      <c r="S25" s="506"/>
      <c r="T25" s="575" t="str">
        <f>'Sys Admin'!G46</f>
        <v>None</v>
      </c>
      <c r="U25" s="575" t="str">
        <f>'Sys Admin'!I46</f>
        <v>Prospective</v>
      </c>
      <c r="V25" s="575">
        <f>'Sys Admin'!K46</f>
        <v>0</v>
      </c>
      <c r="W25" s="576">
        <f t="shared" si="0"/>
        <v>0</v>
      </c>
      <c r="X25" s="575">
        <f t="shared" si="9"/>
        <v>0</v>
      </c>
      <c r="Y25" s="576">
        <f t="shared" si="3"/>
        <v>0</v>
      </c>
      <c r="Z25" s="65">
        <f t="shared" si="10"/>
        <v>0</v>
      </c>
      <c r="AA25" s="65">
        <f t="shared" si="11"/>
        <v>0</v>
      </c>
      <c r="AB25" s="65">
        <f t="shared" si="12"/>
        <v>0</v>
      </c>
      <c r="AC25" s="576">
        <f t="shared" si="13"/>
        <v>0</v>
      </c>
      <c r="AD25" s="65">
        <f t="shared" si="14"/>
        <v>0</v>
      </c>
      <c r="AE25" s="577">
        <f t="shared" si="8"/>
        <v>0</v>
      </c>
    </row>
    <row r="26" spans="1:31">
      <c r="A26" s="79" t="str">
        <f>Inputs!A35</f>
        <v>New Project 5</v>
      </c>
      <c r="B26" s="79">
        <f>Inputs!B35</f>
        <v>12</v>
      </c>
      <c r="C26" s="65" t="str">
        <f>'Sys Admin'!F47</f>
        <v>Low</v>
      </c>
      <c r="D26" s="79" t="str">
        <f>Inputs!C35</f>
        <v>Prospective</v>
      </c>
      <c r="E26" s="574">
        <f>Inputs!D35</f>
        <v>0</v>
      </c>
      <c r="F26" s="506"/>
      <c r="G26" s="506"/>
      <c r="H26" s="506"/>
      <c r="I26" s="506"/>
      <c r="J26" s="506"/>
      <c r="K26" s="506"/>
      <c r="L26" s="506"/>
      <c r="M26" s="506"/>
      <c r="N26" s="506"/>
      <c r="O26" s="506"/>
      <c r="P26" s="506"/>
      <c r="Q26" s="506"/>
      <c r="R26" s="506"/>
      <c r="S26" s="506"/>
      <c r="T26" s="575" t="str">
        <f>'Sys Admin'!G47</f>
        <v>None</v>
      </c>
      <c r="U26" s="575" t="str">
        <f>'Sys Admin'!I47</f>
        <v>Prospective</v>
      </c>
      <c r="V26" s="575">
        <f>'Sys Admin'!K47</f>
        <v>0</v>
      </c>
      <c r="W26" s="576">
        <f t="shared" si="0"/>
        <v>0</v>
      </c>
      <c r="X26" s="575">
        <f t="shared" si="9"/>
        <v>0</v>
      </c>
      <c r="Y26" s="576">
        <f t="shared" si="3"/>
        <v>0</v>
      </c>
      <c r="Z26" s="65">
        <f t="shared" si="10"/>
        <v>0</v>
      </c>
      <c r="AA26" s="65">
        <f t="shared" si="11"/>
        <v>0</v>
      </c>
      <c r="AB26" s="65">
        <f t="shared" si="12"/>
        <v>0</v>
      </c>
      <c r="AC26" s="576">
        <f t="shared" si="13"/>
        <v>0</v>
      </c>
      <c r="AD26" s="65">
        <f t="shared" si="14"/>
        <v>0</v>
      </c>
      <c r="AE26" s="577">
        <f t="shared" si="8"/>
        <v>0</v>
      </c>
    </row>
    <row r="27" spans="1:31">
      <c r="A27" s="79" t="str">
        <f>Inputs!A36</f>
        <v>New Project 6</v>
      </c>
      <c r="B27" s="79">
        <f>Inputs!B36</f>
        <v>12</v>
      </c>
      <c r="C27" s="65" t="str">
        <f>'Sys Admin'!F48</f>
        <v>Low</v>
      </c>
      <c r="D27" s="79" t="str">
        <f>Inputs!C36</f>
        <v>Prospective</v>
      </c>
      <c r="E27" s="574">
        <f>Inputs!D36</f>
        <v>0</v>
      </c>
      <c r="F27" s="506"/>
      <c r="G27" s="506"/>
      <c r="H27" s="506"/>
      <c r="I27" s="506"/>
      <c r="J27" s="506"/>
      <c r="K27" s="506"/>
      <c r="L27" s="506"/>
      <c r="M27" s="506"/>
      <c r="N27" s="506"/>
      <c r="O27" s="506"/>
      <c r="P27" s="506"/>
      <c r="Q27" s="506"/>
      <c r="R27" s="506"/>
      <c r="S27" s="506"/>
      <c r="T27" s="575" t="str">
        <f>'Sys Admin'!G48</f>
        <v>None</v>
      </c>
      <c r="U27" s="575" t="str">
        <f>'Sys Admin'!I48</f>
        <v>Prospective</v>
      </c>
      <c r="V27" s="575">
        <f>'Sys Admin'!K48</f>
        <v>0</v>
      </c>
      <c r="W27" s="576">
        <f t="shared" si="0"/>
        <v>0</v>
      </c>
      <c r="X27" s="575">
        <f t="shared" si="9"/>
        <v>0</v>
      </c>
      <c r="Y27" s="576">
        <f t="shared" si="3"/>
        <v>0</v>
      </c>
      <c r="Z27" s="65">
        <f t="shared" si="10"/>
        <v>0</v>
      </c>
      <c r="AA27" s="65">
        <f t="shared" si="11"/>
        <v>0</v>
      </c>
      <c r="AB27" s="65">
        <f t="shared" si="12"/>
        <v>0</v>
      </c>
      <c r="AC27" s="576">
        <f t="shared" si="13"/>
        <v>0</v>
      </c>
      <c r="AD27" s="65">
        <f t="shared" si="14"/>
        <v>0</v>
      </c>
      <c r="AE27" s="577">
        <f t="shared" si="8"/>
        <v>0</v>
      </c>
    </row>
    <row r="28" spans="1:31">
      <c r="A28" s="79" t="str">
        <f>Inputs!A37</f>
        <v>New Project 7</v>
      </c>
      <c r="B28" s="79">
        <f>Inputs!B37</f>
        <v>12</v>
      </c>
      <c r="C28" s="65" t="str">
        <f>'Sys Admin'!F49</f>
        <v>Low</v>
      </c>
      <c r="D28" s="79" t="str">
        <f>Inputs!C37</f>
        <v>Prospective</v>
      </c>
      <c r="E28" s="574">
        <f>Inputs!D37</f>
        <v>0</v>
      </c>
      <c r="F28" s="506"/>
      <c r="G28" s="506"/>
      <c r="H28" s="506"/>
      <c r="I28" s="506"/>
      <c r="J28" s="506"/>
      <c r="K28" s="506"/>
      <c r="L28" s="506"/>
      <c r="M28" s="506"/>
      <c r="N28" s="506"/>
      <c r="O28" s="506"/>
      <c r="P28" s="506"/>
      <c r="Q28" s="506"/>
      <c r="R28" s="506"/>
      <c r="S28" s="506"/>
      <c r="T28" s="575" t="str">
        <f>'Sys Admin'!G49</f>
        <v>None</v>
      </c>
      <c r="U28" s="575" t="str">
        <f>'Sys Admin'!I49</f>
        <v>Prospective</v>
      </c>
      <c r="V28" s="575">
        <f>'Sys Admin'!K49</f>
        <v>0</v>
      </c>
      <c r="W28" s="576">
        <f t="shared" si="0"/>
        <v>0</v>
      </c>
      <c r="X28" s="575">
        <f t="shared" si="9"/>
        <v>0</v>
      </c>
      <c r="Y28" s="576">
        <f t="shared" si="3"/>
        <v>0</v>
      </c>
      <c r="Z28" s="65">
        <f t="shared" si="10"/>
        <v>0</v>
      </c>
      <c r="AA28" s="65">
        <f t="shared" si="11"/>
        <v>0</v>
      </c>
      <c r="AB28" s="65">
        <f t="shared" si="12"/>
        <v>0</v>
      </c>
      <c r="AC28" s="576">
        <f t="shared" si="13"/>
        <v>0</v>
      </c>
      <c r="AD28" s="65">
        <f t="shared" si="14"/>
        <v>0</v>
      </c>
      <c r="AE28" s="577">
        <f t="shared" si="8"/>
        <v>0</v>
      </c>
    </row>
    <row r="29" spans="1:31">
      <c r="A29" s="79" t="str">
        <f>Inputs!A38</f>
        <v>New Project 8</v>
      </c>
      <c r="B29" s="79">
        <f>Inputs!B38</f>
        <v>12</v>
      </c>
      <c r="C29" s="65" t="str">
        <f>'Sys Admin'!F50</f>
        <v>Low</v>
      </c>
      <c r="D29" s="79" t="str">
        <f>Inputs!C38</f>
        <v>Prospective</v>
      </c>
      <c r="E29" s="574">
        <f>Inputs!D38</f>
        <v>0</v>
      </c>
      <c r="F29" s="506"/>
      <c r="G29" s="506"/>
      <c r="H29" s="506"/>
      <c r="I29" s="506"/>
      <c r="J29" s="506"/>
      <c r="K29" s="506"/>
      <c r="L29" s="506"/>
      <c r="M29" s="506"/>
      <c r="N29" s="506"/>
      <c r="O29" s="506"/>
      <c r="P29" s="506"/>
      <c r="Q29" s="506"/>
      <c r="R29" s="506"/>
      <c r="S29" s="506"/>
      <c r="T29" s="575" t="str">
        <f>'Sys Admin'!G50</f>
        <v>None</v>
      </c>
      <c r="U29" s="575" t="str">
        <f>'Sys Admin'!I50</f>
        <v>Prospective</v>
      </c>
      <c r="V29" s="575">
        <f>'Sys Admin'!K50</f>
        <v>0</v>
      </c>
      <c r="W29" s="576">
        <f t="shared" si="0"/>
        <v>0</v>
      </c>
      <c r="X29" s="575">
        <f t="shared" si="9"/>
        <v>0</v>
      </c>
      <c r="Y29" s="576">
        <f t="shared" si="3"/>
        <v>0</v>
      </c>
      <c r="Z29" s="65">
        <f t="shared" si="10"/>
        <v>0</v>
      </c>
      <c r="AA29" s="65">
        <f t="shared" si="11"/>
        <v>0</v>
      </c>
      <c r="AB29" s="65">
        <f t="shared" si="12"/>
        <v>0</v>
      </c>
      <c r="AC29" s="576">
        <f t="shared" si="13"/>
        <v>0</v>
      </c>
      <c r="AD29" s="65">
        <f t="shared" si="14"/>
        <v>0</v>
      </c>
      <c r="AE29" s="577">
        <f t="shared" si="8"/>
        <v>0</v>
      </c>
    </row>
    <row r="30" spans="1:31">
      <c r="A30" s="79" t="str">
        <f>Inputs!A39</f>
        <v>New Project 9</v>
      </c>
      <c r="B30" s="79">
        <f>Inputs!B39</f>
        <v>12</v>
      </c>
      <c r="C30" s="65" t="str">
        <f>'Sys Admin'!F51</f>
        <v>Low</v>
      </c>
      <c r="D30" s="79" t="str">
        <f>Inputs!C39</f>
        <v>Prospective</v>
      </c>
      <c r="E30" s="574">
        <f>Inputs!D39</f>
        <v>0</v>
      </c>
      <c r="F30" s="506"/>
      <c r="G30" s="506"/>
      <c r="H30" s="506"/>
      <c r="I30" s="506"/>
      <c r="J30" s="506"/>
      <c r="K30" s="506"/>
      <c r="L30" s="506"/>
      <c r="M30" s="506"/>
      <c r="N30" s="506"/>
      <c r="O30" s="506"/>
      <c r="P30" s="506"/>
      <c r="Q30" s="506"/>
      <c r="R30" s="506"/>
      <c r="S30" s="506"/>
      <c r="T30" s="575" t="str">
        <f>'Sys Admin'!G51</f>
        <v>None</v>
      </c>
      <c r="U30" s="575" t="str">
        <f>'Sys Admin'!I51</f>
        <v>Prospective</v>
      </c>
      <c r="V30" s="575">
        <f>'Sys Admin'!K51</f>
        <v>0</v>
      </c>
      <c r="W30" s="576">
        <f t="shared" si="0"/>
        <v>0</v>
      </c>
      <c r="X30" s="575">
        <f t="shared" si="9"/>
        <v>0</v>
      </c>
      <c r="Y30" s="576">
        <f t="shared" si="3"/>
        <v>0</v>
      </c>
      <c r="Z30" s="65">
        <f t="shared" si="10"/>
        <v>0</v>
      </c>
      <c r="AA30" s="65">
        <f t="shared" si="11"/>
        <v>0</v>
      </c>
      <c r="AB30" s="65">
        <f t="shared" si="12"/>
        <v>0</v>
      </c>
      <c r="AC30" s="576">
        <f t="shared" si="13"/>
        <v>0</v>
      </c>
      <c r="AD30" s="65">
        <f t="shared" si="14"/>
        <v>0</v>
      </c>
      <c r="AE30" s="577">
        <f t="shared" si="8"/>
        <v>0</v>
      </c>
    </row>
    <row r="31" spans="1:31">
      <c r="A31" s="79" t="str">
        <f>Inputs!A40</f>
        <v>New Project 10</v>
      </c>
      <c r="B31" s="79">
        <f>Inputs!B40</f>
        <v>12</v>
      </c>
      <c r="C31" s="65" t="str">
        <f>'Sys Admin'!F52</f>
        <v>Low</v>
      </c>
      <c r="D31" s="79" t="str">
        <f>Inputs!C40</f>
        <v>Prospective</v>
      </c>
      <c r="E31" s="574">
        <f>Inputs!D40</f>
        <v>0</v>
      </c>
      <c r="F31" s="506"/>
      <c r="G31" s="506"/>
      <c r="H31" s="506"/>
      <c r="I31" s="506"/>
      <c r="J31" s="506"/>
      <c r="K31" s="506"/>
      <c r="L31" s="506"/>
      <c r="M31" s="506"/>
      <c r="N31" s="506"/>
      <c r="O31" s="506"/>
      <c r="P31" s="506"/>
      <c r="Q31" s="506"/>
      <c r="R31" s="506"/>
      <c r="S31" s="506"/>
      <c r="T31" s="575" t="str">
        <f>'Sys Admin'!G52</f>
        <v>None</v>
      </c>
      <c r="U31" s="575" t="str">
        <f>'Sys Admin'!I52</f>
        <v>Prospective</v>
      </c>
      <c r="V31" s="575">
        <f>'Sys Admin'!K52</f>
        <v>0</v>
      </c>
      <c r="W31" s="576">
        <f t="shared" si="0"/>
        <v>0</v>
      </c>
      <c r="X31" s="575">
        <f t="shared" si="9"/>
        <v>0</v>
      </c>
      <c r="Y31" s="576">
        <f t="shared" si="3"/>
        <v>0</v>
      </c>
      <c r="Z31" s="65">
        <f t="shared" si="10"/>
        <v>0</v>
      </c>
      <c r="AA31" s="65">
        <f t="shared" si="11"/>
        <v>0</v>
      </c>
      <c r="AB31" s="65">
        <f t="shared" si="12"/>
        <v>0</v>
      </c>
      <c r="AC31" s="576">
        <f t="shared" si="13"/>
        <v>0</v>
      </c>
      <c r="AD31" s="65">
        <f t="shared" si="14"/>
        <v>0</v>
      </c>
      <c r="AE31" s="577">
        <f t="shared" si="8"/>
        <v>0</v>
      </c>
    </row>
    <row r="32" spans="1:31">
      <c r="A32" s="79" t="str">
        <f>Inputs!A41</f>
        <v>New Project 11</v>
      </c>
      <c r="B32" s="79">
        <f>Inputs!B41</f>
        <v>12</v>
      </c>
      <c r="C32" s="65" t="str">
        <f>'Sys Admin'!F53</f>
        <v>Low</v>
      </c>
      <c r="D32" s="79" t="str">
        <f>Inputs!C41</f>
        <v>Prospective</v>
      </c>
      <c r="E32" s="574">
        <f>Inputs!D41</f>
        <v>0</v>
      </c>
      <c r="F32" s="506"/>
      <c r="G32" s="506"/>
      <c r="H32" s="506"/>
      <c r="I32" s="506"/>
      <c r="J32" s="506"/>
      <c r="K32" s="506"/>
      <c r="L32" s="506"/>
      <c r="M32" s="506"/>
      <c r="N32" s="506"/>
      <c r="O32" s="506"/>
      <c r="P32" s="506"/>
      <c r="Q32" s="506"/>
      <c r="R32" s="506"/>
      <c r="S32" s="506"/>
      <c r="T32" s="575" t="str">
        <f>'Sys Admin'!G53</f>
        <v>None</v>
      </c>
      <c r="U32" s="575" t="str">
        <f>'Sys Admin'!I53</f>
        <v>Prospective</v>
      </c>
      <c r="V32" s="575">
        <f>'Sys Admin'!K53</f>
        <v>0</v>
      </c>
      <c r="W32" s="576">
        <f t="shared" si="0"/>
        <v>0</v>
      </c>
      <c r="X32" s="575">
        <f t="shared" si="9"/>
        <v>0</v>
      </c>
      <c r="Y32" s="576">
        <f t="shared" si="3"/>
        <v>0</v>
      </c>
      <c r="Z32" s="65">
        <f t="shared" si="10"/>
        <v>0</v>
      </c>
      <c r="AA32" s="65">
        <f t="shared" si="11"/>
        <v>0</v>
      </c>
      <c r="AB32" s="65">
        <f t="shared" si="12"/>
        <v>0</v>
      </c>
      <c r="AC32" s="576">
        <f t="shared" si="13"/>
        <v>0</v>
      </c>
      <c r="AD32" s="65">
        <f t="shared" si="14"/>
        <v>0</v>
      </c>
      <c r="AE32" s="577">
        <f t="shared" si="8"/>
        <v>0</v>
      </c>
    </row>
    <row r="33" spans="1:31">
      <c r="A33" s="79" t="str">
        <f>Inputs!A42</f>
        <v>New Project 12</v>
      </c>
      <c r="B33" s="79">
        <f>Inputs!B42</f>
        <v>12</v>
      </c>
      <c r="C33" s="65" t="str">
        <f>'Sys Admin'!F54</f>
        <v>Low</v>
      </c>
      <c r="D33" s="79" t="str">
        <f>Inputs!C42</f>
        <v>Prospective</v>
      </c>
      <c r="E33" s="574">
        <f>Inputs!D42</f>
        <v>0</v>
      </c>
      <c r="F33" s="506"/>
      <c r="G33" s="506"/>
      <c r="H33" s="506"/>
      <c r="I33" s="506"/>
      <c r="J33" s="506"/>
      <c r="K33" s="506"/>
      <c r="L33" s="506"/>
      <c r="M33" s="506"/>
      <c r="N33" s="506"/>
      <c r="O33" s="506"/>
      <c r="P33" s="506"/>
      <c r="Q33" s="506"/>
      <c r="R33" s="506"/>
      <c r="S33" s="506"/>
      <c r="T33" s="575" t="str">
        <f>'Sys Admin'!G54</f>
        <v>None</v>
      </c>
      <c r="U33" s="575" t="str">
        <f>'Sys Admin'!I54</f>
        <v>Prospective</v>
      </c>
      <c r="V33" s="575">
        <f>'Sys Admin'!K54</f>
        <v>0</v>
      </c>
      <c r="W33" s="576">
        <f t="shared" si="0"/>
        <v>0</v>
      </c>
      <c r="X33" s="575">
        <f t="shared" si="9"/>
        <v>0</v>
      </c>
      <c r="Y33" s="576">
        <f t="shared" si="3"/>
        <v>0</v>
      </c>
      <c r="Z33" s="65">
        <f t="shared" si="10"/>
        <v>0</v>
      </c>
      <c r="AA33" s="65">
        <f t="shared" si="11"/>
        <v>0</v>
      </c>
      <c r="AB33" s="65">
        <f t="shared" si="12"/>
        <v>0</v>
      </c>
      <c r="AC33" s="576">
        <f t="shared" si="13"/>
        <v>0</v>
      </c>
      <c r="AD33" s="65">
        <f t="shared" si="14"/>
        <v>0</v>
      </c>
      <c r="AE33" s="577">
        <f t="shared" si="8"/>
        <v>0</v>
      </c>
    </row>
    <row r="34" spans="1:31">
      <c r="A34" s="79" t="str">
        <f>Inputs!A43</f>
        <v>New Project 13</v>
      </c>
      <c r="B34" s="79">
        <f>Inputs!B43</f>
        <v>12</v>
      </c>
      <c r="C34" s="65" t="str">
        <f>'Sys Admin'!F55</f>
        <v>Low</v>
      </c>
      <c r="D34" s="79" t="str">
        <f>Inputs!C43</f>
        <v>Prospective</v>
      </c>
      <c r="E34" s="574">
        <f>Inputs!D43</f>
        <v>0</v>
      </c>
      <c r="F34" s="506"/>
      <c r="G34" s="506"/>
      <c r="H34" s="506"/>
      <c r="I34" s="506"/>
      <c r="J34" s="506"/>
      <c r="K34" s="506"/>
      <c r="L34" s="506"/>
      <c r="M34" s="506"/>
      <c r="N34" s="506"/>
      <c r="O34" s="506"/>
      <c r="P34" s="506"/>
      <c r="Q34" s="506"/>
      <c r="R34" s="506"/>
      <c r="S34" s="506"/>
      <c r="T34" s="575" t="str">
        <f>'Sys Admin'!G55</f>
        <v>None</v>
      </c>
      <c r="U34" s="575" t="str">
        <f>'Sys Admin'!I55</f>
        <v>Prospective</v>
      </c>
      <c r="V34" s="575">
        <f>'Sys Admin'!K55</f>
        <v>0</v>
      </c>
      <c r="W34" s="576">
        <f t="shared" si="0"/>
        <v>0</v>
      </c>
      <c r="X34" s="575">
        <f t="shared" si="9"/>
        <v>0</v>
      </c>
      <c r="Y34" s="576">
        <f t="shared" si="3"/>
        <v>0</v>
      </c>
      <c r="Z34" s="65">
        <f t="shared" si="10"/>
        <v>0</v>
      </c>
      <c r="AA34" s="65">
        <f t="shared" si="11"/>
        <v>0</v>
      </c>
      <c r="AB34" s="65">
        <f t="shared" si="12"/>
        <v>0</v>
      </c>
      <c r="AC34" s="576">
        <f t="shared" si="13"/>
        <v>0</v>
      </c>
      <c r="AD34" s="65">
        <f t="shared" si="14"/>
        <v>0</v>
      </c>
      <c r="AE34" s="577">
        <f t="shared" si="8"/>
        <v>0</v>
      </c>
    </row>
    <row r="35" spans="1:31">
      <c r="A35" s="79" t="str">
        <f>Inputs!A44</f>
        <v>New Project 14</v>
      </c>
      <c r="B35" s="79">
        <f>Inputs!B44</f>
        <v>12</v>
      </c>
      <c r="C35" s="65" t="str">
        <f>'Sys Admin'!F56</f>
        <v>Low</v>
      </c>
      <c r="D35" s="79" t="str">
        <f>Inputs!C44</f>
        <v>Prospective</v>
      </c>
      <c r="E35" s="574">
        <f>Inputs!D44</f>
        <v>0</v>
      </c>
      <c r="F35" s="506"/>
      <c r="G35" s="506"/>
      <c r="H35" s="506"/>
      <c r="I35" s="506"/>
      <c r="J35" s="506"/>
      <c r="K35" s="506"/>
      <c r="L35" s="506"/>
      <c r="M35" s="506"/>
      <c r="N35" s="506"/>
      <c r="O35" s="506"/>
      <c r="P35" s="506"/>
      <c r="Q35" s="506"/>
      <c r="R35" s="506"/>
      <c r="S35" s="506"/>
      <c r="T35" s="575" t="str">
        <f>'Sys Admin'!G56</f>
        <v>None</v>
      </c>
      <c r="U35" s="575" t="str">
        <f>'Sys Admin'!I56</f>
        <v>Prospective</v>
      </c>
      <c r="V35" s="575">
        <f>'Sys Admin'!K56</f>
        <v>0</v>
      </c>
      <c r="W35" s="576">
        <f t="shared" si="0"/>
        <v>0</v>
      </c>
      <c r="X35" s="575">
        <f t="shared" si="9"/>
        <v>0</v>
      </c>
      <c r="Y35" s="576">
        <f t="shared" si="3"/>
        <v>0</v>
      </c>
      <c r="Z35" s="65">
        <f t="shared" si="10"/>
        <v>0</v>
      </c>
      <c r="AA35" s="65">
        <f t="shared" si="11"/>
        <v>0</v>
      </c>
      <c r="AB35" s="65">
        <f t="shared" si="12"/>
        <v>0</v>
      </c>
      <c r="AC35" s="576">
        <f t="shared" si="13"/>
        <v>0</v>
      </c>
      <c r="AD35" s="65">
        <f t="shared" si="14"/>
        <v>0</v>
      </c>
      <c r="AE35" s="577">
        <f t="shared" si="8"/>
        <v>0</v>
      </c>
    </row>
    <row r="36" spans="1:31" ht="14.65" thickBot="1">
      <c r="A36" s="578" t="str">
        <f>Inputs!A45</f>
        <v>New Project 15</v>
      </c>
      <c r="B36" s="578">
        <f>Inputs!B45</f>
        <v>12</v>
      </c>
      <c r="C36" s="547" t="str">
        <f>'Sys Admin'!F57</f>
        <v>Low</v>
      </c>
      <c r="D36" s="578" t="str">
        <f>Inputs!C45</f>
        <v>Prospective</v>
      </c>
      <c r="E36" s="579">
        <f>Inputs!D45</f>
        <v>0</v>
      </c>
      <c r="F36" s="565"/>
      <c r="G36" s="565"/>
      <c r="H36" s="565"/>
      <c r="I36" s="565"/>
      <c r="J36" s="565"/>
      <c r="K36" s="565"/>
      <c r="L36" s="565"/>
      <c r="M36" s="565"/>
      <c r="N36" s="565"/>
      <c r="O36" s="565"/>
      <c r="P36" s="565"/>
      <c r="Q36" s="565"/>
      <c r="R36" s="565"/>
      <c r="S36" s="565"/>
      <c r="T36" s="580" t="str">
        <f>'Sys Admin'!G57</f>
        <v>None</v>
      </c>
      <c r="U36" s="580" t="str">
        <f>'Sys Admin'!I57</f>
        <v>Prospective</v>
      </c>
      <c r="V36" s="580">
        <f>'Sys Admin'!K57</f>
        <v>0</v>
      </c>
      <c r="W36" s="581">
        <f t="shared" si="0"/>
        <v>0</v>
      </c>
      <c r="X36" s="575">
        <f t="shared" si="9"/>
        <v>0</v>
      </c>
      <c r="Y36" s="581">
        <f t="shared" si="3"/>
        <v>0</v>
      </c>
      <c r="Z36" s="547">
        <f t="shared" si="10"/>
        <v>0</v>
      </c>
      <c r="AA36" s="547">
        <f t="shared" si="11"/>
        <v>0</v>
      </c>
      <c r="AB36" s="547">
        <f t="shared" si="12"/>
        <v>0</v>
      </c>
      <c r="AC36" s="581">
        <f t="shared" si="13"/>
        <v>0</v>
      </c>
      <c r="AD36" s="547">
        <f t="shared" si="14"/>
        <v>0</v>
      </c>
      <c r="AE36" s="582">
        <f t="shared" si="8"/>
        <v>0</v>
      </c>
    </row>
    <row r="37" spans="1:31">
      <c r="W37" s="137"/>
      <c r="Y37" s="145">
        <f t="shared" ref="Y37:AD37" si="15">SUM(Y5:Y36)</f>
        <v>0</v>
      </c>
      <c r="Z37" s="137">
        <f t="shared" si="15"/>
        <v>38932.560000000005</v>
      </c>
      <c r="AA37" s="137">
        <f t="shared" si="15"/>
        <v>18765.600000000002</v>
      </c>
      <c r="AB37" s="137">
        <f t="shared" si="15"/>
        <v>776564.64</v>
      </c>
      <c r="AC37" s="145">
        <f t="shared" si="15"/>
        <v>864000</v>
      </c>
      <c r="AD37" s="137">
        <f t="shared" si="15"/>
        <v>142804.45344000004</v>
      </c>
      <c r="AE37" s="72">
        <f>SUM(AE5:AE36)</f>
        <v>1841067.2534400001</v>
      </c>
    </row>
    <row r="38" spans="1:31">
      <c r="E38" s="824" t="s">
        <v>68</v>
      </c>
      <c r="F38" s="824"/>
      <c r="G38" s="824"/>
      <c r="H38" s="824"/>
      <c r="I38" s="824"/>
    </row>
    <row r="39" spans="1:31">
      <c r="A39" s="107" t="s">
        <v>310</v>
      </c>
      <c r="B39" s="107" t="s">
        <v>301</v>
      </c>
      <c r="C39" s="107"/>
      <c r="D39" s="107"/>
      <c r="E39" s="107" t="str">
        <f>E4</f>
        <v>Enablement Cost</v>
      </c>
      <c r="F39" s="107" t="str">
        <f>F4</f>
        <v>Data Related Cost</v>
      </c>
      <c r="G39" s="107" t="str">
        <f>G4</f>
        <v>Analysts Cost</v>
      </c>
      <c r="H39" s="107" t="str">
        <f>H4</f>
        <v>Overhead Costs</v>
      </c>
      <c r="I39" s="107" t="str">
        <f>I4</f>
        <v>Platform Services</v>
      </c>
      <c r="J39" s="107" t="s">
        <v>340</v>
      </c>
      <c r="K39" s="107" t="s">
        <v>341</v>
      </c>
      <c r="L39" s="107" t="s">
        <v>342</v>
      </c>
      <c r="M39" s="107" t="s">
        <v>12</v>
      </c>
      <c r="N39" s="107" t="s">
        <v>185</v>
      </c>
      <c r="O39" s="107" t="s">
        <v>40</v>
      </c>
      <c r="P39" s="107" t="s">
        <v>312</v>
      </c>
      <c r="Q39" s="107" t="s">
        <v>275</v>
      </c>
      <c r="R39" t="s">
        <v>184</v>
      </c>
      <c r="S39" t="s">
        <v>198</v>
      </c>
      <c r="T39" t="s">
        <v>199</v>
      </c>
      <c r="U39" t="s">
        <v>200</v>
      </c>
      <c r="V39" t="s">
        <v>192</v>
      </c>
    </row>
    <row r="40" spans="1:31">
      <c r="A40" s="107" t="e">
        <f>'Sys Admin'!#REF!</f>
        <v>#REF!</v>
      </c>
      <c r="B40" s="107">
        <v>1</v>
      </c>
      <c r="C40" s="107"/>
      <c r="D40" s="107" t="s">
        <v>83</v>
      </c>
      <c r="E40" s="590">
        <f>'Enablement Services '!E22</f>
        <v>18000</v>
      </c>
      <c r="F40" s="590">
        <v>0</v>
      </c>
      <c r="G40" s="590">
        <v>0</v>
      </c>
      <c r="H40" s="590">
        <f>L49</f>
        <v>1</v>
      </c>
      <c r="I40" s="590">
        <f>L56</f>
        <v>1</v>
      </c>
      <c r="J40" s="588">
        <f>B40*Q40*E40</f>
        <v>18000</v>
      </c>
      <c r="K40" s="107" t="e">
        <f>F40*B40*(12-A40)</f>
        <v>#REF!</v>
      </c>
      <c r="L40" s="107" t="e">
        <f>G40*B40*(12-A40)</f>
        <v>#REF!</v>
      </c>
      <c r="M40" s="589">
        <f>H40*Q40*B40</f>
        <v>1</v>
      </c>
      <c r="N40" s="589">
        <f>I40*B40*Q40</f>
        <v>1</v>
      </c>
      <c r="O40" s="590" t="e">
        <f>SUM(J40:N40)</f>
        <v>#REF!</v>
      </c>
      <c r="P40" s="588" t="e">
        <f>O40</f>
        <v>#REF!</v>
      </c>
      <c r="Q40" s="107">
        <v>1</v>
      </c>
      <c r="R40" t="s">
        <v>83</v>
      </c>
      <c r="S40" s="145"/>
    </row>
    <row r="41" spans="1:31">
      <c r="A41" s="107" t="e">
        <f>'Sys Admin'!#REF!</f>
        <v>#REF!</v>
      </c>
      <c r="B41" s="107">
        <f>COUNTIF('Sys Admin'!I43:I57,"Onboarding")</f>
        <v>0</v>
      </c>
      <c r="C41" s="107"/>
      <c r="D41" s="107" t="s">
        <v>30</v>
      </c>
      <c r="E41" s="590">
        <f>'Enablement Services '!E23+'Enablement Services '!E24</f>
        <v>40000</v>
      </c>
      <c r="F41" s="590">
        <v>0</v>
      </c>
      <c r="G41" s="590">
        <v>0</v>
      </c>
      <c r="H41" s="590">
        <f>L50</f>
        <v>1</v>
      </c>
      <c r="I41" s="590">
        <f>L57</f>
        <v>1</v>
      </c>
      <c r="J41" s="588">
        <f>B41*Q41*E41</f>
        <v>0</v>
      </c>
      <c r="K41" s="107" t="e">
        <f>F41*B41*(12-A41)</f>
        <v>#REF!</v>
      </c>
      <c r="L41" s="107" t="e">
        <f>G41*B41*(12-A41)</f>
        <v>#REF!</v>
      </c>
      <c r="M41" s="589">
        <f>H41*Q41*B41</f>
        <v>0</v>
      </c>
      <c r="N41" s="589">
        <f>I41*B41*Q41</f>
        <v>0</v>
      </c>
      <c r="O41" s="590">
        <f>E41*Q41+F41+G41+H41+I41</f>
        <v>40002</v>
      </c>
      <c r="P41" s="107">
        <f>'Sys Admin Calculation'!O41*B41</f>
        <v>0</v>
      </c>
      <c r="Q41" s="107">
        <v>1</v>
      </c>
      <c r="R41" t="s">
        <v>30</v>
      </c>
      <c r="S41" s="145"/>
      <c r="V41" s="146">
        <v>5000</v>
      </c>
    </row>
    <row r="42" spans="1:31">
      <c r="A42" s="107" t="e">
        <f>'Sys Admin'!#REF!</f>
        <v>#REF!</v>
      </c>
      <c r="B42" s="107">
        <f>COUNTIFS('Sys Admin'!I43:I57,"=Active", 'Sys Admin'!F43:F57, "=High")</f>
        <v>0</v>
      </c>
      <c r="C42" s="107"/>
      <c r="D42" s="107" t="s">
        <v>313</v>
      </c>
      <c r="E42" s="590">
        <f>'Prospective Project Calculation'!X2</f>
        <v>4600</v>
      </c>
      <c r="F42" s="590">
        <f>'Prospective Project Calculation'!S2</f>
        <v>2056.34</v>
      </c>
      <c r="G42" s="590">
        <f>'Prospective Project Calculation'!P2</f>
        <v>375.76</v>
      </c>
      <c r="H42" s="590">
        <f>$L$51</f>
        <v>6471.3719999999994</v>
      </c>
      <c r="I42" s="590">
        <f>$L$58</f>
        <v>1190.0371120000002</v>
      </c>
      <c r="J42" s="107" t="e">
        <f>E42*MIN(6,(12-A42))*B42</f>
        <v>#REF!</v>
      </c>
      <c r="K42" s="107" t="e">
        <f>(F42*(1+0.05)^(12-A42))*B42</f>
        <v>#REF!</v>
      </c>
      <c r="L42" s="107" t="e">
        <f>(G42*(1+0.05)^(12-A42))*B42</f>
        <v>#REF!</v>
      </c>
      <c r="M42" s="107" t="e">
        <f>H42*(12-A42)*B42</f>
        <v>#REF!</v>
      </c>
      <c r="N42" s="107" t="e">
        <f>I42*(12-A42)*B42</f>
        <v>#REF!</v>
      </c>
      <c r="O42" s="590" t="e">
        <f>SUM(J42:N42)</f>
        <v>#REF!</v>
      </c>
      <c r="P42" s="588" t="e">
        <f>O42</f>
        <v>#REF!</v>
      </c>
      <c r="Q42" s="107" t="e">
        <f>'Sys Admin'!#REF!</f>
        <v>#REF!</v>
      </c>
      <c r="R42" t="s">
        <v>8</v>
      </c>
      <c r="S42" s="145">
        <f>E42</f>
        <v>4600</v>
      </c>
      <c r="T42" s="145">
        <f>E43</f>
        <v>4600</v>
      </c>
      <c r="U42" s="145">
        <f>E44</f>
        <v>0</v>
      </c>
      <c r="AD42">
        <f>SUM('Sys Admin Calculation Y2'!Z37:AA37)</f>
        <v>60549.455999999998</v>
      </c>
    </row>
    <row r="43" spans="1:31">
      <c r="A43" s="107" t="e">
        <f>'Sys Admin'!#REF!</f>
        <v>#REF!</v>
      </c>
      <c r="B43" s="107">
        <f>COUNTIFS('Sys Admin'!I43:I57,"=Active", 'Sys Admin'!F43:F57, "=Medium")</f>
        <v>0</v>
      </c>
      <c r="C43" s="107"/>
      <c r="D43" s="107" t="s">
        <v>314</v>
      </c>
      <c r="E43" s="590">
        <f>'Prospective Project Calculation'!W2</f>
        <v>4600</v>
      </c>
      <c r="F43" s="590">
        <f>'Prospective Project Calculation'!R2</f>
        <v>853.07416666666666</v>
      </c>
      <c r="G43" s="590">
        <f>'Prospective Project Calculation'!O2</f>
        <v>250.50666666666666</v>
      </c>
      <c r="H43" s="590">
        <f>$L$51</f>
        <v>6471.3719999999994</v>
      </c>
      <c r="I43" s="590">
        <f>$L$58</f>
        <v>1190.0371120000002</v>
      </c>
      <c r="J43" s="107" t="e">
        <f>E43*MIN(4,(12-A43))*B43</f>
        <v>#REF!</v>
      </c>
      <c r="K43" s="589" t="e">
        <f>(F43*(1+0.05)^(12-A43))*B43</f>
        <v>#REF!</v>
      </c>
      <c r="L43" s="107" t="e">
        <f>(G43*(1+0.05)^(12-A43))*B43</f>
        <v>#REF!</v>
      </c>
      <c r="M43" s="107" t="e">
        <f>H43*(12-A43)*B43</f>
        <v>#REF!</v>
      </c>
      <c r="N43" s="107" t="e">
        <f>I43*(12-A43)*B43</f>
        <v>#REF!</v>
      </c>
      <c r="O43" s="590" t="e">
        <f>SUM(J43:N43)</f>
        <v>#REF!</v>
      </c>
      <c r="P43" s="588" t="e">
        <f>O43</f>
        <v>#REF!</v>
      </c>
      <c r="Q43" s="107" t="e">
        <f>'Sys Admin'!#REF!</f>
        <v>#REF!</v>
      </c>
    </row>
    <row r="44" spans="1:31">
      <c r="A44" s="107" t="e">
        <f>'Sys Admin'!#REF!</f>
        <v>#REF!</v>
      </c>
      <c r="B44" s="107">
        <f>COUNTIFS('Sys Admin'!I43:I57,"=Active", 'Sys Admin'!F43:F57, "=Low")</f>
        <v>0</v>
      </c>
      <c r="C44" s="107"/>
      <c r="D44" s="107" t="s">
        <v>315</v>
      </c>
      <c r="E44" s="590">
        <f>'Prospective Project Calculation'!V2</f>
        <v>0</v>
      </c>
      <c r="F44" s="590">
        <f>'Prospective Project Calculation'!Q2</f>
        <v>435.04333333333335</v>
      </c>
      <c r="G44" s="590">
        <f>'Prospective Project Calculation'!N2</f>
        <v>125.25333333333333</v>
      </c>
      <c r="H44" s="590">
        <f>$L$51</f>
        <v>6471.3719999999994</v>
      </c>
      <c r="I44" s="590">
        <f>$L$58</f>
        <v>1190.0371120000002</v>
      </c>
      <c r="J44" s="107" t="e">
        <f>E44*MIN(2,(12-A44))*B44</f>
        <v>#REF!</v>
      </c>
      <c r="K44" s="107" t="e">
        <f>(F44*(1+0.05)^(12-A44))*B44</f>
        <v>#REF!</v>
      </c>
      <c r="L44" s="107" t="e">
        <f>(G44*(1+0.05)^(12-A44))*B44</f>
        <v>#REF!</v>
      </c>
      <c r="M44" s="107" t="e">
        <f>H44*(12-A44)*B44</f>
        <v>#REF!</v>
      </c>
      <c r="N44" s="107" t="e">
        <f>I44*(12-A44)*B44</f>
        <v>#REF!</v>
      </c>
      <c r="O44" s="590" t="e">
        <f>SUM(J44:N44)</f>
        <v>#REF!</v>
      </c>
      <c r="P44" s="588" t="e">
        <f>O44</f>
        <v>#REF!</v>
      </c>
      <c r="Q44" s="107" t="e">
        <f>'Sys Admin'!#REF!</f>
        <v>#REF!</v>
      </c>
    </row>
    <row r="45" spans="1:31">
      <c r="A45" s="107"/>
      <c r="B45" s="107"/>
      <c r="C45" s="107"/>
      <c r="D45" s="107"/>
      <c r="E45" s="107"/>
      <c r="F45" s="107"/>
      <c r="G45" s="107"/>
      <c r="H45" s="107"/>
      <c r="I45" s="107"/>
      <c r="J45" s="588" t="e">
        <f>SUM(J40:J44)</f>
        <v>#REF!</v>
      </c>
      <c r="K45" s="588" t="e">
        <f>SUM(K40:K44)</f>
        <v>#REF!</v>
      </c>
      <c r="L45" s="588" t="e">
        <f>SUM(L40:L44)</f>
        <v>#REF!</v>
      </c>
      <c r="M45" s="588" t="e">
        <f>SUM(M40:M44)</f>
        <v>#REF!</v>
      </c>
      <c r="N45" s="588" t="e">
        <f>SUM(N40:N44)</f>
        <v>#REF!</v>
      </c>
      <c r="O45" s="107"/>
      <c r="P45" s="107"/>
      <c r="Q45" s="107"/>
    </row>
    <row r="46" spans="1:31">
      <c r="F46" t="s">
        <v>325</v>
      </c>
      <c r="G46" t="s">
        <v>326</v>
      </c>
      <c r="H46" t="s">
        <v>230</v>
      </c>
      <c r="T46" t="s">
        <v>8</v>
      </c>
      <c r="U46" t="s">
        <v>31</v>
      </c>
      <c r="V46" t="str">
        <f>T46&amp;U46</f>
        <v>ActiveHigh</v>
      </c>
      <c r="W46">
        <v>6</v>
      </c>
      <c r="X46" s="145">
        <f t="shared" ref="X46:Y48" si="16">F42</f>
        <v>2056.34</v>
      </c>
      <c r="Y46" s="145">
        <f t="shared" si="16"/>
        <v>375.76</v>
      </c>
    </row>
    <row r="47" spans="1:31" ht="14.65" thickBot="1">
      <c r="A47" s="448" t="s">
        <v>316</v>
      </c>
      <c r="B47" s="448"/>
      <c r="C47" s="448"/>
      <c r="D47" s="448" t="s">
        <v>295</v>
      </c>
      <c r="E47" s="448" t="s">
        <v>307</v>
      </c>
      <c r="F47" s="448" t="s">
        <v>40</v>
      </c>
      <c r="H47" t="s">
        <v>12</v>
      </c>
      <c r="T47" t="s">
        <v>8</v>
      </c>
      <c r="U47" t="s">
        <v>32</v>
      </c>
      <c r="V47" t="str">
        <f>T47&amp;U47</f>
        <v>ActiveMedium</v>
      </c>
      <c r="W47">
        <v>4</v>
      </c>
      <c r="X47" s="145">
        <f t="shared" si="16"/>
        <v>853.07416666666666</v>
      </c>
      <c r="Y47" s="145">
        <f t="shared" si="16"/>
        <v>250.50666666666666</v>
      </c>
      <c r="AC47" s="137" t="s">
        <v>84</v>
      </c>
    </row>
    <row r="48" spans="1:31">
      <c r="A48" s="448" t="str">
        <f>'Platform Overhead C '!A24</f>
        <v>Platform DevOps (including testing, features)</v>
      </c>
      <c r="B48" s="448"/>
      <c r="C48" s="448"/>
      <c r="D48" s="448">
        <f>'Sys Admin'!I19</f>
        <v>1.5</v>
      </c>
      <c r="E48" s="487">
        <f>D48*'Rate Sheet'!B4*'Rate Sheet'!B9</f>
        <v>36720</v>
      </c>
      <c r="F48" s="487">
        <f>E48*12</f>
        <v>440640</v>
      </c>
      <c r="H48" s="44" t="s">
        <v>66</v>
      </c>
      <c r="I48" s="45" t="s">
        <v>69</v>
      </c>
      <c r="J48" s="45" t="s">
        <v>68</v>
      </c>
      <c r="K48" s="45" t="s">
        <v>101</v>
      </c>
      <c r="L48" s="46" t="s">
        <v>70</v>
      </c>
      <c r="N48" s="492" t="s">
        <v>332</v>
      </c>
      <c r="O48" s="492" t="s">
        <v>330</v>
      </c>
      <c r="P48" s="492" t="s">
        <v>331</v>
      </c>
      <c r="Q48" s="492" t="s">
        <v>307</v>
      </c>
      <c r="T48" t="s">
        <v>8</v>
      </c>
      <c r="U48" t="s">
        <v>33</v>
      </c>
      <c r="V48" t="str">
        <f>T48&amp;U48</f>
        <v>ActiveLow</v>
      </c>
      <c r="W48">
        <v>2</v>
      </c>
      <c r="X48" s="145">
        <f t="shared" si="16"/>
        <v>435.04333333333335</v>
      </c>
      <c r="Y48" s="145">
        <f t="shared" si="16"/>
        <v>125.25333333333333</v>
      </c>
    </row>
    <row r="49" spans="1:27">
      <c r="A49" s="448" t="str">
        <f>'Platform Overhead C '!A25</f>
        <v>Standard O&amp;M/Support</v>
      </c>
      <c r="B49" s="448"/>
      <c r="C49" s="448"/>
      <c r="D49" s="448">
        <f>'Sys Admin'!I20</f>
        <v>1.5</v>
      </c>
      <c r="E49" s="487">
        <f>D49*'Rate Sheet'!B5*'Rate Sheet'!B9</f>
        <v>34320</v>
      </c>
      <c r="F49" s="487">
        <f>E49*12</f>
        <v>411840</v>
      </c>
      <c r="H49" s="15" t="s">
        <v>228</v>
      </c>
      <c r="I49" s="43">
        <f>'Platform Overhead C '!J21</f>
        <v>0.05</v>
      </c>
      <c r="J49" s="11">
        <f>$G$50*I49</f>
        <v>5392.81</v>
      </c>
      <c r="K49" s="27">
        <f>'Sys Admin'!I10</f>
        <v>0</v>
      </c>
      <c r="L49" s="17">
        <f>IF(K49&lt;&gt;0, J49/K49, 1)</f>
        <v>1</v>
      </c>
      <c r="N49" s="492" t="str">
        <f t="shared" ref="N49:N62" si="17">O49&amp;P49</f>
        <v>Planning/DiscoveryGold</v>
      </c>
      <c r="O49" s="492" t="s">
        <v>83</v>
      </c>
      <c r="P49" s="492" t="s">
        <v>198</v>
      </c>
      <c r="Q49" s="495">
        <f>'ESPO Calculator'!D73</f>
        <v>4600</v>
      </c>
    </row>
    <row r="50" spans="1:27">
      <c r="A50" s="448" t="s">
        <v>323</v>
      </c>
      <c r="B50" s="448"/>
      <c r="C50" s="448"/>
      <c r="D50" s="448"/>
      <c r="E50" s="487">
        <f>'Platform Overhead C '!F20</f>
        <v>272976</v>
      </c>
      <c r="F50" s="487">
        <f>SUM(F48:F49,E50)</f>
        <v>1125456</v>
      </c>
      <c r="G50" s="72">
        <f>F50/12*(1+'Rate Sheet'!B8)</f>
        <v>107856.2</v>
      </c>
      <c r="H50" s="15" t="s">
        <v>30</v>
      </c>
      <c r="I50" s="43">
        <f>'Platform Overhead C '!J22</f>
        <v>0.3</v>
      </c>
      <c r="J50" s="11">
        <f>$G$50*I50</f>
        <v>32356.859999999997</v>
      </c>
      <c r="K50" s="27">
        <f>'Sys Admin'!I12</f>
        <v>0</v>
      </c>
      <c r="L50" s="17">
        <f>IF(K50=0,1,J50/K50)</f>
        <v>1</v>
      </c>
      <c r="N50" s="492" t="str">
        <f t="shared" si="17"/>
        <v>Planning/DiscoverySilver</v>
      </c>
      <c r="O50" s="492" t="s">
        <v>83</v>
      </c>
      <c r="P50" s="492" t="s">
        <v>199</v>
      </c>
      <c r="Q50" s="495">
        <f>'ESPO Calculator'!D56</f>
        <v>4600</v>
      </c>
    </row>
    <row r="51" spans="1:27">
      <c r="A51" s="448" t="s">
        <v>324</v>
      </c>
      <c r="B51" s="448"/>
      <c r="C51" s="448"/>
      <c r="D51" s="448"/>
      <c r="E51" s="448">
        <f>'Platform Overhead C '!M32*1.1</f>
        <v>14875.463900000001</v>
      </c>
      <c r="F51" s="448"/>
      <c r="H51" s="15" t="s">
        <v>8</v>
      </c>
      <c r="I51" s="43">
        <f>'Platform Overhead C '!J23</f>
        <v>0.6</v>
      </c>
      <c r="J51" s="11">
        <f>$G$50*I51</f>
        <v>64713.719999999994</v>
      </c>
      <c r="K51" s="27">
        <f>'Sys Admin'!I14</f>
        <v>10</v>
      </c>
      <c r="L51" s="17">
        <f>J51/K51</f>
        <v>6471.3719999999994</v>
      </c>
      <c r="N51" s="492" t="str">
        <f t="shared" si="17"/>
        <v>Planning/DiscoveryCustom</v>
      </c>
      <c r="O51" s="492" t="s">
        <v>83</v>
      </c>
      <c r="P51" s="492" t="s">
        <v>575</v>
      </c>
      <c r="Q51" s="495">
        <f>'Custom ESPO Selection'!D30</f>
        <v>0</v>
      </c>
      <c r="Z51" s="72">
        <f>F50-AB37</f>
        <v>348891.36</v>
      </c>
    </row>
    <row r="52" spans="1:27">
      <c r="A52" s="448" t="s">
        <v>610</v>
      </c>
      <c r="B52" s="448"/>
      <c r="C52" s="448"/>
      <c r="D52" s="448"/>
      <c r="E52" s="448"/>
      <c r="F52" s="487">
        <f>AA86</f>
        <v>864000</v>
      </c>
      <c r="H52" s="15" t="s">
        <v>84</v>
      </c>
      <c r="I52" s="43">
        <f>'Platform Overhead C '!J24</f>
        <v>0.05</v>
      </c>
      <c r="J52" s="11">
        <f>$G$50*I52</f>
        <v>5392.81</v>
      </c>
      <c r="K52" s="27">
        <f>'Sys Admin'!I16</f>
        <v>0</v>
      </c>
      <c r="L52" s="17">
        <f>IF(K52=0,1,J52/K52)</f>
        <v>1</v>
      </c>
      <c r="N52" s="492" t="str">
        <f t="shared" si="17"/>
        <v>Planning/DiscoveryNone</v>
      </c>
      <c r="O52" s="492" t="s">
        <v>83</v>
      </c>
      <c r="P52" s="492" t="s">
        <v>192</v>
      </c>
      <c r="Q52" s="495">
        <f>'Enablement Services '!C64</f>
        <v>0</v>
      </c>
    </row>
    <row r="53" spans="1:27" ht="61.5" customHeight="1">
      <c r="N53" s="492" t="str">
        <f t="shared" si="17"/>
        <v>OnboardingGold</v>
      </c>
      <c r="O53" s="492" t="s">
        <v>30</v>
      </c>
      <c r="P53" s="492" t="s">
        <v>198</v>
      </c>
      <c r="Q53" s="495">
        <f>'ESPO Calculator'!D74</f>
        <v>60075</v>
      </c>
      <c r="U53" s="594" t="s">
        <v>187</v>
      </c>
      <c r="V53" s="594" t="s">
        <v>600</v>
      </c>
      <c r="W53" s="594" t="s">
        <v>601</v>
      </c>
      <c r="X53" s="592" t="s">
        <v>603</v>
      </c>
      <c r="Y53" s="592" t="s">
        <v>607</v>
      </c>
      <c r="Z53" s="592" t="s">
        <v>606</v>
      </c>
      <c r="AA53" s="592" t="s">
        <v>608</v>
      </c>
    </row>
    <row r="54" spans="1:27" ht="14.65" thickBot="1">
      <c r="H54" t="s">
        <v>185</v>
      </c>
      <c r="N54" s="492" t="str">
        <f t="shared" si="17"/>
        <v>OnboardingSilver</v>
      </c>
      <c r="O54" s="492" t="s">
        <v>30</v>
      </c>
      <c r="P54" s="492" t="s">
        <v>199</v>
      </c>
      <c r="Q54" s="495">
        <f>'ESPO Calculator'!D57</f>
        <v>33125</v>
      </c>
      <c r="U54" s="9" t="str">
        <f t="shared" ref="U54:U85" si="18">A5</f>
        <v>CVP-NYC</v>
      </c>
      <c r="V54" s="486" t="str">
        <f>Inputs!C14</f>
        <v>Planning/Discovery</v>
      </c>
      <c r="W54" s="9" t="str">
        <f>'Sys Admin'!I24</f>
        <v>Active</v>
      </c>
      <c r="X54" s="593">
        <f>IF(AND(V54="Active",W54="Export/Retirement"),1,IF(OR(W54="Prospective",V54="Active"),0,1))</f>
        <v>1</v>
      </c>
      <c r="Y54" s="507">
        <f>IF(W54="Prospective", 0, 'ESPO Calculator'!$B$41)</f>
        <v>63000</v>
      </c>
      <c r="Z54" s="507">
        <f>IF(OR(X54=1, W54="Prospective"), 0, 'ESPO Calculator'!$D$48)</f>
        <v>0</v>
      </c>
      <c r="AA54" s="507">
        <f>Y54+Z54*IF('Sys Admin'!K24 &lt;&gt; 0, (12 - 'Sys Admin'!K24), 12)</f>
        <v>63000</v>
      </c>
    </row>
    <row r="55" spans="1:27">
      <c r="H55" s="44" t="s">
        <v>66</v>
      </c>
      <c r="I55" s="45" t="s">
        <v>69</v>
      </c>
      <c r="J55" s="45" t="s">
        <v>68</v>
      </c>
      <c r="K55" s="45" t="s">
        <v>101</v>
      </c>
      <c r="L55" s="46" t="s">
        <v>70</v>
      </c>
      <c r="N55" s="492" t="str">
        <f t="shared" si="17"/>
        <v>OnboardingCustom</v>
      </c>
      <c r="O55" s="492" t="s">
        <v>30</v>
      </c>
      <c r="P55" s="492" t="s">
        <v>575</v>
      </c>
      <c r="Q55" s="495">
        <f>'Custom ESPO Selection'!D31</f>
        <v>0</v>
      </c>
      <c r="U55" s="9" t="str">
        <f t="shared" si="18"/>
        <v>CVP-THEA</v>
      </c>
      <c r="V55" s="486" t="str">
        <f>Inputs!C15</f>
        <v>Active</v>
      </c>
      <c r="W55" s="9" t="str">
        <f>'Sys Admin'!I25</f>
        <v>Active</v>
      </c>
      <c r="X55" s="593">
        <f t="shared" ref="X55:X68" si="19">IF(AND(V55="Active",W55="Export/Retirement"),1,IF(OR(W55="Prospective",V55="Active"),0,1))</f>
        <v>0</v>
      </c>
      <c r="Y55" s="507">
        <f>IF(W55="Prospective", 0, 'ESPO Calculator'!$B$41)</f>
        <v>63000</v>
      </c>
      <c r="Z55" s="507">
        <f>IF(OR(X55=1, W55="Prospective"), 0, 'ESPO Calculator'!$D$48)</f>
        <v>2166.6666666666665</v>
      </c>
      <c r="AA55" s="507">
        <f>Y55+Z55*IF('Sys Admin'!K25 &lt;&gt; 0, (12 - 'Sys Admin'!K25), 12)</f>
        <v>89000</v>
      </c>
    </row>
    <row r="56" spans="1:27">
      <c r="C56" s="449"/>
      <c r="H56" s="15" t="s">
        <v>228</v>
      </c>
      <c r="I56" s="43">
        <f>'Platform Overhead C '!J36</f>
        <v>0.05</v>
      </c>
      <c r="J56" s="11">
        <f>$E$51*I56</f>
        <v>743.7731950000001</v>
      </c>
      <c r="K56" s="27">
        <f>'Sys Admin'!I10</f>
        <v>0</v>
      </c>
      <c r="L56" s="17">
        <f>IF(K56&lt;&gt;0, J56/K56, 1)</f>
        <v>1</v>
      </c>
      <c r="N56" s="492" t="str">
        <f t="shared" si="17"/>
        <v>OnboardingNone</v>
      </c>
      <c r="O56" s="492" t="s">
        <v>30</v>
      </c>
      <c r="P56" s="492" t="s">
        <v>192</v>
      </c>
      <c r="Q56" s="495">
        <f>'Enablement Services '!C68</f>
        <v>0</v>
      </c>
      <c r="U56" s="9" t="str">
        <f t="shared" si="18"/>
        <v>CVP-WYDOT</v>
      </c>
      <c r="V56" s="486" t="str">
        <f>Inputs!C16</f>
        <v>Active</v>
      </c>
      <c r="W56" s="9" t="str">
        <f>'Sys Admin'!I26</f>
        <v>Active</v>
      </c>
      <c r="X56" s="593">
        <f t="shared" si="19"/>
        <v>0</v>
      </c>
      <c r="Y56" s="507">
        <f>IF(W56="Prospective", 0, 'ESPO Calculator'!$B$41)</f>
        <v>63000</v>
      </c>
      <c r="Z56" s="507">
        <f>IF(OR(X56=1, W56="Prospective"), 0, 'ESPO Calculator'!$D$48)</f>
        <v>2166.6666666666665</v>
      </c>
      <c r="AA56" s="507">
        <f>Y56+Z56*IF('Sys Admin'!K26 &lt;&gt; 0, (12 - 'Sys Admin'!K26), 12)</f>
        <v>89000</v>
      </c>
    </row>
    <row r="57" spans="1:27">
      <c r="C57" s="449"/>
      <c r="H57" s="15" t="s">
        <v>30</v>
      </c>
      <c r="I57" s="43">
        <f>'Platform Overhead C '!J37</f>
        <v>0.15</v>
      </c>
      <c r="J57" s="11">
        <f>$E$51*I57</f>
        <v>2231.3195850000002</v>
      </c>
      <c r="K57" s="27">
        <f>'Sys Admin'!I12</f>
        <v>0</v>
      </c>
      <c r="L57" s="17">
        <f>IF(K57=0,1,J57/K57)</f>
        <v>1</v>
      </c>
      <c r="N57" s="492" t="str">
        <f t="shared" si="17"/>
        <v>ActiveGold</v>
      </c>
      <c r="O57" s="492" t="s">
        <v>8</v>
      </c>
      <c r="P57" s="492" t="s">
        <v>198</v>
      </c>
      <c r="Q57" s="495">
        <f>'ESPO Calculator'!D75</f>
        <v>84014.28571428571</v>
      </c>
      <c r="U57" s="9" t="str">
        <f t="shared" si="18"/>
        <v>CVP-Volpe-IE</v>
      </c>
      <c r="V57" s="486" t="str">
        <f>Inputs!C17</f>
        <v>Active</v>
      </c>
      <c r="W57" s="9" t="str">
        <f>'Sys Admin'!I27</f>
        <v>Active</v>
      </c>
      <c r="X57" s="593">
        <f t="shared" si="19"/>
        <v>0</v>
      </c>
      <c r="Y57" s="507">
        <f>IF(W57="Prospective", 0, 'ESPO Calculator'!$B$41)</f>
        <v>63000</v>
      </c>
      <c r="Z57" s="507">
        <f>IF(OR(X57=1, W57="Prospective"), 0, 'ESPO Calculator'!$D$48)</f>
        <v>2166.6666666666665</v>
      </c>
      <c r="AA57" s="507">
        <f>Y57+Z57*IF('Sys Admin'!K27 &lt;&gt; 0, (12 - 'Sys Admin'!K27), 12)</f>
        <v>89000</v>
      </c>
    </row>
    <row r="58" spans="1:27">
      <c r="C58" s="449"/>
      <c r="H58" s="15" t="s">
        <v>8</v>
      </c>
      <c r="I58" s="43">
        <f>'Platform Overhead C '!J38</f>
        <v>0.8</v>
      </c>
      <c r="J58" s="11">
        <f>$E$51*I58</f>
        <v>11900.371120000002</v>
      </c>
      <c r="K58" s="27">
        <f>'Sys Admin'!I14</f>
        <v>10</v>
      </c>
      <c r="L58" s="17">
        <f>J58/K58</f>
        <v>1190.0371120000002</v>
      </c>
      <c r="N58" s="492" t="str">
        <f t="shared" si="17"/>
        <v>ActiveSilver</v>
      </c>
      <c r="O58" s="492" t="s">
        <v>8</v>
      </c>
      <c r="P58" s="492" t="s">
        <v>199</v>
      </c>
      <c r="Q58" s="495">
        <f>'ESPO Calculator'!D58</f>
        <v>26142.857142857141</v>
      </c>
      <c r="U58" s="9" t="str">
        <f t="shared" si="18"/>
        <v>CVP-TTI-IE</v>
      </c>
      <c r="V58" s="486" t="str">
        <f>Inputs!C18</f>
        <v>Active</v>
      </c>
      <c r="W58" s="9" t="str">
        <f>'Sys Admin'!I28</f>
        <v>Active</v>
      </c>
      <c r="X58" s="593">
        <f t="shared" si="19"/>
        <v>0</v>
      </c>
      <c r="Y58" s="507">
        <f>IF(W58="Prospective", 0, 'ESPO Calculator'!$B$41)</f>
        <v>63000</v>
      </c>
      <c r="Z58" s="507">
        <f>IF(OR(X58=1, W58="Prospective"), 0, 'ESPO Calculator'!$D$48)</f>
        <v>2166.6666666666665</v>
      </c>
      <c r="AA58" s="507">
        <f>Y58+Z58*IF('Sys Admin'!K28 &lt;&gt; 0, (12 - 'Sys Admin'!K28), 12)</f>
        <v>89000</v>
      </c>
    </row>
    <row r="59" spans="1:27">
      <c r="C59" s="449"/>
      <c r="H59" s="15" t="s">
        <v>84</v>
      </c>
      <c r="I59" s="43">
        <f>'Platform Overhead C '!J39</f>
        <v>0.05</v>
      </c>
      <c r="J59" s="11">
        <f>$E$51*I59</f>
        <v>743.7731950000001</v>
      </c>
      <c r="K59" s="27">
        <f>'Sys Admin'!I16</f>
        <v>0</v>
      </c>
      <c r="L59" s="17">
        <f>IF(K59=0,1,J59/K59)</f>
        <v>1</v>
      </c>
      <c r="N59" s="492" t="str">
        <f t="shared" si="17"/>
        <v>ActiveCustom</v>
      </c>
      <c r="O59" s="492" t="s">
        <v>8</v>
      </c>
      <c r="P59" s="492" t="s">
        <v>575</v>
      </c>
      <c r="Q59" s="495">
        <f>'Custom ESPO Selection'!D32</f>
        <v>0</v>
      </c>
      <c r="U59" s="9" t="str">
        <f t="shared" si="18"/>
        <v>CARMA3-FMCSA</v>
      </c>
      <c r="V59" s="486" t="str">
        <f>Inputs!C19</f>
        <v>Planning/Discovery</v>
      </c>
      <c r="W59" s="9" t="str">
        <f>'Sys Admin'!I29</f>
        <v>Prospective</v>
      </c>
      <c r="X59" s="593">
        <f t="shared" si="19"/>
        <v>0</v>
      </c>
      <c r="Y59" s="507">
        <f>IF(W59="Prospective", 0, 'ESPO Calculator'!$B$41)</f>
        <v>0</v>
      </c>
      <c r="Z59" s="507">
        <f>IF(OR(X59=1, W59="Prospective"), 0, 'ESPO Calculator'!$D$48)</f>
        <v>0</v>
      </c>
      <c r="AA59" s="507">
        <f>Y59+Z59*IF('Sys Admin'!K29 &lt;&gt; 0, (12 - 'Sys Admin'!K29), 12)</f>
        <v>0</v>
      </c>
    </row>
    <row r="60" spans="1:27">
      <c r="C60" s="449"/>
      <c r="N60" s="492" t="str">
        <f t="shared" si="17"/>
        <v>ActiveNone</v>
      </c>
      <c r="O60" s="492" t="s">
        <v>8</v>
      </c>
      <c r="P60" s="492" t="s">
        <v>192</v>
      </c>
      <c r="Q60" s="495">
        <f>'Enablement Services '!C72</f>
        <v>0</v>
      </c>
      <c r="U60" s="9" t="str">
        <f t="shared" si="18"/>
        <v>CARMA-FHWA</v>
      </c>
      <c r="V60" s="486" t="str">
        <f>Inputs!C20</f>
        <v>Planning/Discovery</v>
      </c>
      <c r="W60" s="9" t="str">
        <f>'Sys Admin'!I30</f>
        <v>Prospective</v>
      </c>
      <c r="X60" s="593">
        <f t="shared" si="19"/>
        <v>0</v>
      </c>
      <c r="Y60" s="507">
        <f>IF(W60="Prospective", 0, 'ESPO Calculator'!$B$41)</f>
        <v>0</v>
      </c>
      <c r="Z60" s="507">
        <f>IF(OR(X60=1, W60="Prospective"), 0, 'ESPO Calculator'!$D$48)</f>
        <v>0</v>
      </c>
      <c r="AA60" s="507">
        <f>Y60+Z60*IF('Sys Admin'!K30 &lt;&gt; 0, (12 - 'Sys Admin'!K30), 12)</f>
        <v>0</v>
      </c>
    </row>
    <row r="61" spans="1:27">
      <c r="C61" s="449"/>
      <c r="N61" s="492" t="str">
        <f t="shared" si="17"/>
        <v>ProspectiveNone</v>
      </c>
      <c r="O61" s="492" t="s">
        <v>67</v>
      </c>
      <c r="P61" s="492" t="s">
        <v>192</v>
      </c>
      <c r="Q61" s="495">
        <v>0</v>
      </c>
      <c r="U61" s="9" t="str">
        <f t="shared" si="18"/>
        <v>FMI-ATRI</v>
      </c>
      <c r="V61" s="486" t="str">
        <f>Inputs!C21</f>
        <v>Active</v>
      </c>
      <c r="W61" s="9" t="str">
        <f>'Sys Admin'!I31</f>
        <v>Active</v>
      </c>
      <c r="X61" s="593">
        <f t="shared" si="19"/>
        <v>0</v>
      </c>
      <c r="Y61" s="507">
        <f>IF(W61="Prospective", 0, 'ESPO Calculator'!$B$41)</f>
        <v>63000</v>
      </c>
      <c r="Z61" s="507">
        <f>IF(OR(X61=1, W61="Prospective"), 0, 'ESPO Calculator'!$D$48)</f>
        <v>2166.6666666666665</v>
      </c>
      <c r="AA61" s="507">
        <f>Y61+Z61*IF('Sys Admin'!K31 &lt;&gt; 0, (12 - 'Sys Admin'!K31), 12)</f>
        <v>89000</v>
      </c>
    </row>
    <row r="62" spans="1:27">
      <c r="B62" s="107" t="s">
        <v>334</v>
      </c>
      <c r="C62" s="107"/>
      <c r="D62" s="107"/>
      <c r="E62" s="107"/>
      <c r="F62" s="107"/>
      <c r="N62" s="492" t="str">
        <f t="shared" si="17"/>
        <v>Export/RetirementGold</v>
      </c>
      <c r="O62" s="492" t="s">
        <v>84</v>
      </c>
      <c r="P62" s="492" t="s">
        <v>198</v>
      </c>
      <c r="Q62" s="495">
        <f>'ESPO Calculator'!D76</f>
        <v>2550</v>
      </c>
      <c r="U62" s="9" t="str">
        <f t="shared" si="18"/>
        <v>FMI-BTS</v>
      </c>
      <c r="V62" s="486" t="str">
        <f>Inputs!C22</f>
        <v>Active</v>
      </c>
      <c r="W62" s="9" t="str">
        <f>'Sys Admin'!I32</f>
        <v>Active</v>
      </c>
      <c r="X62" s="593">
        <f t="shared" si="19"/>
        <v>0</v>
      </c>
      <c r="Y62" s="507">
        <f>IF(W62="Prospective", 0, 'ESPO Calculator'!$B$41)</f>
        <v>63000</v>
      </c>
      <c r="Z62" s="507">
        <f>IF(OR(X62=1, W62="Prospective"), 0, 'ESPO Calculator'!$D$48)</f>
        <v>2166.6666666666665</v>
      </c>
      <c r="AA62" s="507">
        <f>Y62+Z62*IF('Sys Admin'!K32 &lt;&gt; 0, (12 - 'Sys Admin'!K32), 12)</f>
        <v>89000</v>
      </c>
    </row>
    <row r="63" spans="1:27">
      <c r="B63" s="107"/>
      <c r="C63" s="107" t="s">
        <v>301</v>
      </c>
      <c r="D63" s="107" t="s">
        <v>337</v>
      </c>
      <c r="E63" s="107" t="s">
        <v>338</v>
      </c>
      <c r="F63" s="107" t="s">
        <v>339</v>
      </c>
      <c r="N63" s="492" t="str">
        <f>O63&amp;P63</f>
        <v>Export/RetirementSilver</v>
      </c>
      <c r="O63" s="492" t="s">
        <v>84</v>
      </c>
      <c r="P63" s="492" t="s">
        <v>199</v>
      </c>
      <c r="Q63" s="495">
        <f>'ESPO Calculator'!D59</f>
        <v>2550</v>
      </c>
      <c r="U63" s="9" t="str">
        <f t="shared" si="18"/>
        <v>FTA-DA</v>
      </c>
      <c r="V63" s="486" t="str">
        <f>Inputs!C23</f>
        <v>Active</v>
      </c>
      <c r="W63" s="9" t="str">
        <f>'Sys Admin'!I33</f>
        <v>Active</v>
      </c>
      <c r="X63" s="593">
        <f t="shared" si="19"/>
        <v>0</v>
      </c>
      <c r="Y63" s="507">
        <f>IF(W63="Prospective", 0, 'ESPO Calculator'!$B$41)</f>
        <v>63000</v>
      </c>
      <c r="Z63" s="507">
        <f>IF(OR(X63=1, W63="Prospective"), 0, 'ESPO Calculator'!$D$48)</f>
        <v>2166.6666666666665</v>
      </c>
      <c r="AA63" s="507">
        <f>Y63+Z63*IF('Sys Admin'!K33 &lt;&gt; 0, (12 - 'Sys Admin'!K33), 12)</f>
        <v>89000</v>
      </c>
    </row>
    <row r="64" spans="1:27">
      <c r="B64" s="107" t="s">
        <v>184</v>
      </c>
      <c r="C64" s="588" t="e">
        <f>J45</f>
        <v>#REF!</v>
      </c>
      <c r="D64" s="107">
        <f>Y37</f>
        <v>0</v>
      </c>
      <c r="E64" s="588" t="e">
        <f>SUM(C64:D64)</f>
        <v>#REF!</v>
      </c>
      <c r="F64" s="107"/>
      <c r="N64" s="492" t="str">
        <f>O64&amp;P64</f>
        <v>Export/RetirementCustom</v>
      </c>
      <c r="O64" s="492" t="s">
        <v>84</v>
      </c>
      <c r="P64" s="492" t="s">
        <v>575</v>
      </c>
      <c r="Q64" s="495">
        <f>'Custom ESPO Selection'!D33</f>
        <v>0</v>
      </c>
      <c r="U64" s="9" t="str">
        <f t="shared" si="18"/>
        <v>MOD 2.0</v>
      </c>
      <c r="V64" s="486" t="str">
        <f>Inputs!C24</f>
        <v>Prospective</v>
      </c>
      <c r="W64" s="9" t="str">
        <f>'Sys Admin'!I34</f>
        <v>Prospective</v>
      </c>
      <c r="X64" s="593">
        <f t="shared" si="19"/>
        <v>0</v>
      </c>
      <c r="Y64" s="507">
        <f>IF(W64="Prospective", 0, 'ESPO Calculator'!$B$41)</f>
        <v>0</v>
      </c>
      <c r="Z64" s="507">
        <f>IF(OR(X64=1, W64="Prospective"), 0, 'ESPO Calculator'!$D$48)</f>
        <v>0</v>
      </c>
      <c r="AA64" s="507">
        <f>Y64+Z64*IF('Sys Admin'!K34 &lt;&gt; 0, (12 - 'Sys Admin'!K34), 12)</f>
        <v>0</v>
      </c>
    </row>
    <row r="65" spans="2:27">
      <c r="B65" s="107" t="s">
        <v>252</v>
      </c>
      <c r="C65" s="588" t="e">
        <f>K45</f>
        <v>#REF!</v>
      </c>
      <c r="D65" s="107">
        <f>Z37</f>
        <v>38932.560000000005</v>
      </c>
      <c r="E65" s="107"/>
      <c r="F65" s="107"/>
      <c r="N65" s="492" t="str">
        <f>O65&amp;P65</f>
        <v>Export/RetirementNone</v>
      </c>
      <c r="O65" s="492" t="s">
        <v>84</v>
      </c>
      <c r="P65" s="492" t="s">
        <v>192</v>
      </c>
      <c r="Q65" s="495">
        <v>0</v>
      </c>
      <c r="U65" s="9" t="str">
        <f t="shared" si="18"/>
        <v xml:space="preserve">MPI </v>
      </c>
      <c r="V65" s="486" t="str">
        <f>Inputs!C25</f>
        <v>Prospective</v>
      </c>
      <c r="W65" s="9" t="str">
        <f>'Sys Admin'!I35</f>
        <v>Prospective</v>
      </c>
      <c r="X65" s="593">
        <f t="shared" si="19"/>
        <v>0</v>
      </c>
      <c r="Y65" s="507">
        <f>IF(W65="Prospective", 0, 'ESPO Calculator'!$B$41)</f>
        <v>0</v>
      </c>
      <c r="Z65" s="507">
        <f>IF(OR(X65=1, W65="Prospective"), 0, 'ESPO Calculator'!$D$48)</f>
        <v>0</v>
      </c>
      <c r="AA65" s="507">
        <f>Y65+Z65*IF('Sys Admin'!K35 &lt;&gt; 0, (12 - 'Sys Admin'!K35), 12)</f>
        <v>0</v>
      </c>
    </row>
    <row r="66" spans="2:27">
      <c r="B66" s="107" t="s">
        <v>335</v>
      </c>
      <c r="C66" s="588" t="e">
        <f>L45</f>
        <v>#REF!</v>
      </c>
      <c r="D66" s="107">
        <f>AA37</f>
        <v>18765.600000000002</v>
      </c>
      <c r="E66" s="588" t="e">
        <f>SUM(C65:D66)</f>
        <v>#REF!</v>
      </c>
      <c r="F66" s="107"/>
      <c r="N66" s="448" t="str">
        <f t="shared" ref="N66:N68" si="20">O66&amp;P66</f>
        <v>ActiveGold</v>
      </c>
      <c r="O66" s="448" t="s">
        <v>8</v>
      </c>
      <c r="P66" s="448" t="s">
        <v>198</v>
      </c>
      <c r="Q66" s="489">
        <f>'ESPO Calculator'!D84</f>
        <v>49008.333333333336</v>
      </c>
      <c r="U66" s="9" t="str">
        <f t="shared" si="18"/>
        <v>WAZE-WAZE</v>
      </c>
      <c r="V66" s="486" t="str">
        <f>Inputs!C26</f>
        <v>Active</v>
      </c>
      <c r="W66" s="9" t="str">
        <f>'Sys Admin'!I36</f>
        <v>Active</v>
      </c>
      <c r="X66" s="593">
        <f t="shared" si="19"/>
        <v>0</v>
      </c>
      <c r="Y66" s="507">
        <f>IF(W66="Prospective", 0, 'ESPO Calculator'!$B$41)</f>
        <v>63000</v>
      </c>
      <c r="Z66" s="507">
        <f>IF(OR(X66=1, W66="Prospective"), 0, 'ESPO Calculator'!$D$48)</f>
        <v>2166.6666666666665</v>
      </c>
      <c r="AA66" s="507">
        <f>Y66+Z66*IF('Sys Admin'!K36 &lt;&gt; 0, (12 - 'Sys Admin'!K36), 12)</f>
        <v>89000</v>
      </c>
    </row>
    <row r="67" spans="2:27">
      <c r="B67" s="107" t="s">
        <v>12</v>
      </c>
      <c r="C67" s="588" t="e">
        <f>M45</f>
        <v>#REF!</v>
      </c>
      <c r="D67" s="107">
        <f>AB37</f>
        <v>776564.64</v>
      </c>
      <c r="E67" s="588" t="e">
        <f>SUM(C67:D67)</f>
        <v>#REF!</v>
      </c>
      <c r="F67" s="107"/>
      <c r="N67" s="448" t="str">
        <f t="shared" si="20"/>
        <v>ActiveSilver</v>
      </c>
      <c r="O67" s="448" t="s">
        <v>8</v>
      </c>
      <c r="P67" s="448" t="s">
        <v>199</v>
      </c>
      <c r="Q67" s="489">
        <f>'ESPO Calculator'!D67</f>
        <v>15250</v>
      </c>
      <c r="U67" s="9" t="str">
        <f t="shared" si="18"/>
        <v>WAZE-SDI</v>
      </c>
      <c r="V67" s="486" t="str">
        <f>Inputs!C27</f>
        <v>Active</v>
      </c>
      <c r="W67" s="9" t="str">
        <f>'Sys Admin'!I37</f>
        <v>Active</v>
      </c>
      <c r="X67" s="593">
        <f t="shared" si="19"/>
        <v>0</v>
      </c>
      <c r="Y67" s="507">
        <f>IF(W67="Prospective", 0, 'ESPO Calculator'!$B$41)</f>
        <v>63000</v>
      </c>
      <c r="Z67" s="507">
        <f>IF(OR(X67=1, W67="Prospective"), 0, 'ESPO Calculator'!$D$48)</f>
        <v>2166.6666666666665</v>
      </c>
      <c r="AA67" s="507">
        <f>Y67+Z67*IF('Sys Admin'!K37 &lt;&gt; 0, (12 - 'Sys Admin'!K37), 12)</f>
        <v>89000</v>
      </c>
    </row>
    <row r="68" spans="2:27">
      <c r="B68" s="107" t="s">
        <v>336</v>
      </c>
      <c r="C68" s="588" t="e">
        <f>N45</f>
        <v>#REF!</v>
      </c>
      <c r="D68" s="107">
        <f>AD37</f>
        <v>142804.45344000004</v>
      </c>
      <c r="E68" s="588" t="e">
        <f>SUM(C68:D68)</f>
        <v>#REF!</v>
      </c>
      <c r="F68" s="107"/>
      <c r="N68" s="448" t="str">
        <f t="shared" si="20"/>
        <v>ActiveCustom</v>
      </c>
      <c r="O68" s="448" t="s">
        <v>8</v>
      </c>
      <c r="P68" s="448" t="s">
        <v>575</v>
      </c>
      <c r="Q68" s="489">
        <f>'Custom ESPO Selection'!D41</f>
        <v>0</v>
      </c>
      <c r="U68" s="9" t="str">
        <f t="shared" si="18"/>
        <v>Smart Columbus Evaluation</v>
      </c>
      <c r="V68" s="486" t="str">
        <f>Inputs!C28</f>
        <v>Planning/Discovery</v>
      </c>
      <c r="W68" s="9" t="str">
        <f>'Sys Admin'!I38</f>
        <v>Prospective</v>
      </c>
      <c r="X68" s="593">
        <f t="shared" si="19"/>
        <v>0</v>
      </c>
      <c r="Y68" s="507">
        <f>IF(W68="Prospective", 0, 'ESPO Calculator'!$B$41)</f>
        <v>0</v>
      </c>
      <c r="Z68" s="507">
        <f>IF(OR(X68=1, W68="Prospective"), 0, 'ESPO Calculator'!$D$48)</f>
        <v>0</v>
      </c>
      <c r="AA68" s="507">
        <f>Y68+Z68*IF('Sys Admin'!K38 &lt;&gt; 0, (12 - 'Sys Admin'!K38), 12)</f>
        <v>0</v>
      </c>
    </row>
    <row r="69" spans="2:27">
      <c r="B69" s="107"/>
      <c r="C69" s="107"/>
      <c r="D69" s="107"/>
      <c r="E69" s="107"/>
      <c r="F69" s="107"/>
      <c r="N69" s="448" t="str">
        <f t="shared" ref="N69:N70" si="21">O69&amp;P69</f>
        <v>ActiveNone</v>
      </c>
      <c r="O69" s="448" t="s">
        <v>8</v>
      </c>
      <c r="P69" s="448" t="s">
        <v>192</v>
      </c>
      <c r="Q69" s="489">
        <f>'Enablement Services '!C72</f>
        <v>0</v>
      </c>
      <c r="U69" s="9" t="str">
        <f t="shared" si="18"/>
        <v>STAR</v>
      </c>
      <c r="V69" s="486" t="str">
        <f>Inputs!C29</f>
        <v>Prospective</v>
      </c>
      <c r="W69" s="9" t="str">
        <f>'Sys Admin'!I39</f>
        <v>Prospective</v>
      </c>
      <c r="X69" s="593">
        <f>IF(AND(V69="Active",W69="Export/Retirement"),1,IF(OR(W69="Prospective",V69="Active"),0,1))</f>
        <v>0</v>
      </c>
      <c r="Y69" s="507">
        <f>IF(W69="Prospective", 0, 'ESPO Calculator'!$B$41)</f>
        <v>0</v>
      </c>
      <c r="Z69" s="507">
        <f>IF(OR(X69=1, W69="Prospective"), 0, 'ESPO Calculator'!$D$48)</f>
        <v>0</v>
      </c>
      <c r="AA69" s="507">
        <f>Y69+Z69*IF('Sys Admin'!K39 &lt;&gt; 0, (12 - 'Sys Admin'!K39), 12)</f>
        <v>0</v>
      </c>
    </row>
    <row r="70" spans="2:27" ht="14.65" thickBot="1">
      <c r="B70" s="107"/>
      <c r="C70" s="107"/>
      <c r="D70" s="107"/>
      <c r="E70" s="107"/>
      <c r="F70" s="107"/>
      <c r="N70" s="448" t="str">
        <f t="shared" si="21"/>
        <v>ProspectiveNone</v>
      </c>
      <c r="O70" s="448" t="s">
        <v>67</v>
      </c>
      <c r="P70" s="448" t="s">
        <v>192</v>
      </c>
      <c r="Q70" s="489">
        <v>0</v>
      </c>
      <c r="U70" s="9" t="str">
        <f t="shared" si="18"/>
        <v>T-PLAT</v>
      </c>
      <c r="V70" s="486" t="str">
        <f>Inputs!C30</f>
        <v>Prospective</v>
      </c>
      <c r="W70" s="9" t="str">
        <f>'Sys Admin'!I40</f>
        <v>Prospective</v>
      </c>
      <c r="X70" s="593">
        <f>IF(AND(V70="Active",W70="Export/Retirement"),1,IF(OR(W70="Prospective",V70="Active"),0,1))</f>
        <v>0</v>
      </c>
      <c r="Y70" s="507">
        <f>IF(W70="Prospective", 0, 'ESPO Calculator'!$B$41)</f>
        <v>0</v>
      </c>
      <c r="Z70" s="507">
        <f>IF(OR(X70=1, W70="Prospective"), 0, 'ESPO Calculator'!$D$48)</f>
        <v>0</v>
      </c>
      <c r="AA70" s="507">
        <f>Y70+Z70*IF('Sys Admin'!K40 &lt;&gt; 0, (12 - 'Sys Admin'!K40), 12)</f>
        <v>0</v>
      </c>
    </row>
    <row r="71" spans="2:27">
      <c r="B71" s="107"/>
      <c r="C71" s="107"/>
      <c r="D71" s="107"/>
      <c r="E71" s="107"/>
      <c r="F71" s="107"/>
      <c r="N71" s="516"/>
      <c r="O71" s="517"/>
      <c r="P71" s="517" t="s">
        <v>198</v>
      </c>
      <c r="Q71" s="540">
        <f>'ESPO Calculator'!B77</f>
        <v>720000</v>
      </c>
      <c r="U71" s="600" t="str">
        <f t="shared" si="18"/>
        <v>New Project 1</v>
      </c>
      <c r="V71" s="603"/>
      <c r="W71" s="600" t="str">
        <f>'Sys Admin'!I43</f>
        <v>Prospective</v>
      </c>
      <c r="X71" s="601">
        <f>IF(W71="Prospective", 0, 1)</f>
        <v>0</v>
      </c>
      <c r="Y71" s="602">
        <f>IF(W71="Prospective", 0, 'ESPO Calculator'!$B$41)</f>
        <v>0</v>
      </c>
      <c r="Z71" s="602">
        <f>IF(OR(X71=1, W71="Prospective"), 0, 'ESPO Calculator'!$D$48)</f>
        <v>0</v>
      </c>
      <c r="AA71" s="602">
        <f>Y71+Z71*IF('Sys Admin'!K43 &lt;&gt; 0, (12 - 'Sys Admin'!K43), 12)</f>
        <v>0</v>
      </c>
    </row>
    <row r="72" spans="2:27">
      <c r="B72" s="107"/>
      <c r="C72" s="107"/>
      <c r="D72" s="588" t="e">
        <f>SUM(C64:C68)</f>
        <v>#REF!</v>
      </c>
      <c r="E72" s="107"/>
      <c r="F72" s="107"/>
      <c r="N72" s="519"/>
      <c r="O72" s="515"/>
      <c r="P72" s="515" t="s">
        <v>199</v>
      </c>
      <c r="Q72" s="541">
        <f>'ESPO Calculator'!B60</f>
        <v>261000</v>
      </c>
      <c r="U72" s="600" t="str">
        <f t="shared" si="18"/>
        <v>New Project 2</v>
      </c>
      <c r="V72" s="603"/>
      <c r="W72" s="600" t="str">
        <f>'Sys Admin'!I44</f>
        <v>Prospective</v>
      </c>
      <c r="X72" s="601">
        <f t="shared" ref="X72:X85" si="22">IF(W72="Prospective", 0, 1)</f>
        <v>0</v>
      </c>
      <c r="Y72" s="602">
        <f>IF(W72="Prospective", 0, 'ESPO Calculator'!$B$41)</f>
        <v>0</v>
      </c>
      <c r="Z72" s="602">
        <f>IF(OR(X72=1, W72="Prospective"), 0, 'ESPO Calculator'!$D$48)</f>
        <v>0</v>
      </c>
      <c r="AA72" s="602">
        <f>Y72+Z72*IF('Sys Admin'!K44 &lt;&gt; 0, (12 - 'Sys Admin'!K44), 12)</f>
        <v>0</v>
      </c>
    </row>
    <row r="73" spans="2:27">
      <c r="B73" s="107"/>
      <c r="C73" s="107"/>
      <c r="D73" s="589" t="e">
        <f>D72/2</f>
        <v>#REF!</v>
      </c>
      <c r="E73" s="107"/>
      <c r="F73" s="107"/>
      <c r="N73" s="519"/>
      <c r="O73" s="515"/>
      <c r="P73" s="515" t="s">
        <v>575</v>
      </c>
      <c r="Q73" s="541">
        <f>'Custom ESPO Selection'!B34</f>
        <v>0</v>
      </c>
      <c r="R73" s="65"/>
      <c r="U73" s="600" t="str">
        <f t="shared" si="18"/>
        <v>New Project 3</v>
      </c>
      <c r="V73" s="603"/>
      <c r="W73" s="600" t="str">
        <f>'Sys Admin'!I45</f>
        <v>Prospective</v>
      </c>
      <c r="X73" s="601">
        <f t="shared" si="22"/>
        <v>0</v>
      </c>
      <c r="Y73" s="602">
        <f>IF(W73="Prospective", 0, 'ESPO Calculator'!$B$41)</f>
        <v>0</v>
      </c>
      <c r="Z73" s="602">
        <f>IF(OR(X73=1, W73="Prospective"), 0, 'ESPO Calculator'!$D$48)</f>
        <v>0</v>
      </c>
      <c r="AA73" s="602">
        <f>Y73+Z73*IF('Sys Admin'!K45 &lt;&gt; 0, (12 - 'Sys Admin'!K45), 12)</f>
        <v>0</v>
      </c>
    </row>
    <row r="74" spans="2:27" ht="14.65" thickBot="1">
      <c r="C74" s="449"/>
      <c r="N74" s="521"/>
      <c r="O74" s="522"/>
      <c r="P74" s="522" t="s">
        <v>192</v>
      </c>
      <c r="Q74" s="542">
        <v>0</v>
      </c>
      <c r="R74" s="478"/>
      <c r="U74" s="600" t="str">
        <f t="shared" si="18"/>
        <v>New Project 4</v>
      </c>
      <c r="V74" s="603"/>
      <c r="W74" s="600" t="str">
        <f>'Sys Admin'!I46</f>
        <v>Prospective</v>
      </c>
      <c r="X74" s="601">
        <f t="shared" si="22"/>
        <v>0</v>
      </c>
      <c r="Y74" s="602">
        <f>IF(W74="Prospective", 0, 'ESPO Calculator'!$B$41)</f>
        <v>0</v>
      </c>
      <c r="Z74" s="602">
        <f>IF(OR(X74=1, W74="Prospective"), 0, 'ESPO Calculator'!$D$48)</f>
        <v>0</v>
      </c>
      <c r="AA74" s="602">
        <f>Y74+Z74*IF('Sys Admin'!K46 &lt;&gt; 0, (12 - 'Sys Admin'!K46), 12)</f>
        <v>0</v>
      </c>
    </row>
    <row r="75" spans="2:27">
      <c r="C75" s="449"/>
      <c r="R75" s="478"/>
      <c r="U75" s="600" t="str">
        <f t="shared" si="18"/>
        <v>New Project 5</v>
      </c>
      <c r="V75" s="603"/>
      <c r="W75" s="600" t="str">
        <f>'Sys Admin'!I47</f>
        <v>Prospective</v>
      </c>
      <c r="X75" s="601">
        <f t="shared" si="22"/>
        <v>0</v>
      </c>
      <c r="Y75" s="602">
        <f>IF(W75="Prospective", 0, 'ESPO Calculator'!$B$41)</f>
        <v>0</v>
      </c>
      <c r="Z75" s="602">
        <f>IF(OR(X75=1, W75="Prospective"), 0, 'ESPO Calculator'!$D$48)</f>
        <v>0</v>
      </c>
      <c r="AA75" s="602">
        <f>Y75+Z75*IF('Sys Admin'!K47 &lt;&gt; 0, (12 - 'Sys Admin'!K47), 12)</f>
        <v>0</v>
      </c>
    </row>
    <row r="76" spans="2:27">
      <c r="R76" s="478"/>
      <c r="U76" s="600" t="str">
        <f t="shared" si="18"/>
        <v>New Project 6</v>
      </c>
      <c r="V76" s="603"/>
      <c r="W76" s="600" t="str">
        <f>'Sys Admin'!I48</f>
        <v>Prospective</v>
      </c>
      <c r="X76" s="601">
        <f t="shared" si="22"/>
        <v>0</v>
      </c>
      <c r="Y76" s="602">
        <f>IF(W76="Prospective", 0, 'ESPO Calculator'!$B$41)</f>
        <v>0</v>
      </c>
      <c r="Z76" s="602">
        <f>IF(OR(X76=1, W76="Prospective"), 0, 'ESPO Calculator'!$D$48)</f>
        <v>0</v>
      </c>
      <c r="AA76" s="602">
        <f>Y76+Z76*IF('Sys Admin'!K48 &lt;&gt; 0, (12 - 'Sys Admin'!K48), 12)</f>
        <v>0</v>
      </c>
    </row>
    <row r="77" spans="2:27" ht="14.65" thickBot="1">
      <c r="E77" s="50"/>
      <c r="F77" s="50"/>
      <c r="G77" s="50"/>
      <c r="H77" s="50"/>
      <c r="I77" s="50"/>
      <c r="J77" s="50"/>
      <c r="K77" s="50"/>
      <c r="L77" s="50"/>
      <c r="M77" s="50"/>
      <c r="R77" s="478"/>
      <c r="U77" s="600" t="str">
        <f t="shared" si="18"/>
        <v>New Project 7</v>
      </c>
      <c r="V77" s="603"/>
      <c r="W77" s="600" t="str">
        <f>'Sys Admin'!I49</f>
        <v>Prospective</v>
      </c>
      <c r="X77" s="601">
        <f t="shared" si="22"/>
        <v>0</v>
      </c>
      <c r="Y77" s="602">
        <f>IF(W77="Prospective", 0, 'ESPO Calculator'!$B$41)</f>
        <v>0</v>
      </c>
      <c r="Z77" s="602">
        <f>IF(OR(X77=1, W77="Prospective"), 0, 'ESPO Calculator'!$D$48)</f>
        <v>0</v>
      </c>
      <c r="AA77" s="602">
        <f>Y77+Z77*IF('Sys Admin'!K49 &lt;&gt; 0, (12 - 'Sys Admin'!K49), 12)</f>
        <v>0</v>
      </c>
    </row>
    <row r="78" spans="2:27">
      <c r="E78" s="50"/>
      <c r="F78" s="548" t="s">
        <v>332</v>
      </c>
      <c r="G78" s="549" t="s">
        <v>330</v>
      </c>
      <c r="H78" s="549" t="s">
        <v>331</v>
      </c>
      <c r="I78" s="549" t="s">
        <v>252</v>
      </c>
      <c r="J78" s="549" t="s">
        <v>335</v>
      </c>
      <c r="K78" s="549" t="s">
        <v>12</v>
      </c>
      <c r="L78" s="550" t="s">
        <v>336</v>
      </c>
      <c r="M78" s="50"/>
      <c r="R78" s="478"/>
      <c r="U78" s="600" t="str">
        <f t="shared" si="18"/>
        <v>New Project 8</v>
      </c>
      <c r="V78" s="603"/>
      <c r="W78" s="600" t="str">
        <f>'Sys Admin'!I50</f>
        <v>Prospective</v>
      </c>
      <c r="X78" s="601">
        <f t="shared" si="22"/>
        <v>0</v>
      </c>
      <c r="Y78" s="602">
        <f>IF(W78="Prospective", 0, 'ESPO Calculator'!$B$41)</f>
        <v>0</v>
      </c>
      <c r="Z78" s="602">
        <f>IF(OR(X78=1, W78="Prospective"), 0, 'ESPO Calculator'!$D$48)</f>
        <v>0</v>
      </c>
      <c r="AA78" s="602">
        <f>Y78+Z78*IF('Sys Admin'!K50 &lt;&gt; 0, (12 - 'Sys Admin'!K50), 12)</f>
        <v>0</v>
      </c>
    </row>
    <row r="79" spans="2:27">
      <c r="E79" s="50"/>
      <c r="F79" s="551" t="s">
        <v>83</v>
      </c>
      <c r="G79" s="552" t="s">
        <v>83</v>
      </c>
      <c r="H79" s="552"/>
      <c r="I79" s="553">
        <v>0</v>
      </c>
      <c r="J79" s="553">
        <v>0</v>
      </c>
      <c r="K79" s="553">
        <f>L49</f>
        <v>1</v>
      </c>
      <c r="L79" s="554">
        <f>L56</f>
        <v>1</v>
      </c>
      <c r="M79" s="50"/>
      <c r="R79" s="478"/>
      <c r="U79" s="600" t="str">
        <f t="shared" si="18"/>
        <v>New Project 9</v>
      </c>
      <c r="V79" s="603"/>
      <c r="W79" s="600" t="str">
        <f>'Sys Admin'!I51</f>
        <v>Prospective</v>
      </c>
      <c r="X79" s="601">
        <f t="shared" si="22"/>
        <v>0</v>
      </c>
      <c r="Y79" s="602">
        <f>IF(W79="Prospective", 0, 'ESPO Calculator'!$B$41)</f>
        <v>0</v>
      </c>
      <c r="Z79" s="602">
        <f>IF(OR(X79=1, W79="Prospective"), 0, 'ESPO Calculator'!$D$48)</f>
        <v>0</v>
      </c>
      <c r="AA79" s="602">
        <f>Y79+Z79*IF('Sys Admin'!K51 &lt;&gt; 0, (12 - 'Sys Admin'!K51), 12)</f>
        <v>0</v>
      </c>
    </row>
    <row r="80" spans="2:27">
      <c r="E80" s="50"/>
      <c r="F80" s="551" t="s">
        <v>30</v>
      </c>
      <c r="G80" s="552" t="s">
        <v>30</v>
      </c>
      <c r="H80" s="552"/>
      <c r="I80" s="553">
        <v>0</v>
      </c>
      <c r="J80" s="553">
        <v>0</v>
      </c>
      <c r="K80" s="553">
        <f>L50</f>
        <v>1</v>
      </c>
      <c r="L80" s="554">
        <f>L57</f>
        <v>1</v>
      </c>
      <c r="M80" s="50"/>
      <c r="R80" s="478"/>
      <c r="U80" s="600" t="str">
        <f t="shared" si="18"/>
        <v>New Project 10</v>
      </c>
      <c r="V80" s="603"/>
      <c r="W80" s="600" t="str">
        <f>'Sys Admin'!I52</f>
        <v>Prospective</v>
      </c>
      <c r="X80" s="601">
        <f t="shared" si="22"/>
        <v>0</v>
      </c>
      <c r="Y80" s="602">
        <f>IF(W80="Prospective", 0, 'ESPO Calculator'!$B$41)</f>
        <v>0</v>
      </c>
      <c r="Z80" s="602">
        <f>IF(OR(X80=1, W80="Prospective"), 0, 'ESPO Calculator'!$D$48)</f>
        <v>0</v>
      </c>
      <c r="AA80" s="602">
        <f>Y80+Z80*IF('Sys Admin'!K52 &lt;&gt; 0, (12 - 'Sys Admin'!K52), 12)</f>
        <v>0</v>
      </c>
    </row>
    <row r="81" spans="5:27">
      <c r="E81" s="50"/>
      <c r="F81" s="551" t="s">
        <v>628</v>
      </c>
      <c r="G81" s="552" t="s">
        <v>8</v>
      </c>
      <c r="H81" s="552" t="s">
        <v>31</v>
      </c>
      <c r="I81" s="553">
        <v>3038.1507272812009</v>
      </c>
      <c r="J81" s="553">
        <v>555.1686575581781</v>
      </c>
      <c r="K81" s="553">
        <f>L51</f>
        <v>6471.3719999999994</v>
      </c>
      <c r="L81" s="554">
        <f>L58</f>
        <v>1190.0371120000002</v>
      </c>
      <c r="M81" s="50"/>
      <c r="R81" s="478"/>
      <c r="U81" s="600" t="str">
        <f t="shared" si="18"/>
        <v>New Project 11</v>
      </c>
      <c r="V81" s="603"/>
      <c r="W81" s="600" t="str">
        <f>'Sys Admin'!I53</f>
        <v>Prospective</v>
      </c>
      <c r="X81" s="601">
        <f t="shared" si="22"/>
        <v>0</v>
      </c>
      <c r="Y81" s="602">
        <f>IF(W81="Prospective", 0, 'ESPO Calculator'!$B$41)</f>
        <v>0</v>
      </c>
      <c r="Z81" s="602">
        <f>IF(OR(X81=1, W81="Prospective"), 0, 'ESPO Calculator'!$D$48)</f>
        <v>0</v>
      </c>
      <c r="AA81" s="602">
        <f>Y81+Z81*IF('Sys Admin'!K53 &lt;&gt; 0, (12 - 'Sys Admin'!K53), 12)</f>
        <v>0</v>
      </c>
    </row>
    <row r="82" spans="5:27">
      <c r="E82" s="50"/>
      <c r="F82" s="551" t="s">
        <v>629</v>
      </c>
      <c r="G82" s="552" t="s">
        <v>8</v>
      </c>
      <c r="H82" s="552" t="s">
        <v>32</v>
      </c>
      <c r="I82" s="553">
        <v>1323.3980250723589</v>
      </c>
      <c r="J82" s="553">
        <v>388.61806029072471</v>
      </c>
      <c r="K82" s="553">
        <f>L51</f>
        <v>6471.3719999999994</v>
      </c>
      <c r="L82" s="554">
        <f>L58</f>
        <v>1190.0371120000002</v>
      </c>
      <c r="M82" s="50"/>
      <c r="R82" s="478"/>
      <c r="U82" s="600" t="str">
        <f t="shared" si="18"/>
        <v>New Project 12</v>
      </c>
      <c r="V82" s="603"/>
      <c r="W82" s="600" t="str">
        <f>'Sys Admin'!I54</f>
        <v>Prospective</v>
      </c>
      <c r="X82" s="601">
        <f t="shared" si="22"/>
        <v>0</v>
      </c>
      <c r="Y82" s="602">
        <f>IF(W82="Prospective", 0, 'ESPO Calculator'!$B$41)</f>
        <v>0</v>
      </c>
      <c r="Z82" s="602">
        <f>IF(OR(X82=1, W82="Prospective"), 0, 'ESPO Calculator'!$D$48)</f>
        <v>0</v>
      </c>
      <c r="AA82" s="602">
        <f>Y82+Z82*IF('Sys Admin'!K54 &lt;&gt; 0, (12 - 'Sys Admin'!K54), 12)</f>
        <v>0</v>
      </c>
    </row>
    <row r="83" spans="5:27">
      <c r="E83" s="50"/>
      <c r="F83" s="551" t="s">
        <v>630</v>
      </c>
      <c r="G83" s="552" t="s">
        <v>8</v>
      </c>
      <c r="H83" s="552" t="s">
        <v>33</v>
      </c>
      <c r="I83" s="553">
        <v>708.63974808201408</v>
      </c>
      <c r="J83" s="553">
        <v>204.02448165263047</v>
      </c>
      <c r="K83" s="553">
        <f>L51</f>
        <v>6471.3719999999994</v>
      </c>
      <c r="L83" s="554">
        <f>L58</f>
        <v>1190.0371120000002</v>
      </c>
      <c r="M83" s="50"/>
      <c r="R83" s="478"/>
      <c r="U83" s="600" t="str">
        <f t="shared" si="18"/>
        <v>New Project 13</v>
      </c>
      <c r="V83" s="603"/>
      <c r="W83" s="600" t="str">
        <f>'Sys Admin'!I55</f>
        <v>Prospective</v>
      </c>
      <c r="X83" s="601">
        <f t="shared" si="22"/>
        <v>0</v>
      </c>
      <c r="Y83" s="602">
        <f>IF(W83="Prospective", 0, 'ESPO Calculator'!$B$41)</f>
        <v>0</v>
      </c>
      <c r="Z83" s="602">
        <f>IF(OR(X83=1, W83="Prospective"), 0, 'ESPO Calculator'!$D$48)</f>
        <v>0</v>
      </c>
      <c r="AA83" s="602">
        <f>Y83+Z83*IF('Sys Admin'!K55 &lt;&gt; 0, (12 - 'Sys Admin'!K55), 12)</f>
        <v>0</v>
      </c>
    </row>
    <row r="84" spans="5:27" ht="14.65" thickBot="1">
      <c r="E84" s="50"/>
      <c r="F84" s="555" t="s">
        <v>84</v>
      </c>
      <c r="G84" s="556"/>
      <c r="H84" s="556"/>
      <c r="I84" s="557">
        <v>0</v>
      </c>
      <c r="J84" s="557">
        <v>0</v>
      </c>
      <c r="K84" s="558">
        <f>L52</f>
        <v>1</v>
      </c>
      <c r="L84" s="559">
        <f>L59</f>
        <v>1</v>
      </c>
      <c r="M84" s="65"/>
      <c r="R84" s="478"/>
      <c r="U84" s="600" t="str">
        <f t="shared" si="18"/>
        <v>New Project 14</v>
      </c>
      <c r="V84" s="603"/>
      <c r="W84" s="600" t="str">
        <f>'Sys Admin'!I56</f>
        <v>Prospective</v>
      </c>
      <c r="X84" s="601">
        <f t="shared" si="22"/>
        <v>0</v>
      </c>
      <c r="Y84" s="602">
        <f>IF(W84="Prospective", 0, 'ESPO Calculator'!$B$41)</f>
        <v>0</v>
      </c>
      <c r="Z84" s="602">
        <f>IF(OR(X84=1, W84="Prospective"), 0, 'ESPO Calculator'!$D$48)</f>
        <v>0</v>
      </c>
      <c r="AA84" s="602">
        <f>Y84+Z84*IF('Sys Admin'!K56 &lt;&gt; 0, (12 - 'Sys Admin'!K56), 12)</f>
        <v>0</v>
      </c>
    </row>
    <row r="85" spans="5:27">
      <c r="E85" s="50"/>
      <c r="F85" s="50"/>
      <c r="G85" s="50"/>
      <c r="H85" s="50"/>
      <c r="I85" s="50"/>
      <c r="J85" s="50"/>
      <c r="K85" s="490"/>
      <c r="L85" s="50"/>
      <c r="M85" s="50"/>
      <c r="R85" s="478"/>
      <c r="U85" s="600" t="str">
        <f t="shared" si="18"/>
        <v>New Project 15</v>
      </c>
      <c r="V85" s="603"/>
      <c r="W85" s="600" t="str">
        <f>'Sys Admin'!I57</f>
        <v>Prospective</v>
      </c>
      <c r="X85" s="601">
        <f t="shared" si="22"/>
        <v>0</v>
      </c>
      <c r="Y85" s="602">
        <f>IF(W85="Prospective", 0, 'ESPO Calculator'!$B$41)</f>
        <v>0</v>
      </c>
      <c r="Z85" s="602">
        <f>IF(OR(X85=1, W85="Prospective"), 0, 'ESPO Calculator'!$D$48)</f>
        <v>0</v>
      </c>
      <c r="AA85" s="602">
        <f>Y85+Z85*IF('Sys Admin'!K57 &lt;&gt; 0, (12 - 'Sys Admin'!K57), 12)</f>
        <v>0</v>
      </c>
    </row>
    <row r="86" spans="5:27">
      <c r="E86" s="50"/>
      <c r="F86" s="50"/>
      <c r="G86" s="50"/>
      <c r="H86" s="50"/>
      <c r="I86" s="50"/>
      <c r="J86" s="50"/>
      <c r="K86" s="50"/>
      <c r="L86" s="50"/>
      <c r="M86" s="50"/>
      <c r="R86" s="478"/>
      <c r="AA86" s="145">
        <f>SUM(AA54:AA85)</f>
        <v>864000</v>
      </c>
    </row>
    <row r="87" spans="5:27">
      <c r="R87" s="478"/>
    </row>
    <row r="88" spans="5:27">
      <c r="R88" s="478"/>
    </row>
    <row r="89" spans="5:27">
      <c r="R89" s="478"/>
    </row>
    <row r="90" spans="5:27">
      <c r="R90" s="478"/>
    </row>
    <row r="91" spans="5:27">
      <c r="R91" s="478"/>
    </row>
    <row r="92" spans="5:27">
      <c r="R92" s="478"/>
    </row>
    <row r="93" spans="5:27">
      <c r="R93" s="478"/>
    </row>
  </sheetData>
  <sheetProtection algorithmName="SHA-512" hashValue="5/StqdWFcmVxKUI402wnU4bTBw5Oq89AQpAFZjWBtR7ynLsLIkKhPHfYTr6ScVN7PJKXXBxyqgE3152KJVGsnw==" saltValue="cbWguqJyyD1wttAM7U6B6w==" spinCount="100000" sheet="1" objects="1" scenarios="1" selectLockedCells="1" selectUnlockedCells="1"/>
  <mergeCells count="5">
    <mergeCell ref="E38:I38"/>
    <mergeCell ref="Z2:AD2"/>
    <mergeCell ref="A3:D3"/>
    <mergeCell ref="E3:I3"/>
    <mergeCell ref="J3:N3"/>
  </mergeCells>
  <pageMargins left="0.7" right="0.7" top="0.75" bottom="0.75" header="0.3" footer="0.3"/>
  <pageSetup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AE116"/>
  <sheetViews>
    <sheetView topLeftCell="A22" zoomScale="70" zoomScaleNormal="70" workbookViewId="0">
      <selection activeCell="F53" sqref="F53"/>
    </sheetView>
  </sheetViews>
  <sheetFormatPr defaultRowHeight="14.25"/>
  <cols>
    <col min="1" max="1" width="25.73046875" bestFit="1" customWidth="1"/>
    <col min="2" max="2" width="18.86328125" bestFit="1" customWidth="1"/>
    <col min="3" max="3" width="18.86328125" customWidth="1"/>
    <col min="4" max="4" width="18.3984375" bestFit="1" customWidth="1"/>
    <col min="5" max="5" width="16.265625" bestFit="1" customWidth="1"/>
    <col min="6" max="6" width="16.86328125" bestFit="1" customWidth="1"/>
    <col min="7" max="7" width="12.86328125" bestFit="1" customWidth="1"/>
    <col min="8" max="8" width="15.1328125" bestFit="1" customWidth="1"/>
    <col min="9" max="9" width="16.73046875" bestFit="1" customWidth="1"/>
    <col min="10" max="10" width="16.265625" bestFit="1" customWidth="1"/>
    <col min="11" max="11" width="16.86328125" bestFit="1" customWidth="1"/>
    <col min="12" max="12" width="12.86328125" bestFit="1" customWidth="1"/>
    <col min="13" max="13" width="12.1328125" bestFit="1" customWidth="1"/>
    <col min="14" max="14" width="29.73046875" customWidth="1"/>
    <col min="15" max="15" width="18.73046875" bestFit="1" customWidth="1"/>
    <col min="16" max="16" width="15.73046875" customWidth="1"/>
    <col min="17" max="17" width="26.86328125" bestFit="1" customWidth="1"/>
    <col min="18" max="18" width="23.265625" customWidth="1"/>
    <col min="19" max="19" width="11.59765625" bestFit="1" customWidth="1"/>
    <col min="20" max="22" width="24.1328125" customWidth="1"/>
    <col min="23" max="23" width="26.1328125" customWidth="1"/>
    <col min="24" max="25" width="24.1328125" customWidth="1"/>
    <col min="26" max="26" width="23.73046875" customWidth="1"/>
    <col min="27" max="27" width="18.86328125" customWidth="1"/>
    <col min="28" max="29" width="21.1328125" customWidth="1"/>
    <col min="30" max="30" width="22.265625" customWidth="1"/>
    <col min="31" max="31" width="13.3984375" bestFit="1" customWidth="1"/>
  </cols>
  <sheetData>
    <row r="1" spans="1:31">
      <c r="A1" t="s">
        <v>16</v>
      </c>
    </row>
    <row r="2" spans="1:31" ht="14.65" thickBot="1">
      <c r="T2" s="149"/>
      <c r="U2" s="149"/>
      <c r="V2" s="149"/>
      <c r="W2" s="149"/>
      <c r="X2" s="149"/>
      <c r="Y2" s="149"/>
      <c r="Z2" s="824" t="s">
        <v>322</v>
      </c>
      <c r="AA2" s="824"/>
      <c r="AB2" s="824"/>
      <c r="AC2" s="824"/>
      <c r="AD2" s="824"/>
    </row>
    <row r="3" spans="1:31" ht="14.65" thickBot="1">
      <c r="A3" s="825" t="str">
        <f>Inputs!A12</f>
        <v>Project Tables (Update Monthly from Dashboard)</v>
      </c>
      <c r="B3" s="826"/>
      <c r="C3" s="826"/>
      <c r="D3" s="827"/>
      <c r="E3" s="828" t="str">
        <f>Inputs!D12</f>
        <v>Previous Month</v>
      </c>
      <c r="F3" s="829"/>
      <c r="G3" s="829"/>
      <c r="H3" s="830"/>
      <c r="I3" s="831"/>
      <c r="J3" s="832" t="str">
        <f>Inputs!I12</f>
        <v>3-Month Rolling Average</v>
      </c>
      <c r="K3" s="829"/>
      <c r="L3" s="829"/>
      <c r="M3" s="829"/>
      <c r="N3" s="830"/>
      <c r="O3" s="583" t="str">
        <f>Inputs!N12</f>
        <v>Project Cost to Date</v>
      </c>
      <c r="P3" s="583" t="str">
        <f>Inputs!O12</f>
        <v>Number of current analysts</v>
      </c>
      <c r="Q3" s="583" t="str">
        <f>Inputs!P12</f>
        <v>Current Level of Enablement</v>
      </c>
      <c r="R3" s="583" t="str">
        <f>Inputs!Q12</f>
        <v>MoM Growth Rate in Costs</v>
      </c>
      <c r="S3" s="583" t="str">
        <f>Inputs!R12</f>
        <v xml:space="preserve">Annual Cost </v>
      </c>
      <c r="T3" t="s">
        <v>317</v>
      </c>
      <c r="U3" t="s">
        <v>327</v>
      </c>
      <c r="V3" t="s">
        <v>310</v>
      </c>
      <c r="W3" t="s">
        <v>329</v>
      </c>
      <c r="X3" t="s">
        <v>17</v>
      </c>
      <c r="Y3" t="s">
        <v>333</v>
      </c>
      <c r="Z3" t="s">
        <v>318</v>
      </c>
      <c r="AA3" t="s">
        <v>320</v>
      </c>
      <c r="AB3" t="s">
        <v>319</v>
      </c>
      <c r="AC3" t="s">
        <v>609</v>
      </c>
      <c r="AD3" t="s">
        <v>321</v>
      </c>
      <c r="AE3" t="s">
        <v>40</v>
      </c>
    </row>
    <row r="4" spans="1:31">
      <c r="A4" s="44" t="str">
        <f>Inputs!A13</f>
        <v>Project List</v>
      </c>
      <c r="B4" s="44" t="str">
        <f>Inputs!B13</f>
        <v>Remaining Duration</v>
      </c>
      <c r="C4" s="44" t="s">
        <v>328</v>
      </c>
      <c r="D4" s="44" t="str">
        <f>Inputs!C13</f>
        <v>Current Phase</v>
      </c>
      <c r="E4" s="44" t="str">
        <f>Inputs!D13</f>
        <v>Enablement Cost</v>
      </c>
      <c r="F4" s="44" t="str">
        <f>Inputs!E13</f>
        <v>Data Related Cost</v>
      </c>
      <c r="G4" s="44" t="str">
        <f>Inputs!F13</f>
        <v>Analysts Cost</v>
      </c>
      <c r="H4" s="44" t="str">
        <f>Inputs!G13</f>
        <v>Overhead Costs</v>
      </c>
      <c r="I4" s="44" t="str">
        <f>Inputs!H13</f>
        <v>Platform Services</v>
      </c>
      <c r="J4" s="44" t="str">
        <f>Inputs!I13</f>
        <v>Enablement Cost</v>
      </c>
      <c r="K4" s="44" t="str">
        <f>Inputs!J13</f>
        <v>Data Related Cost</v>
      </c>
      <c r="L4" s="44" t="str">
        <f>Inputs!K13</f>
        <v>Analysts Cost</v>
      </c>
      <c r="M4" s="44" t="str">
        <f>Inputs!L13</f>
        <v>Overhead</v>
      </c>
      <c r="N4" s="44" t="str">
        <f>Inputs!M13</f>
        <v>Plaftorm Services</v>
      </c>
      <c r="O4" s="44"/>
      <c r="P4" s="44"/>
      <c r="Q4" s="44"/>
      <c r="R4" s="44"/>
      <c r="S4" s="44"/>
      <c r="T4" s="584"/>
      <c r="U4" s="584"/>
      <c r="V4" s="584"/>
      <c r="W4" s="584"/>
      <c r="X4" s="584"/>
      <c r="Y4" s="584"/>
      <c r="Z4" s="584"/>
      <c r="AA4" s="584"/>
      <c r="AB4" s="584"/>
      <c r="AC4" s="584"/>
      <c r="AD4" s="584"/>
      <c r="AE4" s="585"/>
    </row>
    <row r="5" spans="1:31">
      <c r="A5" s="15" t="str">
        <f>Inputs!A14</f>
        <v>CVP-NYC</v>
      </c>
      <c r="B5" s="15">
        <f>Inputs!B14</f>
        <v>12</v>
      </c>
      <c r="C5" s="15" t="s">
        <v>31</v>
      </c>
      <c r="D5" s="15" t="s">
        <v>83</v>
      </c>
      <c r="E5" s="136">
        <f>'Sys Admin Calculation'!E5</f>
        <v>0</v>
      </c>
      <c r="F5" s="136">
        <f>'Sys Admin Calculation'!F5*(1+('Sys Admin'!$O$21/100))</f>
        <v>0</v>
      </c>
      <c r="G5" s="136">
        <f>'Sys Admin Calculation'!G5*(1+('Sys Admin'!$O$21/100))</f>
        <v>0</v>
      </c>
      <c r="H5" s="136">
        <f>'Sys Admin Calculation'!H5</f>
        <v>1348.2025000000001</v>
      </c>
      <c r="I5" s="136">
        <f>'Sys Admin Calculation'!I5</f>
        <v>169.03936250000001</v>
      </c>
      <c r="J5" s="136">
        <f>Inputs!I14</f>
        <v>0</v>
      </c>
      <c r="K5" s="136">
        <f>Inputs!J14</f>
        <v>0</v>
      </c>
      <c r="L5" s="136">
        <f>Inputs!K14</f>
        <v>0</v>
      </c>
      <c r="M5" s="136">
        <f>Inputs!L14</f>
        <v>1348.2025000000001</v>
      </c>
      <c r="N5" s="136">
        <f>Inputs!M14</f>
        <v>169.03936250000001</v>
      </c>
      <c r="O5" s="136">
        <f>Inputs!N14</f>
        <v>20000</v>
      </c>
      <c r="P5" s="136">
        <f>Inputs!O14</f>
        <v>5</v>
      </c>
      <c r="Q5" s="136" t="str">
        <f>Inputs!P14</f>
        <v>None</v>
      </c>
      <c r="R5" s="136">
        <f>Inputs!Q14</f>
        <v>0</v>
      </c>
      <c r="S5" s="136">
        <f>Inputs!R14</f>
        <v>18206.90235</v>
      </c>
      <c r="T5" s="563" t="str">
        <f>'Sys Admin'!M24</f>
        <v>None</v>
      </c>
      <c r="U5" s="563" t="str">
        <f>'Sys Admin'!O24</f>
        <v>Active</v>
      </c>
      <c r="V5" s="563">
        <f>'Sys Admin'!Q24</f>
        <v>0</v>
      </c>
      <c r="W5" s="490">
        <f>IF(V66=1, VLOOKUP(U5&amp;T5,$N$48:$Q$65,4,FALSE), VLOOKUP(U5&amp;T5,$N$66:$Q$70,4,FALSE))</f>
        <v>0</v>
      </c>
      <c r="X5" s="563">
        <f>IF(U5="Prospective",0,IF(U5="Onboarding",2,IF(U5="Planning/Discovery",2,(12-V5))))</f>
        <v>12</v>
      </c>
      <c r="Y5" s="607">
        <f>IF(AND(V66=1,'Sys Admin Calculation'!X54=0),  VLOOKUP(T5,$P$71:$Q$74,2,FALSE), IF('Sys Admin Calculation Y2'!U5&lt;&gt;"Active", 0, W5*X5))</f>
        <v>0</v>
      </c>
      <c r="Z5" s="50">
        <f>(IF(U5=D5,F5,IF(U5="Prospective",0,IF(U5="Planning/Discovery",0,IF(U5="Onboarding",0,IF(U5="Export/Retirement",0,VLOOKUP(U5&amp;C5,$V$46:$X$48,3,FALSE)))))))*(12-V5)</f>
        <v>24676.080000000002</v>
      </c>
      <c r="AA5" s="50">
        <f>(IF(U5=D5,F5,IF(U5="Prospective",0,IF(U5="Planning/Discovery",0,IF(U5="Onboarding",0,IF(U5="Export/Retirement",0,VLOOKUP(U5&amp;C5,$V$46:$Y$48,4,FALSE)))))))*(12-V5)</f>
        <v>4509.12</v>
      </c>
      <c r="AB5" s="50">
        <f t="shared" ref="AB5:AB21" si="0">IF(U5="Planning/Discovery",$L$49*2,IF(U5="Onboarding",$L$50*2,IF(U5="Active",$L$51*(12-V5),IF(U5="Export/Retirement",$L$52*1, 0))))</f>
        <v>79986.157919999998</v>
      </c>
      <c r="AC5" s="490">
        <f>Y66</f>
        <v>26000</v>
      </c>
      <c r="AD5" s="50">
        <f t="shared" ref="AD5:AD21" si="1">IF(U5="Planning/Discovery",$L$56*2,IF(U5="Onboarding",$L$57*2,IF(U5="Active",$L$58*(12-V5),IF(U5="Export/Retirement",$L$59*2, 0))))</f>
        <v>15578.667647999999</v>
      </c>
      <c r="AE5" s="564">
        <f>SUM(Y5,Z5,AA5,AB5,AC5,AD5)</f>
        <v>150750.02556799998</v>
      </c>
    </row>
    <row r="6" spans="1:31">
      <c r="A6" s="15" t="str">
        <f>Inputs!A15</f>
        <v>CVP-THEA</v>
      </c>
      <c r="B6" s="15">
        <f>Inputs!B15</f>
        <v>12</v>
      </c>
      <c r="C6" s="15" t="s">
        <v>32</v>
      </c>
      <c r="D6" s="15" t="str">
        <f>Inputs!C15</f>
        <v>Active</v>
      </c>
      <c r="E6" s="136">
        <f>'Sys Admin Calculation'!E6</f>
        <v>0</v>
      </c>
      <c r="F6" s="136">
        <f>'Sys Admin Calculation'!F6*(1+('Sys Admin'!$O$21/100))</f>
        <v>23.056000000000004</v>
      </c>
      <c r="G6" s="136">
        <f>'Sys Admin Calculation'!G6*(1+('Sys Admin'!$O$21/100))</f>
        <v>0</v>
      </c>
      <c r="H6" s="136">
        <f>'Sys Admin Calculation'!H6</f>
        <v>7190.413333333333</v>
      </c>
      <c r="I6" s="136">
        <f>'Sys Admin Calculation'!I6</f>
        <v>1202.0576888888891</v>
      </c>
      <c r="J6" s="136">
        <f>Inputs!I15</f>
        <v>0</v>
      </c>
      <c r="K6" s="136">
        <f>Inputs!J15</f>
        <v>477.21333333333337</v>
      </c>
      <c r="L6" s="136">
        <f>Inputs!K15</f>
        <v>0</v>
      </c>
      <c r="M6" s="136">
        <f>Inputs!L15</f>
        <v>7190.413333333333</v>
      </c>
      <c r="N6" s="136">
        <f>Inputs!M15</f>
        <v>1202.0576888888891</v>
      </c>
      <c r="O6" s="136">
        <f>Inputs!N15</f>
        <v>0</v>
      </c>
      <c r="P6" s="136">
        <f>Inputs!O15</f>
        <v>5</v>
      </c>
      <c r="Q6" s="136" t="str">
        <f>Inputs!P15</f>
        <v>None</v>
      </c>
      <c r="R6" s="136">
        <f>Inputs!Q15</f>
        <v>0.04</v>
      </c>
      <c r="S6" s="136">
        <f>Inputs!R15</f>
        <v>100961.17226666668</v>
      </c>
      <c r="T6" s="563" t="str">
        <f>'Sys Admin'!M25</f>
        <v>None</v>
      </c>
      <c r="U6" s="563" t="str">
        <f>'Sys Admin'!O25</f>
        <v>Active</v>
      </c>
      <c r="V6" s="563">
        <f>'Sys Admin'!Q25</f>
        <v>0</v>
      </c>
      <c r="W6" s="490">
        <f t="shared" ref="W6:W21" si="2">IF(V67=1, VLOOKUP(U6&amp;T6,$N$48:$Q$65,4,FALSE), VLOOKUP(U6&amp;T6,$N$66:$Q$70,4,FALSE))</f>
        <v>0</v>
      </c>
      <c r="X6" s="563">
        <f t="shared" ref="X6:X21" si="3">IF(U6="Prospective",0,IF(U6="Onboarding",2,IF(U6="Planning/Discovery",2,(12-V6))))</f>
        <v>12</v>
      </c>
      <c r="Y6" s="490">
        <f>IF(AND(V67=1,'Sys Admin Calculation'!X55=0),  VLOOKUP(T6,$P$71:$Q$74,2,FALSE), IF('Sys Admin Calculation Y2'!U6&lt;&gt;"Active", 0, W6*X6))</f>
        <v>0</v>
      </c>
      <c r="Z6" s="50">
        <f t="shared" ref="Z6:Z21" si="4">(IF(U6=D6,F6,IF(U6="Prospective",0,IF(U6="Planning/Discovery",0,IF(U6="Onboarding",0,IF(U6="Export/Retirement",0,VLOOKUP(U6&amp;C6,$V$46:$X$48,3,FALSE)))))))*(12-V6)</f>
        <v>276.67200000000003</v>
      </c>
      <c r="AA6" s="50">
        <f t="shared" ref="AA6:AA20" si="5">(IF(U6=D6,F6,IF(U6="Prospective",0,IF(U6="Planning/Discovery",0,IF(U6="Onboarding",0,IF(U6="Export/Retirement",0,VLOOKUP(U6&amp;C6,$V$46:$Y$48,4,FALSE)))))))*(12-V6)</f>
        <v>276.67200000000003</v>
      </c>
      <c r="AB6" s="50">
        <f t="shared" si="0"/>
        <v>79986.157919999998</v>
      </c>
      <c r="AC6" s="490">
        <f t="shared" ref="AC6:AC36" si="6">Y67</f>
        <v>26000</v>
      </c>
      <c r="AD6" s="50">
        <f t="shared" si="1"/>
        <v>15578.667647999999</v>
      </c>
      <c r="AE6" s="564">
        <f t="shared" ref="AE6:AE20" si="7">SUM(Y6,Z6,AA6,AB6,AC6,AD6)</f>
        <v>122118.169568</v>
      </c>
    </row>
    <row r="7" spans="1:31">
      <c r="A7" s="15" t="str">
        <f>Inputs!A16</f>
        <v>CVP-WYDOT</v>
      </c>
      <c r="B7" s="15">
        <f>Inputs!B16</f>
        <v>12</v>
      </c>
      <c r="C7" s="15" t="s">
        <v>31</v>
      </c>
      <c r="D7" s="15" t="str">
        <f>Inputs!C16</f>
        <v>Active</v>
      </c>
      <c r="E7" s="136">
        <f>'Sys Admin Calculation'!E7</f>
        <v>0</v>
      </c>
      <c r="F7" s="136">
        <f>'Sys Admin Calculation'!F7*(1+('Sys Admin'!$O$21/100))</f>
        <v>68.233000000000004</v>
      </c>
      <c r="G7" s="136">
        <f>'Sys Admin Calculation'!G7*(1+('Sys Admin'!$O$21/100))</f>
        <v>0</v>
      </c>
      <c r="H7" s="136">
        <f>'Sys Admin Calculation'!H7</f>
        <v>7190.413333333333</v>
      </c>
      <c r="I7" s="136">
        <f>'Sys Admin Calculation'!I7</f>
        <v>1202.0576888888891</v>
      </c>
      <c r="J7" s="136">
        <f>Inputs!I16</f>
        <v>0</v>
      </c>
      <c r="K7" s="136">
        <f>Inputs!J16</f>
        <v>49.360000000000007</v>
      </c>
      <c r="L7" s="136">
        <f>Inputs!K16</f>
        <v>0</v>
      </c>
      <c r="M7" s="136">
        <f>Inputs!L16</f>
        <v>7190.413333333333</v>
      </c>
      <c r="N7" s="136">
        <f>Inputs!M16</f>
        <v>1202.0576888888891</v>
      </c>
      <c r="O7" s="136">
        <f>Inputs!N16</f>
        <v>0</v>
      </c>
      <c r="P7" s="136">
        <f>Inputs!O16</f>
        <v>8</v>
      </c>
      <c r="Q7" s="136" t="str">
        <f>Inputs!P16</f>
        <v>None</v>
      </c>
      <c r="R7" s="136">
        <f>Inputs!Q16</f>
        <v>0.04</v>
      </c>
      <c r="S7" s="136">
        <f>Inputs!R16</f>
        <v>101454.01226666667</v>
      </c>
      <c r="T7" s="563" t="str">
        <f>'Sys Admin'!M26</f>
        <v>None</v>
      </c>
      <c r="U7" s="563" t="str">
        <f>'Sys Admin'!O26</f>
        <v>Active</v>
      </c>
      <c r="V7" s="563">
        <f>'Sys Admin'!Q26</f>
        <v>0</v>
      </c>
      <c r="W7" s="490">
        <f t="shared" si="2"/>
        <v>0</v>
      </c>
      <c r="X7" s="563">
        <f t="shared" si="3"/>
        <v>12</v>
      </c>
      <c r="Y7" s="490">
        <f>IF(AND(V68=1,'Sys Admin Calculation'!X56=0),  VLOOKUP(T7,$P$71:$Q$74,2,FALSE), IF('Sys Admin Calculation Y2'!U7&lt;&gt;"Active", 0, W7*X7))</f>
        <v>0</v>
      </c>
      <c r="Z7" s="50">
        <f t="shared" si="4"/>
        <v>818.79600000000005</v>
      </c>
      <c r="AA7" s="50">
        <f t="shared" si="5"/>
        <v>818.79600000000005</v>
      </c>
      <c r="AB7" s="50">
        <f t="shared" si="0"/>
        <v>79986.157919999998</v>
      </c>
      <c r="AC7" s="490">
        <f t="shared" si="6"/>
        <v>26000</v>
      </c>
      <c r="AD7" s="50">
        <f t="shared" si="1"/>
        <v>15578.667647999999</v>
      </c>
      <c r="AE7" s="564">
        <f t="shared" si="7"/>
        <v>123202.417568</v>
      </c>
    </row>
    <row r="8" spans="1:31">
      <c r="A8" s="15" t="str">
        <f>Inputs!A17</f>
        <v>CVP-Volpe-IE</v>
      </c>
      <c r="B8" s="15">
        <f>Inputs!B17</f>
        <v>12</v>
      </c>
      <c r="C8" s="15" t="s">
        <v>31</v>
      </c>
      <c r="D8" s="15" t="str">
        <f>Inputs!C17</f>
        <v>Active</v>
      </c>
      <c r="E8" s="136">
        <f>'Sys Admin Calculation'!E8</f>
        <v>0</v>
      </c>
      <c r="F8" s="136">
        <f>'Sys Admin Calculation'!F8*(1+('Sys Admin'!$O$21/100))</f>
        <v>0</v>
      </c>
      <c r="G8" s="136">
        <f>'Sys Admin Calculation'!G8*(1+('Sys Admin'!$O$21/100))</f>
        <v>163.06400000000002</v>
      </c>
      <c r="H8" s="136">
        <f>'Sys Admin Calculation'!H8</f>
        <v>7190.413333333333</v>
      </c>
      <c r="I8" s="136">
        <f>'Sys Admin Calculation'!I8</f>
        <v>1202.0576888888891</v>
      </c>
      <c r="J8" s="136">
        <f>Inputs!I17</f>
        <v>0</v>
      </c>
      <c r="K8" s="136">
        <f>Inputs!J17</f>
        <v>0</v>
      </c>
      <c r="L8" s="136">
        <f>Inputs!K17</f>
        <v>170.27333333333334</v>
      </c>
      <c r="M8" s="136">
        <f>Inputs!L17</f>
        <v>7190.413333333333</v>
      </c>
      <c r="N8" s="136">
        <f>Inputs!M17</f>
        <v>1202.0576888888891</v>
      </c>
      <c r="O8" s="136">
        <f>Inputs!N17</f>
        <v>0</v>
      </c>
      <c r="P8" s="136">
        <f>Inputs!O17</f>
        <v>5</v>
      </c>
      <c r="Q8" s="136" t="str">
        <f>Inputs!P17</f>
        <v>None</v>
      </c>
      <c r="R8" s="136">
        <f>Inputs!Q17</f>
        <v>0.04</v>
      </c>
      <c r="S8" s="136">
        <f>Inputs!R17</f>
        <v>102488.53226666666</v>
      </c>
      <c r="T8" s="563" t="str">
        <f>'Sys Admin'!M27</f>
        <v>None</v>
      </c>
      <c r="U8" s="563" t="str">
        <f>'Sys Admin'!O27</f>
        <v>Active</v>
      </c>
      <c r="V8" s="563">
        <f>'Sys Admin'!Q27</f>
        <v>0</v>
      </c>
      <c r="W8" s="490">
        <f t="shared" si="2"/>
        <v>0</v>
      </c>
      <c r="X8" s="563">
        <f t="shared" si="3"/>
        <v>12</v>
      </c>
      <c r="Y8" s="490">
        <f>IF(AND(V69=1,'Sys Admin Calculation'!X57=0),  VLOOKUP(T8,$P$71:$Q$74,2,FALSE), IF('Sys Admin Calculation Y2'!U8&lt;&gt;"Active", 0, W8*X8))</f>
        <v>0</v>
      </c>
      <c r="Z8" s="50">
        <f t="shared" si="4"/>
        <v>0</v>
      </c>
      <c r="AA8" s="50">
        <f t="shared" si="5"/>
        <v>0</v>
      </c>
      <c r="AB8" s="50">
        <f t="shared" si="0"/>
        <v>79986.157919999998</v>
      </c>
      <c r="AC8" s="490">
        <f t="shared" si="6"/>
        <v>26000</v>
      </c>
      <c r="AD8" s="50">
        <f t="shared" si="1"/>
        <v>15578.667647999999</v>
      </c>
      <c r="AE8" s="564">
        <f t="shared" si="7"/>
        <v>121564.825568</v>
      </c>
    </row>
    <row r="9" spans="1:31">
      <c r="A9" s="15" t="str">
        <f>Inputs!A18</f>
        <v>CVP-TTI-IE</v>
      </c>
      <c r="B9" s="15">
        <f>Inputs!B18</f>
        <v>12</v>
      </c>
      <c r="C9" s="15" t="s">
        <v>31</v>
      </c>
      <c r="D9" s="15" t="str">
        <f>Inputs!C18</f>
        <v>Active</v>
      </c>
      <c r="E9" s="136">
        <f>'Sys Admin Calculation'!E9</f>
        <v>0</v>
      </c>
      <c r="F9" s="136">
        <f>'Sys Admin Calculation'!F9*(1+('Sys Admin'!$O$21/100))</f>
        <v>0</v>
      </c>
      <c r="G9" s="136">
        <f>'Sys Admin Calculation'!G9*(1+('Sys Admin'!$O$21/100))</f>
        <v>102.99300000000001</v>
      </c>
      <c r="H9" s="136">
        <f>'Sys Admin Calculation'!H9</f>
        <v>7190.413333333333</v>
      </c>
      <c r="I9" s="136">
        <f>'Sys Admin Calculation'!I9</f>
        <v>1202.0576888888891</v>
      </c>
      <c r="J9" s="136">
        <f>Inputs!I18</f>
        <v>0</v>
      </c>
      <c r="K9" s="136">
        <f>Inputs!J18</f>
        <v>0</v>
      </c>
      <c r="L9" s="136">
        <f>Inputs!K18</f>
        <v>95.11</v>
      </c>
      <c r="M9" s="136">
        <f>Inputs!L18</f>
        <v>7190.413333333333</v>
      </c>
      <c r="N9" s="136">
        <f>Inputs!M18</f>
        <v>1202.0576888888891</v>
      </c>
      <c r="O9" s="136">
        <f>Inputs!N18</f>
        <v>0</v>
      </c>
      <c r="P9" s="136">
        <f>Inputs!O18</f>
        <v>10</v>
      </c>
      <c r="Q9" s="136" t="str">
        <f>Inputs!P18</f>
        <v>None</v>
      </c>
      <c r="R9" s="136">
        <f>Inputs!Q18</f>
        <v>0.04</v>
      </c>
      <c r="S9" s="136">
        <f>Inputs!R18</f>
        <v>101833.21226666665</v>
      </c>
      <c r="T9" s="563" t="str">
        <f>'Sys Admin'!M28</f>
        <v>None</v>
      </c>
      <c r="U9" s="563" t="str">
        <f>'Sys Admin'!O28</f>
        <v>Active</v>
      </c>
      <c r="V9" s="563">
        <f>'Sys Admin'!Q28</f>
        <v>0</v>
      </c>
      <c r="W9" s="490">
        <f t="shared" si="2"/>
        <v>0</v>
      </c>
      <c r="X9" s="563">
        <f t="shared" si="3"/>
        <v>12</v>
      </c>
      <c r="Y9" s="490">
        <f>IF(AND(V70=1,'Sys Admin Calculation'!X58=0),  VLOOKUP(T9,$P$71:$Q$74,2,FALSE), IF('Sys Admin Calculation Y2'!U9&lt;&gt;"Active", 0, W9*X9))</f>
        <v>0</v>
      </c>
      <c r="Z9" s="50">
        <f t="shared" si="4"/>
        <v>0</v>
      </c>
      <c r="AA9" s="50">
        <f t="shared" si="5"/>
        <v>0</v>
      </c>
      <c r="AB9" s="50">
        <f t="shared" si="0"/>
        <v>79986.157919999998</v>
      </c>
      <c r="AC9" s="490">
        <f t="shared" si="6"/>
        <v>26000</v>
      </c>
      <c r="AD9" s="50">
        <f t="shared" si="1"/>
        <v>15578.667647999999</v>
      </c>
      <c r="AE9" s="564">
        <f t="shared" si="7"/>
        <v>121564.825568</v>
      </c>
    </row>
    <row r="10" spans="1:31">
      <c r="A10" s="15" t="str">
        <f>Inputs!A19</f>
        <v>CARMA3-FMCSA</v>
      </c>
      <c r="B10" s="15">
        <f>Inputs!B19</f>
        <v>12</v>
      </c>
      <c r="C10" s="15" t="s">
        <v>32</v>
      </c>
      <c r="D10" s="15" t="str">
        <f>Inputs!C19</f>
        <v>Planning/Discovery</v>
      </c>
      <c r="E10" s="136">
        <f>'Sys Admin Calculation'!E10</f>
        <v>0</v>
      </c>
      <c r="F10" s="136">
        <f>'Sys Admin Calculation'!F10*(1+('Sys Admin'!$O$21/100))</f>
        <v>0</v>
      </c>
      <c r="G10" s="136">
        <f>'Sys Admin Calculation'!G10*(1+('Sys Admin'!$O$21/100))</f>
        <v>0</v>
      </c>
      <c r="H10" s="136">
        <f>'Sys Admin Calculation'!H10</f>
        <v>1348.2025000000001</v>
      </c>
      <c r="I10" s="136">
        <f>'Sys Admin Calculation'!I10</f>
        <v>169.03936250000001</v>
      </c>
      <c r="J10" s="136">
        <f>Inputs!I19</f>
        <v>0</v>
      </c>
      <c r="K10" s="136">
        <f>Inputs!J19</f>
        <v>0</v>
      </c>
      <c r="L10" s="136">
        <f>Inputs!K19</f>
        <v>0</v>
      </c>
      <c r="M10" s="136">
        <f>Inputs!L19</f>
        <v>0</v>
      </c>
      <c r="N10" s="136">
        <f>Inputs!M19</f>
        <v>0</v>
      </c>
      <c r="O10" s="136">
        <f>Inputs!N19</f>
        <v>0</v>
      </c>
      <c r="P10" s="136">
        <f>Inputs!O19</f>
        <v>0</v>
      </c>
      <c r="Q10" s="136" t="str">
        <f>Inputs!P19</f>
        <v>None</v>
      </c>
      <c r="R10" s="136">
        <f>Inputs!Q19</f>
        <v>0</v>
      </c>
      <c r="S10" s="136">
        <f>Inputs!R19</f>
        <v>18206.90235</v>
      </c>
      <c r="T10" s="563" t="str">
        <f>'Sys Admin'!M29</f>
        <v>None</v>
      </c>
      <c r="U10" s="563" t="str">
        <f>'Sys Admin'!O29</f>
        <v>Prospective</v>
      </c>
      <c r="V10" s="563">
        <f>'Sys Admin'!Q29</f>
        <v>0</v>
      </c>
      <c r="W10" s="490">
        <f t="shared" si="2"/>
        <v>0</v>
      </c>
      <c r="X10" s="563">
        <f t="shared" si="3"/>
        <v>0</v>
      </c>
      <c r="Y10" s="490">
        <f>IF(AND(V71=1,'Sys Admin Calculation'!X59=0),  VLOOKUP(T10,$P$71:$Q$74,2,FALSE), IF('Sys Admin Calculation Y2'!U10&lt;&gt;"Active", 0, W10*X10))</f>
        <v>0</v>
      </c>
      <c r="Z10" s="50">
        <f t="shared" si="4"/>
        <v>0</v>
      </c>
      <c r="AA10" s="50">
        <f t="shared" si="5"/>
        <v>0</v>
      </c>
      <c r="AB10" s="50">
        <f t="shared" si="0"/>
        <v>0</v>
      </c>
      <c r="AC10" s="490">
        <f t="shared" si="6"/>
        <v>0</v>
      </c>
      <c r="AD10" s="50">
        <f t="shared" si="1"/>
        <v>0</v>
      </c>
      <c r="AE10" s="564">
        <f t="shared" si="7"/>
        <v>0</v>
      </c>
    </row>
    <row r="11" spans="1:31">
      <c r="A11" s="15" t="str">
        <f>Inputs!A20</f>
        <v>CARMA-FHWA</v>
      </c>
      <c r="B11" s="15">
        <f>Inputs!B20</f>
        <v>12</v>
      </c>
      <c r="C11" s="15" t="s">
        <v>32</v>
      </c>
      <c r="D11" s="15" t="str">
        <f>Inputs!C20</f>
        <v>Planning/Discovery</v>
      </c>
      <c r="E11" s="136">
        <f>'Sys Admin Calculation'!E11</f>
        <v>0</v>
      </c>
      <c r="F11" s="136">
        <f>'Sys Admin Calculation'!F11*(1+('Sys Admin'!$O$21/100))</f>
        <v>0</v>
      </c>
      <c r="G11" s="136">
        <f>'Sys Admin Calculation'!G11*(1+('Sys Admin'!$O$21/100))</f>
        <v>0</v>
      </c>
      <c r="H11" s="136">
        <f>'Sys Admin Calculation'!H11</f>
        <v>1348.2025000000001</v>
      </c>
      <c r="I11" s="136">
        <f>'Sys Admin Calculation'!I11</f>
        <v>169.03936250000001</v>
      </c>
      <c r="J11" s="136">
        <f>Inputs!I20</f>
        <v>0</v>
      </c>
      <c r="K11" s="136">
        <f>Inputs!J20</f>
        <v>0</v>
      </c>
      <c r="L11" s="136">
        <f>Inputs!K20</f>
        <v>0</v>
      </c>
      <c r="M11" s="136">
        <f>Inputs!L20</f>
        <v>1348.2025000000001</v>
      </c>
      <c r="N11" s="136">
        <f>Inputs!M20</f>
        <v>169.03936250000001</v>
      </c>
      <c r="O11" s="136">
        <f>Inputs!N20</f>
        <v>0</v>
      </c>
      <c r="P11" s="136">
        <f>Inputs!O20</f>
        <v>0</v>
      </c>
      <c r="Q11" s="136" t="str">
        <f>Inputs!P20</f>
        <v>None</v>
      </c>
      <c r="R11" s="136">
        <f>Inputs!Q20</f>
        <v>0</v>
      </c>
      <c r="S11" s="136">
        <f>Inputs!R20</f>
        <v>18206.90235</v>
      </c>
      <c r="T11" s="563" t="str">
        <f>'Sys Admin'!M30</f>
        <v>None</v>
      </c>
      <c r="U11" s="563" t="str">
        <f>'Sys Admin'!O30</f>
        <v>Prospective</v>
      </c>
      <c r="V11" s="563">
        <f>'Sys Admin'!Q30</f>
        <v>0</v>
      </c>
      <c r="W11" s="490">
        <f t="shared" si="2"/>
        <v>0</v>
      </c>
      <c r="X11" s="563">
        <f t="shared" si="3"/>
        <v>0</v>
      </c>
      <c r="Y11" s="490">
        <f>IF(AND(V72=1,'Sys Admin Calculation'!X60=0),  VLOOKUP(T11,$P$71:$Q$74,2,FALSE), IF('Sys Admin Calculation Y2'!U11&lt;&gt;"Active", 0, W11*X11))</f>
        <v>0</v>
      </c>
      <c r="Z11" s="50">
        <f t="shared" si="4"/>
        <v>0</v>
      </c>
      <c r="AA11" s="50">
        <f t="shared" si="5"/>
        <v>0</v>
      </c>
      <c r="AB11" s="50">
        <f t="shared" si="0"/>
        <v>0</v>
      </c>
      <c r="AC11" s="490">
        <f t="shared" si="6"/>
        <v>0</v>
      </c>
      <c r="AD11" s="50">
        <f t="shared" si="1"/>
        <v>0</v>
      </c>
      <c r="AE11" s="564">
        <f t="shared" si="7"/>
        <v>0</v>
      </c>
    </row>
    <row r="12" spans="1:31">
      <c r="A12" s="15" t="str">
        <f>Inputs!A21</f>
        <v>FMI-ATRI</v>
      </c>
      <c r="B12" s="15">
        <f>Inputs!B21</f>
        <v>12</v>
      </c>
      <c r="C12" s="15" t="s">
        <v>31</v>
      </c>
      <c r="D12" s="15" t="str">
        <f>Inputs!C21</f>
        <v>Active</v>
      </c>
      <c r="E12" s="136">
        <f>'Sys Admin Calculation'!E12</f>
        <v>0</v>
      </c>
      <c r="F12" s="136">
        <f>'Sys Admin Calculation'!F12*(1+('Sys Admin'!$O$21/100))</f>
        <v>144.48500000000001</v>
      </c>
      <c r="G12" s="136">
        <f>'Sys Admin Calculation'!G12*(1+('Sys Admin'!$O$21/100))</f>
        <v>0</v>
      </c>
      <c r="H12" s="136">
        <f>'Sys Admin Calculation'!H12</f>
        <v>7190.413333333333</v>
      </c>
      <c r="I12" s="136">
        <f>'Sys Admin Calculation'!I12</f>
        <v>1202.0576888888891</v>
      </c>
      <c r="J12" s="136">
        <f>Inputs!I21</f>
        <v>0</v>
      </c>
      <c r="K12" s="136">
        <f>Inputs!J21</f>
        <v>187.05333333333331</v>
      </c>
      <c r="L12" s="136">
        <f>Inputs!K21</f>
        <v>0</v>
      </c>
      <c r="M12" s="136">
        <f>Inputs!L21</f>
        <v>7190.413333333333</v>
      </c>
      <c r="N12" s="136">
        <f>Inputs!M21</f>
        <v>1202.0576888888891</v>
      </c>
      <c r="O12" s="136">
        <f>Inputs!N21</f>
        <v>0</v>
      </c>
      <c r="P12" s="136">
        <f>Inputs!O21</f>
        <v>5</v>
      </c>
      <c r="Q12" s="136" t="str">
        <f>Inputs!P21</f>
        <v>None</v>
      </c>
      <c r="R12" s="136">
        <f>Inputs!Q21</f>
        <v>0.04</v>
      </c>
      <c r="S12" s="136">
        <f>Inputs!R21</f>
        <v>102285.85226666667</v>
      </c>
      <c r="T12" s="563" t="str">
        <f>'Sys Admin'!M31</f>
        <v>None</v>
      </c>
      <c r="U12" s="563" t="str">
        <f>'Sys Admin'!O31</f>
        <v>Active</v>
      </c>
      <c r="V12" s="563">
        <f>'Sys Admin'!Q31</f>
        <v>0</v>
      </c>
      <c r="W12" s="490">
        <f t="shared" si="2"/>
        <v>0</v>
      </c>
      <c r="X12" s="563">
        <f t="shared" si="3"/>
        <v>12</v>
      </c>
      <c r="Y12" s="490">
        <f>IF(AND(V73=1,'Sys Admin Calculation'!X61=0),  VLOOKUP(T12,$P$71:$Q$74,2,FALSE), IF('Sys Admin Calculation Y2'!U12&lt;&gt;"Active", 0, W12*X12))</f>
        <v>0</v>
      </c>
      <c r="Z12" s="50">
        <f t="shared" si="4"/>
        <v>1733.8200000000002</v>
      </c>
      <c r="AA12" s="50">
        <f t="shared" si="5"/>
        <v>1733.8200000000002</v>
      </c>
      <c r="AB12" s="50">
        <f t="shared" si="0"/>
        <v>79986.157919999998</v>
      </c>
      <c r="AC12" s="490">
        <f t="shared" si="6"/>
        <v>26000</v>
      </c>
      <c r="AD12" s="50">
        <f t="shared" si="1"/>
        <v>15578.667647999999</v>
      </c>
      <c r="AE12" s="564">
        <f t="shared" si="7"/>
        <v>125032.465568</v>
      </c>
    </row>
    <row r="13" spans="1:31">
      <c r="A13" s="15" t="str">
        <f>Inputs!A22</f>
        <v>FMI-BTS</v>
      </c>
      <c r="B13" s="15">
        <f>Inputs!B22</f>
        <v>12</v>
      </c>
      <c r="C13" s="15" t="s">
        <v>31</v>
      </c>
      <c r="D13" s="15" t="str">
        <f>Inputs!C22</f>
        <v>Active</v>
      </c>
      <c r="E13" s="136">
        <f>'Sys Admin Calculation'!E13</f>
        <v>0</v>
      </c>
      <c r="F13" s="136">
        <f>'Sys Admin Calculation'!F13*(1+('Sys Admin'!$O$21/100))</f>
        <v>0</v>
      </c>
      <c r="G13" s="136">
        <f>'Sys Admin Calculation'!G13*(1+('Sys Admin'!$O$21/100))</f>
        <v>0</v>
      </c>
      <c r="H13" s="136">
        <f>'Sys Admin Calculation'!H13</f>
        <v>7190.413333333333</v>
      </c>
      <c r="I13" s="136">
        <f>'Sys Admin Calculation'!I13</f>
        <v>1202.0576888888891</v>
      </c>
      <c r="J13" s="136">
        <f>Inputs!I22</f>
        <v>0</v>
      </c>
      <c r="K13" s="136">
        <f>Inputs!J22</f>
        <v>0</v>
      </c>
      <c r="L13" s="136">
        <f>Inputs!K22</f>
        <v>0</v>
      </c>
      <c r="M13" s="136">
        <f>Inputs!L22</f>
        <v>7190.413333333333</v>
      </c>
      <c r="N13" s="136">
        <f>Inputs!M22</f>
        <v>1202.0576888888891</v>
      </c>
      <c r="O13" s="136">
        <f>Inputs!N22</f>
        <v>0</v>
      </c>
      <c r="P13" s="136">
        <f>Inputs!O22</f>
        <v>3</v>
      </c>
      <c r="Q13" s="136" t="str">
        <f>Inputs!P22</f>
        <v>None</v>
      </c>
      <c r="R13" s="136">
        <f>Inputs!Q22</f>
        <v>0.04</v>
      </c>
      <c r="S13" s="136">
        <f>Inputs!R22</f>
        <v>100709.65226666667</v>
      </c>
      <c r="T13" s="563" t="str">
        <f>'Sys Admin'!M32</f>
        <v>None</v>
      </c>
      <c r="U13" s="563" t="str">
        <f>'Sys Admin'!O32</f>
        <v>Active</v>
      </c>
      <c r="V13" s="563">
        <f>'Sys Admin'!Q32</f>
        <v>0</v>
      </c>
      <c r="W13" s="490">
        <f t="shared" si="2"/>
        <v>0</v>
      </c>
      <c r="X13" s="563">
        <f t="shared" si="3"/>
        <v>12</v>
      </c>
      <c r="Y13" s="490">
        <f>IF(AND(V74=1,'Sys Admin Calculation'!X62=0),  VLOOKUP(T13,$P$71:$Q$74,2,FALSE), IF('Sys Admin Calculation Y2'!U13&lt;&gt;"Active", 0, W13*X13))</f>
        <v>0</v>
      </c>
      <c r="Z13" s="50">
        <f t="shared" si="4"/>
        <v>0</v>
      </c>
      <c r="AA13" s="50">
        <f t="shared" si="5"/>
        <v>0</v>
      </c>
      <c r="AB13" s="50">
        <f t="shared" si="0"/>
        <v>79986.157919999998</v>
      </c>
      <c r="AC13" s="490">
        <f t="shared" si="6"/>
        <v>26000</v>
      </c>
      <c r="AD13" s="50">
        <f t="shared" si="1"/>
        <v>15578.667647999999</v>
      </c>
      <c r="AE13" s="564">
        <f t="shared" si="7"/>
        <v>121564.825568</v>
      </c>
    </row>
    <row r="14" spans="1:31">
      <c r="A14" s="15" t="str">
        <f>Inputs!A23</f>
        <v>FTA-DA</v>
      </c>
      <c r="B14" s="15">
        <f>Inputs!B23</f>
        <v>12</v>
      </c>
      <c r="C14" s="15" t="s">
        <v>33</v>
      </c>
      <c r="D14" s="15" t="str">
        <f>Inputs!C23</f>
        <v>Active</v>
      </c>
      <c r="E14" s="136">
        <f>'Sys Admin Calculation'!E14</f>
        <v>0</v>
      </c>
      <c r="F14" s="136">
        <f>'Sys Admin Calculation'!F14*(1+('Sys Admin'!$O$21/100))</f>
        <v>0</v>
      </c>
      <c r="G14" s="136">
        <f>'Sys Admin Calculation'!G14*(1+('Sys Admin'!$O$21/100))</f>
        <v>0</v>
      </c>
      <c r="H14" s="136">
        <f>'Sys Admin Calculation'!H14</f>
        <v>7190.413333333333</v>
      </c>
      <c r="I14" s="136">
        <f>'Sys Admin Calculation'!I14</f>
        <v>1202.0576888888891</v>
      </c>
      <c r="J14" s="136">
        <f>Inputs!I23</f>
        <v>0</v>
      </c>
      <c r="K14" s="136">
        <f>Inputs!J23</f>
        <v>0</v>
      </c>
      <c r="L14" s="136">
        <f>Inputs!K23</f>
        <v>0</v>
      </c>
      <c r="M14" s="136">
        <f>Inputs!L23</f>
        <v>7190.413333333333</v>
      </c>
      <c r="N14" s="136">
        <f>Inputs!M23</f>
        <v>1202.0576888888891</v>
      </c>
      <c r="O14" s="136">
        <f>Inputs!N23</f>
        <v>0</v>
      </c>
      <c r="P14" s="136">
        <f>Inputs!O23</f>
        <v>1</v>
      </c>
      <c r="Q14" s="136" t="str">
        <f>Inputs!P23</f>
        <v>None</v>
      </c>
      <c r="R14" s="136">
        <f>Inputs!Q23</f>
        <v>0.04</v>
      </c>
      <c r="S14" s="136">
        <f>Inputs!R23</f>
        <v>100709.65226666667</v>
      </c>
      <c r="T14" s="563" t="str">
        <f>'Sys Admin'!M33</f>
        <v>None</v>
      </c>
      <c r="U14" s="563" t="str">
        <f>'Sys Admin'!O33</f>
        <v>Active</v>
      </c>
      <c r="V14" s="563">
        <f>'Sys Admin'!Q33</f>
        <v>0</v>
      </c>
      <c r="W14" s="490">
        <f t="shared" si="2"/>
        <v>0</v>
      </c>
      <c r="X14" s="563">
        <f t="shared" si="3"/>
        <v>12</v>
      </c>
      <c r="Y14" s="490">
        <f>IF(AND(V75=1,'Sys Admin Calculation'!X63=0),  VLOOKUP(T14,$P$71:$Q$74,2,FALSE), IF('Sys Admin Calculation Y2'!U14&lt;&gt;"Active", 0, W14*X14))</f>
        <v>0</v>
      </c>
      <c r="Z14" s="50">
        <f t="shared" si="4"/>
        <v>0</v>
      </c>
      <c r="AA14" s="50">
        <f t="shared" si="5"/>
        <v>0</v>
      </c>
      <c r="AB14" s="50">
        <f t="shared" si="0"/>
        <v>79986.157919999998</v>
      </c>
      <c r="AC14" s="490">
        <f t="shared" si="6"/>
        <v>26000</v>
      </c>
      <c r="AD14" s="50">
        <f t="shared" si="1"/>
        <v>15578.667647999999</v>
      </c>
      <c r="AE14" s="564">
        <f t="shared" si="7"/>
        <v>121564.825568</v>
      </c>
    </row>
    <row r="15" spans="1:31">
      <c r="A15" s="15" t="str">
        <f>Inputs!A24</f>
        <v>MOD 2.0</v>
      </c>
      <c r="B15" s="15">
        <f>Inputs!B24</f>
        <v>12</v>
      </c>
      <c r="C15" s="15" t="s">
        <v>33</v>
      </c>
      <c r="D15" s="15" t="str">
        <f>Inputs!C24</f>
        <v>Prospective</v>
      </c>
      <c r="E15" s="136">
        <f>'Sys Admin Calculation'!E15</f>
        <v>0</v>
      </c>
      <c r="F15" s="136">
        <f>'Sys Admin Calculation'!F15*(1+('Sys Admin'!$O$21/100))</f>
        <v>0</v>
      </c>
      <c r="G15" s="136">
        <f>'Sys Admin Calculation'!G15*(1+('Sys Admin'!$O$21/100))</f>
        <v>0</v>
      </c>
      <c r="H15" s="136">
        <f>'Sys Admin Calculation'!H15</f>
        <v>0</v>
      </c>
      <c r="I15" s="136">
        <f>'Sys Admin Calculation'!I15</f>
        <v>0</v>
      </c>
      <c r="J15" s="136">
        <f>Inputs!I24</f>
        <v>0</v>
      </c>
      <c r="K15" s="136">
        <f>Inputs!J24</f>
        <v>0</v>
      </c>
      <c r="L15" s="136">
        <f>Inputs!K24</f>
        <v>0</v>
      </c>
      <c r="M15" s="136">
        <f>Inputs!L24</f>
        <v>0</v>
      </c>
      <c r="N15" s="136">
        <f>Inputs!M24</f>
        <v>0</v>
      </c>
      <c r="O15" s="136">
        <f>Inputs!N24</f>
        <v>0</v>
      </c>
      <c r="P15" s="136">
        <f>Inputs!O24</f>
        <v>0</v>
      </c>
      <c r="Q15" s="136" t="str">
        <f>Inputs!P24</f>
        <v>None</v>
      </c>
      <c r="R15" s="136">
        <f>Inputs!Q24</f>
        <v>0</v>
      </c>
      <c r="S15" s="136">
        <f>Inputs!R24</f>
        <v>0</v>
      </c>
      <c r="T15" s="563" t="str">
        <f>'Sys Admin'!M34</f>
        <v>None</v>
      </c>
      <c r="U15" s="563" t="str">
        <f>'Sys Admin'!O34</f>
        <v>Prospective</v>
      </c>
      <c r="V15" s="563">
        <f>'Sys Admin'!Q34</f>
        <v>0</v>
      </c>
      <c r="W15" s="490">
        <f t="shared" si="2"/>
        <v>0</v>
      </c>
      <c r="X15" s="563">
        <f t="shared" si="3"/>
        <v>0</v>
      </c>
      <c r="Y15" s="490">
        <f>IF(AND(V76=1,'Sys Admin Calculation'!X64=0),  VLOOKUP(T15,$P$71:$Q$74,2,FALSE), IF('Sys Admin Calculation Y2'!U15&lt;&gt;"Active", 0, W15*X15))</f>
        <v>0</v>
      </c>
      <c r="Z15" s="50">
        <f t="shared" si="4"/>
        <v>0</v>
      </c>
      <c r="AA15" s="50">
        <f t="shared" si="5"/>
        <v>0</v>
      </c>
      <c r="AB15" s="50">
        <f t="shared" si="0"/>
        <v>0</v>
      </c>
      <c r="AC15" s="490">
        <f t="shared" si="6"/>
        <v>0</v>
      </c>
      <c r="AD15" s="50">
        <f t="shared" si="1"/>
        <v>0</v>
      </c>
      <c r="AE15" s="564">
        <f t="shared" si="7"/>
        <v>0</v>
      </c>
    </row>
    <row r="16" spans="1:31">
      <c r="A16" s="15" t="str">
        <f>Inputs!A25</f>
        <v xml:space="preserve">MPI </v>
      </c>
      <c r="B16" s="15">
        <f>Inputs!B25</f>
        <v>12</v>
      </c>
      <c r="C16" s="15" t="s">
        <v>33</v>
      </c>
      <c r="D16" s="15" t="str">
        <f>Inputs!C25</f>
        <v>Prospective</v>
      </c>
      <c r="E16" s="136">
        <f>'Sys Admin Calculation'!E16</f>
        <v>0</v>
      </c>
      <c r="F16" s="136">
        <f>'Sys Admin Calculation'!F16*(1+('Sys Admin'!$O$21/100))</f>
        <v>0</v>
      </c>
      <c r="G16" s="136">
        <f>'Sys Admin Calculation'!G16*(1+('Sys Admin'!$O$21/100))</f>
        <v>0</v>
      </c>
      <c r="H16" s="136">
        <f>'Sys Admin Calculation'!H16</f>
        <v>0</v>
      </c>
      <c r="I16" s="136">
        <f>'Sys Admin Calculation'!I16</f>
        <v>0</v>
      </c>
      <c r="J16" s="136">
        <f>Inputs!I25</f>
        <v>0</v>
      </c>
      <c r="K16" s="136">
        <f>Inputs!J25</f>
        <v>0</v>
      </c>
      <c r="L16" s="136">
        <f>Inputs!K25</f>
        <v>0</v>
      </c>
      <c r="M16" s="136">
        <f>Inputs!L25</f>
        <v>0</v>
      </c>
      <c r="N16" s="136">
        <f>Inputs!M25</f>
        <v>0</v>
      </c>
      <c r="O16" s="136">
        <f>Inputs!N25</f>
        <v>0</v>
      </c>
      <c r="P16" s="136">
        <f>Inputs!O25</f>
        <v>0</v>
      </c>
      <c r="Q16" s="136" t="str">
        <f>Inputs!P25</f>
        <v>None</v>
      </c>
      <c r="R16" s="136">
        <f>Inputs!Q25</f>
        <v>0</v>
      </c>
      <c r="S16" s="136">
        <f>Inputs!R25</f>
        <v>0</v>
      </c>
      <c r="T16" s="563" t="str">
        <f>'Sys Admin'!M35</f>
        <v>None</v>
      </c>
      <c r="U16" s="563" t="str">
        <f>'Sys Admin'!O35</f>
        <v>Prospective</v>
      </c>
      <c r="V16" s="563">
        <f>'Sys Admin'!Q35</f>
        <v>0</v>
      </c>
      <c r="W16" s="490">
        <f t="shared" si="2"/>
        <v>0</v>
      </c>
      <c r="X16" s="563">
        <f t="shared" si="3"/>
        <v>0</v>
      </c>
      <c r="Y16" s="490">
        <f>IF(AND(V77=1,'Sys Admin Calculation'!X65=0),  VLOOKUP(T16,$P$71:$Q$74,2,FALSE), IF('Sys Admin Calculation Y2'!U16&lt;&gt;"Active", 0, W16*X16))</f>
        <v>0</v>
      </c>
      <c r="Z16" s="50">
        <f t="shared" si="4"/>
        <v>0</v>
      </c>
      <c r="AA16" s="50">
        <f t="shared" si="5"/>
        <v>0</v>
      </c>
      <c r="AB16" s="50">
        <f t="shared" si="0"/>
        <v>0</v>
      </c>
      <c r="AC16" s="490">
        <f t="shared" si="6"/>
        <v>0</v>
      </c>
      <c r="AD16" s="50">
        <f t="shared" si="1"/>
        <v>0</v>
      </c>
      <c r="AE16" s="564">
        <f t="shared" si="7"/>
        <v>0</v>
      </c>
    </row>
    <row r="17" spans="1:31">
      <c r="A17" s="15" t="str">
        <f>Inputs!A26</f>
        <v>WAZE-WAZE</v>
      </c>
      <c r="B17" s="15">
        <f>Inputs!B26</f>
        <v>12</v>
      </c>
      <c r="C17" s="15" t="s">
        <v>31</v>
      </c>
      <c r="D17" s="15" t="str">
        <f>Inputs!C26</f>
        <v>Active</v>
      </c>
      <c r="E17" s="136">
        <f>'Sys Admin Calculation'!E17</f>
        <v>0</v>
      </c>
      <c r="F17" s="136">
        <f>'Sys Admin Calculation'!F17*(1+('Sys Admin'!$O$21/100))</f>
        <v>1071.0700000000002</v>
      </c>
      <c r="G17" s="136">
        <f>'Sys Admin Calculation'!G17*(1+('Sys Admin'!$O$21/100))</f>
        <v>0</v>
      </c>
      <c r="H17" s="136">
        <f>'Sys Admin Calculation'!H17</f>
        <v>7190.413333333333</v>
      </c>
      <c r="I17" s="136">
        <f>'Sys Admin Calculation'!I17</f>
        <v>1202.0576888888891</v>
      </c>
      <c r="J17" s="136">
        <f>Inputs!I26</f>
        <v>0</v>
      </c>
      <c r="K17" s="136">
        <f>Inputs!J26</f>
        <v>1109.17</v>
      </c>
      <c r="L17" s="136">
        <f>Inputs!K26</f>
        <v>0</v>
      </c>
      <c r="M17" s="136">
        <f>Inputs!L26</f>
        <v>7190.413333333333</v>
      </c>
      <c r="N17" s="136">
        <f>Inputs!M26</f>
        <v>1202.0576888888891</v>
      </c>
      <c r="O17" s="136">
        <f>Inputs!N26</f>
        <v>0</v>
      </c>
      <c r="P17" s="136">
        <f>Inputs!O26</f>
        <v>3</v>
      </c>
      <c r="Q17" s="136" t="str">
        <f>Inputs!P26</f>
        <v>None</v>
      </c>
      <c r="R17" s="136">
        <f>Inputs!Q26</f>
        <v>0.04</v>
      </c>
      <c r="S17" s="136">
        <f>Inputs!R26</f>
        <v>112394.05226666665</v>
      </c>
      <c r="T17" s="563" t="str">
        <f>'Sys Admin'!M36</f>
        <v>None</v>
      </c>
      <c r="U17" s="563" t="str">
        <f>'Sys Admin'!O36</f>
        <v>Active</v>
      </c>
      <c r="V17" s="563">
        <f>'Sys Admin'!Q36</f>
        <v>0</v>
      </c>
      <c r="W17" s="490">
        <f t="shared" si="2"/>
        <v>0</v>
      </c>
      <c r="X17" s="563">
        <f t="shared" si="3"/>
        <v>12</v>
      </c>
      <c r="Y17" s="490">
        <f>IF(AND(V78=1,'Sys Admin Calculation'!X66=0),  VLOOKUP(T17,$P$71:$Q$74,2,FALSE), IF('Sys Admin Calculation Y2'!U17&lt;&gt;"Active", 0, W17*X17))</f>
        <v>0</v>
      </c>
      <c r="Z17" s="50">
        <f>(IF(U17=D17,F17,IF(U17="Prospective",0,IF(U17="Planning/Discovery",0,IF(U17="Onboarding",0,IF(U17="Export/Retirement",0,VLOOKUP(U17&amp;C17,$V$46:$X$48,3,FALSE)))))))*(12-V17)</f>
        <v>12852.840000000002</v>
      </c>
      <c r="AA17" s="50">
        <f t="shared" si="5"/>
        <v>12852.840000000002</v>
      </c>
      <c r="AB17" s="50">
        <f t="shared" si="0"/>
        <v>79986.157919999998</v>
      </c>
      <c r="AC17" s="490">
        <f t="shared" si="6"/>
        <v>26000</v>
      </c>
      <c r="AD17" s="50">
        <f t="shared" si="1"/>
        <v>15578.667647999999</v>
      </c>
      <c r="AE17" s="564">
        <f t="shared" si="7"/>
        <v>147270.50556800002</v>
      </c>
    </row>
    <row r="18" spans="1:31">
      <c r="A18" s="15" t="str">
        <f>Inputs!A27</f>
        <v>WAZE-SDI</v>
      </c>
      <c r="B18" s="15">
        <f>Inputs!B27</f>
        <v>12</v>
      </c>
      <c r="C18" s="15" t="s">
        <v>31</v>
      </c>
      <c r="D18" s="15" t="str">
        <f>Inputs!C27</f>
        <v>Active</v>
      </c>
      <c r="E18" s="136">
        <f>'Sys Admin Calculation'!E18</f>
        <v>0</v>
      </c>
      <c r="F18" s="136">
        <f>'Sys Admin Calculation'!F18*(1+('Sys Admin'!$O$21/100))</f>
        <v>0</v>
      </c>
      <c r="G18" s="136">
        <f>'Sys Admin Calculation'!G18*(1+('Sys Admin'!$O$21/100))</f>
        <v>388.83900000000006</v>
      </c>
      <c r="H18" s="136">
        <f>'Sys Admin Calculation'!H18</f>
        <v>7190.413333333333</v>
      </c>
      <c r="I18" s="136">
        <f>'Sys Admin Calculation'!I18</f>
        <v>1202.0576888888891</v>
      </c>
      <c r="J18" s="136">
        <f>Inputs!I27</f>
        <v>0</v>
      </c>
      <c r="K18" s="136">
        <f>Inputs!J27</f>
        <v>0</v>
      </c>
      <c r="L18" s="136">
        <f>Inputs!K27</f>
        <v>449.72333333333336</v>
      </c>
      <c r="M18" s="136">
        <f>Inputs!L27</f>
        <v>7190.413333333333</v>
      </c>
      <c r="N18" s="136">
        <f>Inputs!M27</f>
        <v>1202.0576888888891</v>
      </c>
      <c r="O18" s="136">
        <f>Inputs!N27</f>
        <v>0</v>
      </c>
      <c r="P18" s="136">
        <f>Inputs!O27</f>
        <v>0</v>
      </c>
      <c r="Q18" s="136" t="str">
        <f>Inputs!P27</f>
        <v>None</v>
      </c>
      <c r="R18" s="136">
        <f>Inputs!Q27</f>
        <v>0.04</v>
      </c>
      <c r="S18" s="136">
        <f>Inputs!R27</f>
        <v>104951.53226666666</v>
      </c>
      <c r="T18" s="563" t="str">
        <f>'Sys Admin'!M37</f>
        <v>None</v>
      </c>
      <c r="U18" s="563" t="str">
        <f>'Sys Admin'!O37</f>
        <v>Active</v>
      </c>
      <c r="V18" s="563">
        <f>'Sys Admin'!Q37</f>
        <v>0</v>
      </c>
      <c r="W18" s="490">
        <f t="shared" si="2"/>
        <v>0</v>
      </c>
      <c r="X18" s="563">
        <f t="shared" si="3"/>
        <v>12</v>
      </c>
      <c r="Y18" s="490">
        <f>IF(AND(V79=1,'Sys Admin Calculation'!X67=0),  VLOOKUP(T18,$P$71:$Q$74,2,FALSE), IF('Sys Admin Calculation Y2'!U18&lt;&gt;"Active", 0, W18*X18))</f>
        <v>0</v>
      </c>
      <c r="Z18" s="50">
        <f t="shared" si="4"/>
        <v>0</v>
      </c>
      <c r="AA18" s="50">
        <f t="shared" si="5"/>
        <v>0</v>
      </c>
      <c r="AB18" s="50">
        <f t="shared" si="0"/>
        <v>79986.157919999998</v>
      </c>
      <c r="AC18" s="490">
        <f t="shared" si="6"/>
        <v>26000</v>
      </c>
      <c r="AD18" s="50">
        <f t="shared" si="1"/>
        <v>15578.667647999999</v>
      </c>
      <c r="AE18" s="564">
        <f t="shared" si="7"/>
        <v>121564.825568</v>
      </c>
    </row>
    <row r="19" spans="1:31">
      <c r="A19" s="15" t="str">
        <f>Inputs!A28</f>
        <v>Smart Columbus Evaluation</v>
      </c>
      <c r="B19" s="15">
        <f>Inputs!B28</f>
        <v>12</v>
      </c>
      <c r="C19" s="15" t="s">
        <v>33</v>
      </c>
      <c r="D19" s="15" t="str">
        <f>Inputs!C28</f>
        <v>Planning/Discovery</v>
      </c>
      <c r="E19" s="136">
        <f>'Sys Admin Calculation'!E19</f>
        <v>0</v>
      </c>
      <c r="F19" s="136">
        <f>'Sys Admin Calculation'!F19*(1+('Sys Admin'!$O$21/100))</f>
        <v>0</v>
      </c>
      <c r="G19" s="136">
        <f>'Sys Admin Calculation'!G19*(1+('Sys Admin'!$O$21/100))</f>
        <v>0</v>
      </c>
      <c r="H19" s="136">
        <f>'Sys Admin Calculation'!H19</f>
        <v>1348.2025000000001</v>
      </c>
      <c r="I19" s="136">
        <f>'Sys Admin Calculation'!I19</f>
        <v>169.03936250000001</v>
      </c>
      <c r="J19" s="136">
        <f>Inputs!I28</f>
        <v>0</v>
      </c>
      <c r="K19" s="136">
        <f>Inputs!J28</f>
        <v>0</v>
      </c>
      <c r="L19" s="136">
        <f>Inputs!K28</f>
        <v>0</v>
      </c>
      <c r="M19" s="136">
        <f>Inputs!L28</f>
        <v>0</v>
      </c>
      <c r="N19" s="136">
        <f>Inputs!M28</f>
        <v>0</v>
      </c>
      <c r="O19" s="136">
        <f>Inputs!N28</f>
        <v>0</v>
      </c>
      <c r="P19" s="136">
        <f>Inputs!O28</f>
        <v>0</v>
      </c>
      <c r="Q19" s="136" t="str">
        <f>Inputs!P28</f>
        <v>None</v>
      </c>
      <c r="R19" s="136">
        <f>Inputs!Q28</f>
        <v>0</v>
      </c>
      <c r="S19" s="136">
        <f>Inputs!R28</f>
        <v>18206.90235</v>
      </c>
      <c r="T19" s="563" t="str">
        <f>'Sys Admin'!M38</f>
        <v>None</v>
      </c>
      <c r="U19" s="563" t="str">
        <f>'Sys Admin'!O38</f>
        <v>Prospective</v>
      </c>
      <c r="V19" s="563">
        <f>'Sys Admin'!Q38</f>
        <v>0</v>
      </c>
      <c r="W19" s="490">
        <f t="shared" si="2"/>
        <v>0</v>
      </c>
      <c r="X19" s="563">
        <f t="shared" si="3"/>
        <v>0</v>
      </c>
      <c r="Y19" s="490">
        <f>IF(AND(V80=1,'Sys Admin Calculation'!X68=0),  VLOOKUP(T19,$P$71:$Q$74,2,FALSE), IF('Sys Admin Calculation Y2'!U19&lt;&gt;"Active", 0, W19*X19))</f>
        <v>0</v>
      </c>
      <c r="Z19" s="50">
        <f t="shared" si="4"/>
        <v>0</v>
      </c>
      <c r="AA19" s="50">
        <f t="shared" si="5"/>
        <v>0</v>
      </c>
      <c r="AB19" s="50">
        <f t="shared" si="0"/>
        <v>0</v>
      </c>
      <c r="AC19" s="490">
        <f t="shared" si="6"/>
        <v>0</v>
      </c>
      <c r="AD19" s="50">
        <f t="shared" si="1"/>
        <v>0</v>
      </c>
      <c r="AE19" s="564">
        <f t="shared" si="7"/>
        <v>0</v>
      </c>
    </row>
    <row r="20" spans="1:31">
      <c r="A20" s="15" t="str">
        <f>Inputs!A29</f>
        <v>STAR</v>
      </c>
      <c r="B20" s="15">
        <f>Inputs!B29</f>
        <v>12</v>
      </c>
      <c r="C20" s="15" t="s">
        <v>33</v>
      </c>
      <c r="D20" s="15" t="str">
        <f>Inputs!C29</f>
        <v>Prospective</v>
      </c>
      <c r="E20" s="136">
        <f>'Sys Admin Calculation'!E20</f>
        <v>0</v>
      </c>
      <c r="F20" s="136">
        <f>'Sys Admin Calculation'!F20*(1+('Sys Admin'!$O$21/100))</f>
        <v>0</v>
      </c>
      <c r="G20" s="136">
        <f>'Sys Admin Calculation'!G20*(1+('Sys Admin'!$O$21/100))</f>
        <v>0</v>
      </c>
      <c r="H20" s="136">
        <f>'Sys Admin Calculation'!H20</f>
        <v>0</v>
      </c>
      <c r="I20" s="136">
        <f>'Sys Admin Calculation'!I20</f>
        <v>0</v>
      </c>
      <c r="J20" s="136">
        <f>Inputs!I29</f>
        <v>0</v>
      </c>
      <c r="K20" s="136">
        <f>Inputs!J29</f>
        <v>0</v>
      </c>
      <c r="L20" s="136">
        <f>Inputs!K29</f>
        <v>0</v>
      </c>
      <c r="M20" s="136">
        <f>Inputs!L29</f>
        <v>0</v>
      </c>
      <c r="N20" s="136">
        <f>Inputs!M29</f>
        <v>0</v>
      </c>
      <c r="O20" s="136">
        <f>Inputs!N29</f>
        <v>0</v>
      </c>
      <c r="P20" s="136">
        <f>Inputs!O29</f>
        <v>0</v>
      </c>
      <c r="Q20" s="136" t="str">
        <f>Inputs!P29</f>
        <v>None</v>
      </c>
      <c r="R20" s="136">
        <f>Inputs!Q29</f>
        <v>0</v>
      </c>
      <c r="S20" s="136">
        <f>Inputs!R29</f>
        <v>0</v>
      </c>
      <c r="T20" s="563" t="str">
        <f>'Sys Admin'!M39</f>
        <v>None</v>
      </c>
      <c r="U20" s="563" t="str">
        <f>'Sys Admin'!O39</f>
        <v>Prospective</v>
      </c>
      <c r="V20" s="563">
        <f>'Sys Admin'!Q39</f>
        <v>0</v>
      </c>
      <c r="W20" s="490">
        <f t="shared" si="2"/>
        <v>0</v>
      </c>
      <c r="X20" s="563">
        <f t="shared" si="3"/>
        <v>0</v>
      </c>
      <c r="Y20" s="490">
        <f>IF(AND(V81=1,'Sys Admin Calculation'!X69=0),  VLOOKUP(T20,$P$71:$Q$74,2,FALSE), IF('Sys Admin Calculation Y2'!U20&lt;&gt;"Active", 0, W20*X20))</f>
        <v>0</v>
      </c>
      <c r="Z20" s="50">
        <f t="shared" si="4"/>
        <v>0</v>
      </c>
      <c r="AA20" s="50">
        <f t="shared" si="5"/>
        <v>0</v>
      </c>
      <c r="AB20" s="50">
        <f t="shared" si="0"/>
        <v>0</v>
      </c>
      <c r="AC20" s="490">
        <f t="shared" si="6"/>
        <v>0</v>
      </c>
      <c r="AD20" s="50">
        <f t="shared" si="1"/>
        <v>0</v>
      </c>
      <c r="AE20" s="564">
        <f t="shared" si="7"/>
        <v>0</v>
      </c>
    </row>
    <row r="21" spans="1:31" ht="14.65" thickBot="1">
      <c r="A21" s="29" t="str">
        <f>Inputs!A30</f>
        <v>T-PLAT</v>
      </c>
      <c r="B21" s="29">
        <f>Inputs!B30</f>
        <v>12</v>
      </c>
      <c r="C21" s="29" t="s">
        <v>33</v>
      </c>
      <c r="D21" s="29" t="str">
        <f>Inputs!C30</f>
        <v>Prospective</v>
      </c>
      <c r="E21" s="538">
        <f>'Sys Admin Calculation'!E21</f>
        <v>0</v>
      </c>
      <c r="F21" s="136">
        <f>'Sys Admin Calculation'!F21*(1+('Sys Admin'!$O$21/100))</f>
        <v>0</v>
      </c>
      <c r="G21" s="136">
        <f>'Sys Admin Calculation'!G21*(1+('Sys Admin'!$O$21/100))</f>
        <v>0</v>
      </c>
      <c r="H21" s="538">
        <f>'Sys Admin Calculation'!H21</f>
        <v>0</v>
      </c>
      <c r="I21" s="538">
        <f>'Sys Admin Calculation'!I21</f>
        <v>0</v>
      </c>
      <c r="J21" s="538">
        <f>Inputs!I30</f>
        <v>0</v>
      </c>
      <c r="K21" s="538">
        <f>Inputs!J30</f>
        <v>0</v>
      </c>
      <c r="L21" s="538">
        <f>Inputs!K30</f>
        <v>0</v>
      </c>
      <c r="M21" s="538">
        <f>Inputs!L30</f>
        <v>0</v>
      </c>
      <c r="N21" s="538">
        <f>Inputs!M30</f>
        <v>0</v>
      </c>
      <c r="O21" s="538">
        <f>Inputs!N30</f>
        <v>0</v>
      </c>
      <c r="P21" s="538">
        <f>Inputs!O30</f>
        <v>0</v>
      </c>
      <c r="Q21" s="538" t="str">
        <f>Inputs!P30</f>
        <v>None</v>
      </c>
      <c r="R21" s="538">
        <f>Inputs!Q30</f>
        <v>0</v>
      </c>
      <c r="S21" s="538">
        <f>Inputs!R30</f>
        <v>0</v>
      </c>
      <c r="T21" s="563" t="str">
        <f>'Sys Admin'!M40</f>
        <v>None</v>
      </c>
      <c r="U21" s="563" t="str">
        <f>'Sys Admin'!O40</f>
        <v>Prospective</v>
      </c>
      <c r="V21" s="563">
        <f>'Sys Admin'!Q40</f>
        <v>0</v>
      </c>
      <c r="W21" s="490">
        <f t="shared" si="2"/>
        <v>0</v>
      </c>
      <c r="X21" s="563">
        <f t="shared" si="3"/>
        <v>0</v>
      </c>
      <c r="Y21" s="490">
        <f>IF(AND(V82=1,'Sys Admin Calculation'!X70=0),  VLOOKUP(T21,$P$71:$Q$74,2,FALSE), IF('Sys Admin Calculation Y2'!U21&lt;&gt;"Active", 0, W21*X21))</f>
        <v>0</v>
      </c>
      <c r="Z21" s="50">
        <f t="shared" si="4"/>
        <v>0</v>
      </c>
      <c r="AA21" s="50">
        <f>(IF(U21=D21,F21,IF(U21="Prospective",0,IF(U21="Planning/Discovery",0,IF(U21="Onboarding",0,IF(U21="Export/Retirement",0,VLOOKUP(U21&amp;C21,$V$46:$Y$48,4,FALSE)))))))*(12-V21)</f>
        <v>0</v>
      </c>
      <c r="AB21" s="50">
        <f t="shared" si="0"/>
        <v>0</v>
      </c>
      <c r="AC21" s="490">
        <f t="shared" si="6"/>
        <v>0</v>
      </c>
      <c r="AD21" s="50">
        <f t="shared" si="1"/>
        <v>0</v>
      </c>
      <c r="AE21" s="564">
        <f>SUM(Y21,Z21,AA21,AB21,AC21,AD21)</f>
        <v>0</v>
      </c>
    </row>
    <row r="22" spans="1:31" s="449" customFormat="1" ht="14.65" thickBot="1">
      <c r="A22" s="586" t="str">
        <f>Inputs!A31</f>
        <v>New Project 1</v>
      </c>
      <c r="B22" s="569">
        <f>Inputs!B31</f>
        <v>12</v>
      </c>
      <c r="C22" s="569" t="str">
        <f>'Sys Admin'!F43</f>
        <v>Low</v>
      </c>
      <c r="D22" s="569" t="str">
        <f>'Sys Admin'!I43</f>
        <v>Prospective</v>
      </c>
      <c r="E22" s="570">
        <f>'Sys Admin Calculation'!E22</f>
        <v>0</v>
      </c>
      <c r="F22" s="570">
        <f>'Sys Admin Calculation'!Z22*(1+('Sys Admin'!$O$21/100))</f>
        <v>0</v>
      </c>
      <c r="G22" s="570">
        <f>'Sys Admin Calculation'!AA22*(1+('Sys Admin'!$O$21/100))</f>
        <v>0</v>
      </c>
      <c r="H22" s="598"/>
      <c r="I22" s="598"/>
      <c r="J22" s="598"/>
      <c r="K22" s="598"/>
      <c r="L22" s="598"/>
      <c r="M22" s="598"/>
      <c r="N22" s="598"/>
      <c r="O22" s="598"/>
      <c r="P22" s="598"/>
      <c r="Q22" s="598"/>
      <c r="R22" s="598"/>
      <c r="S22" s="598"/>
      <c r="T22" s="571" t="str">
        <f>'Sys Admin'!M43</f>
        <v>None</v>
      </c>
      <c r="U22" s="571" t="str">
        <f>'Sys Admin'!O43</f>
        <v>Prospective</v>
      </c>
      <c r="V22" s="571">
        <f>'Sys Admin'!Q43</f>
        <v>0</v>
      </c>
      <c r="W22" s="572">
        <f>IF(AND(V83=1, 'Sys Admin Calculation'!X71=0), VLOOKUP(U22&amp;T22,$N$48:$Q$65,4,FALSE), VLOOKUP(U22&amp;T22,$N$66:$Q$70,4,FALSE))</f>
        <v>0</v>
      </c>
      <c r="X22" s="563">
        <f>IF(U22="Prospective",0,IF(U22="Onboarding",2,IF(U22="Planning/Discovery",2,(12-V22))))</f>
        <v>0</v>
      </c>
      <c r="Y22" s="572">
        <f>IF(AND(V83=1,'Sys Admin Calculation'!X71=0),  VLOOKUP(T22,$P$71:$Q$74,2,FALSE), IF(AND(V83=1, 'Sys Admin Calculation'!X71=1), 0, IF('Sys Admin Calculation Y2'!U22&lt;&gt;"Active", 0, W22*X22)))</f>
        <v>0</v>
      </c>
      <c r="Z22" s="569">
        <f>IF(U22=D22,F22,IF(U22="Prospective",0,IF(U22="Onboarding",$J$85,IF(U22="Planning/Discovery",$J$84,IF(U22="Export/Retirement",$J$89,IF(AND(U22="Active",C22="Low"),$J$88,IF(AND(U22="Active",C22="High"),$J$86,$J$87))))))*(12-V22))</f>
        <v>0</v>
      </c>
      <c r="AA22" s="569">
        <f>IF(U22=D22,G22,IF(U22="Prospective",0,IF(U22="Onboarding",$K$85,IF(U22="Planning/Discovery",$K$84,IF(U22="Export/Retirement",$K$89,IF(AND(U22="Active",C22="Low"),$K$88,IF(AND(U22="Active",C22="High"),$K$86,$K$87))))))*(12-V22))</f>
        <v>0</v>
      </c>
      <c r="AB22" s="569">
        <f>IF(U22="Prospective",0,IF(U22="Onboarding",$L$85,IF(U22="Planning/Discovery",$L$84,IF(U22="Export/Retirement",$L$89,IF(AND(U22="Active",C22="Low"),$L$88*(12-V22),IF(AND(U22="Active",C22="High"),$L$86*(12-V22),$L$87*(12-V22)))))))</f>
        <v>0</v>
      </c>
      <c r="AC22" s="572">
        <f>Y83</f>
        <v>0</v>
      </c>
      <c r="AD22" s="569">
        <f>IF(U22="Prospective",0,IF(U22="Onboarding",$M$85,IF(U22="Planning/Discovery",$M$84,IF(U22="Export/Retirement",$M$89,IF(AND(U22="Active",C22="Low"),$M$88*(12-V22),IF(AND(U22="Active",C22="High"),$M$86*(12-V22),$M$87*(12-V22)))))))</f>
        <v>0</v>
      </c>
      <c r="AE22" s="573">
        <f t="shared" ref="AE22:AE36" si="8">SUM(Y22,Z22,AA22,AB22,AC22,AD22)</f>
        <v>0</v>
      </c>
    </row>
    <row r="23" spans="1:31" s="449" customFormat="1" ht="14.65" thickBot="1">
      <c r="A23" s="587" t="str">
        <f>Inputs!A32</f>
        <v>New Project 2</v>
      </c>
      <c r="B23" s="65">
        <f>Inputs!B32</f>
        <v>12</v>
      </c>
      <c r="C23" s="65" t="str">
        <f>'Sys Admin'!F44</f>
        <v>Low</v>
      </c>
      <c r="D23" s="65" t="str">
        <f>'Sys Admin'!I44</f>
        <v>Prospective</v>
      </c>
      <c r="E23" s="574">
        <f>'Sys Admin Calculation'!E23</f>
        <v>0</v>
      </c>
      <c r="F23" s="570">
        <f>'Sys Admin Calculation'!Z23*(1+('Sys Admin'!$O$21/100))</f>
        <v>0</v>
      </c>
      <c r="G23" s="570">
        <f>'Sys Admin Calculation'!AA23*(1+('Sys Admin'!$O$21/100))</f>
        <v>0</v>
      </c>
      <c r="H23" s="506"/>
      <c r="I23" s="506"/>
      <c r="J23" s="506"/>
      <c r="K23" s="506"/>
      <c r="L23" s="506"/>
      <c r="M23" s="506"/>
      <c r="N23" s="506"/>
      <c r="O23" s="506"/>
      <c r="P23" s="506"/>
      <c r="Q23" s="506"/>
      <c r="R23" s="506"/>
      <c r="S23" s="506"/>
      <c r="T23" s="575" t="str">
        <f>'Sys Admin'!M44</f>
        <v>None</v>
      </c>
      <c r="U23" s="575" t="str">
        <f>'Sys Admin'!O44</f>
        <v>Prospective</v>
      </c>
      <c r="V23" s="575">
        <f>'Sys Admin'!Q44</f>
        <v>0</v>
      </c>
      <c r="W23" s="576">
        <f>IF(AND(V84=1, 'Sys Admin Calculation'!X72=0), VLOOKUP(U23&amp;T23,$N$48:$Q$65,4,FALSE), VLOOKUP(U23&amp;T23,$N$66:$Q$70,4,FALSE))</f>
        <v>0</v>
      </c>
      <c r="X23" s="563">
        <f t="shared" ref="X23:X36" si="9">IF(U23="Prospective",0,IF(U23="Onboarding",2,IF(U23="Planning/Discovery",2,(12-V23))))</f>
        <v>0</v>
      </c>
      <c r="Y23" s="576">
        <f>IF(AND(V84=1,'Sys Admin Calculation'!X72=0),  VLOOKUP(T23,$P$71:$Q$74,2,FALSE), IF(AND(V84=1, 'Sys Admin Calculation'!X72=1), 0, IF('Sys Admin Calculation Y2'!U23&lt;&gt;"Active", 0, W23*X23)))</f>
        <v>0</v>
      </c>
      <c r="Z23" s="65">
        <f t="shared" ref="Z23:Z36" si="10">IF(U23=D23,F23,IF(U23="Prospective",0,IF(U23="Onboarding",$J$85,IF(U23="Planning/Discovery",$J$84,IF(U23="Export/Retirement",$J$89,IF(AND(U23="Active",C23="Low"),$J$88,IF(AND(U23="Active",C23="High"),$J$86,$J$87))))))*(12-V23))</f>
        <v>0</v>
      </c>
      <c r="AA23" s="65">
        <f t="shared" ref="AA23:AA36" si="11">IF(U23=D23,G23,IF(U23="Prospective",0,IF(U23="Onboarding",$K$85,IF(U23="Planning/Discovery",$K$84,IF(U23="Export/Retirement",$K$89,IF(AND(U23="Active",C23="Low"),$K$88,IF(AND(U23="Active",C23="High"),$K$86,$K$87))))))*(12-V23))</f>
        <v>0</v>
      </c>
      <c r="AB23" s="65">
        <f t="shared" ref="AB23:AB36" si="12">IF(U23="Prospective",0,IF(U23="Onboarding",$L$85,IF(U23="Planning/Discovery",$L$84,IF(U23="Export/Retirement",$L$89,IF(AND(U23="Active",C23="Low"),$L$88*(12-V23),IF(AND(U23="Active",C23="High"),$L$86*(12-V23),$L$87*(12-V23)))))))</f>
        <v>0</v>
      </c>
      <c r="AC23" s="576">
        <f t="shared" si="6"/>
        <v>0</v>
      </c>
      <c r="AD23" s="65">
        <f t="shared" ref="AD23:AD36" si="13">IF(U23="Prospective",0,IF(U23="Onboarding",$M$85,IF(U23="Planning/Discovery",$M$84,IF(U23="Export/Retirement",$M$89,IF(AND(U23="Active",C23="Low"),$M$88*(12-V23),IF(AND(U23="Active",C23="High"),$M$86*(12-V23),$M$87*(12-V23)))))))</f>
        <v>0</v>
      </c>
      <c r="AE23" s="577">
        <f t="shared" si="8"/>
        <v>0</v>
      </c>
    </row>
    <row r="24" spans="1:31" s="449" customFormat="1" ht="14.65" thickBot="1">
      <c r="A24" s="587" t="str">
        <f>Inputs!A33</f>
        <v>New Project 3</v>
      </c>
      <c r="B24" s="65">
        <f>Inputs!B33</f>
        <v>12</v>
      </c>
      <c r="C24" s="65" t="str">
        <f>'Sys Admin'!F45</f>
        <v>Low</v>
      </c>
      <c r="D24" s="65" t="str">
        <f>'Sys Admin'!I45</f>
        <v>Prospective</v>
      </c>
      <c r="E24" s="574">
        <f>'Sys Admin Calculation'!E24</f>
        <v>0</v>
      </c>
      <c r="F24" s="570">
        <f>'Sys Admin Calculation'!Z24*(1+('Sys Admin'!$O$21/100))</f>
        <v>0</v>
      </c>
      <c r="G24" s="570">
        <f>'Sys Admin Calculation'!AA24*(1+('Sys Admin'!$O$21/100))</f>
        <v>0</v>
      </c>
      <c r="H24" s="506"/>
      <c r="I24" s="506"/>
      <c r="J24" s="506"/>
      <c r="K24" s="506"/>
      <c r="L24" s="506"/>
      <c r="M24" s="506"/>
      <c r="N24" s="506"/>
      <c r="O24" s="506"/>
      <c r="P24" s="506"/>
      <c r="Q24" s="506"/>
      <c r="R24" s="506"/>
      <c r="S24" s="506"/>
      <c r="T24" s="575" t="str">
        <f>'Sys Admin'!M45</f>
        <v>None</v>
      </c>
      <c r="U24" s="575" t="str">
        <f>'Sys Admin'!O45</f>
        <v>Prospective</v>
      </c>
      <c r="V24" s="575">
        <f>'Sys Admin'!Q45</f>
        <v>0</v>
      </c>
      <c r="W24" s="576">
        <f>IF(AND(V85=1, 'Sys Admin Calculation'!X73=0), VLOOKUP(U24&amp;T24,$N$48:$Q$65,4,FALSE), VLOOKUP(U24&amp;T24,$N$66:$Q$70,4,FALSE))</f>
        <v>0</v>
      </c>
      <c r="X24" s="563">
        <f t="shared" si="9"/>
        <v>0</v>
      </c>
      <c r="Y24" s="576">
        <f>IF(AND(V85=1,'Sys Admin Calculation'!X73=0),  VLOOKUP(T24,$P$71:$Q$74,2,FALSE), IF(AND(V85=1, 'Sys Admin Calculation'!X73=1), 0, IF('Sys Admin Calculation Y2'!U24&lt;&gt;"Active", 0, W24*X24)))</f>
        <v>0</v>
      </c>
      <c r="Z24" s="65">
        <f t="shared" si="10"/>
        <v>0</v>
      </c>
      <c r="AA24" s="65">
        <f t="shared" si="11"/>
        <v>0</v>
      </c>
      <c r="AB24" s="65">
        <f t="shared" si="12"/>
        <v>0</v>
      </c>
      <c r="AC24" s="576">
        <f t="shared" si="6"/>
        <v>0</v>
      </c>
      <c r="AD24" s="65">
        <f t="shared" si="13"/>
        <v>0</v>
      </c>
      <c r="AE24" s="577">
        <f t="shared" si="8"/>
        <v>0</v>
      </c>
    </row>
    <row r="25" spans="1:31" s="449" customFormat="1" ht="14.65" thickBot="1">
      <c r="A25" s="587" t="str">
        <f>Inputs!A34</f>
        <v>New Project 4</v>
      </c>
      <c r="B25" s="65">
        <f>Inputs!B34</f>
        <v>12</v>
      </c>
      <c r="C25" s="65" t="str">
        <f>'Sys Admin'!F46</f>
        <v>Low</v>
      </c>
      <c r="D25" s="65" t="str">
        <f>'Sys Admin'!I46</f>
        <v>Prospective</v>
      </c>
      <c r="E25" s="574">
        <f>'Sys Admin Calculation'!E25</f>
        <v>0</v>
      </c>
      <c r="F25" s="570">
        <f>'Sys Admin Calculation'!Z25*(1+('Sys Admin'!$O$21/100))</f>
        <v>0</v>
      </c>
      <c r="G25" s="570">
        <f>'Sys Admin Calculation'!AA25*(1+('Sys Admin'!$O$21/100))</f>
        <v>0</v>
      </c>
      <c r="H25" s="506"/>
      <c r="I25" s="506"/>
      <c r="J25" s="506"/>
      <c r="K25" s="506"/>
      <c r="L25" s="506"/>
      <c r="M25" s="506"/>
      <c r="N25" s="506"/>
      <c r="O25" s="506"/>
      <c r="P25" s="506"/>
      <c r="Q25" s="506"/>
      <c r="R25" s="506"/>
      <c r="S25" s="506"/>
      <c r="T25" s="575" t="str">
        <f>'Sys Admin'!M46</f>
        <v>None</v>
      </c>
      <c r="U25" s="575" t="str">
        <f>'Sys Admin'!O46</f>
        <v>Prospective</v>
      </c>
      <c r="V25" s="575">
        <f>'Sys Admin'!Q46</f>
        <v>0</v>
      </c>
      <c r="W25" s="576">
        <f>IF(AND(V86=1, 'Sys Admin Calculation'!X74=0), VLOOKUP(U25&amp;T25,$N$48:$Q$65,4,FALSE), VLOOKUP(U25&amp;T25,$N$66:$Q$70,4,FALSE))</f>
        <v>0</v>
      </c>
      <c r="X25" s="563">
        <f t="shared" si="9"/>
        <v>0</v>
      </c>
      <c r="Y25" s="576">
        <f>IF(AND(V86=1,'Sys Admin Calculation'!X74=0),  VLOOKUP(T25,$P$71:$Q$74,2,FALSE), IF(AND(V86=1, 'Sys Admin Calculation'!X74=1), 0, IF('Sys Admin Calculation Y2'!U25&lt;&gt;"Active", 0, W25*X25)))</f>
        <v>0</v>
      </c>
      <c r="Z25" s="65">
        <f t="shared" si="10"/>
        <v>0</v>
      </c>
      <c r="AA25" s="65">
        <f t="shared" si="11"/>
        <v>0</v>
      </c>
      <c r="AB25" s="65">
        <f t="shared" si="12"/>
        <v>0</v>
      </c>
      <c r="AC25" s="576">
        <f t="shared" si="6"/>
        <v>0</v>
      </c>
      <c r="AD25" s="65">
        <f t="shared" si="13"/>
        <v>0</v>
      </c>
      <c r="AE25" s="577">
        <f t="shared" si="8"/>
        <v>0</v>
      </c>
    </row>
    <row r="26" spans="1:31" s="449" customFormat="1" ht="14.65" thickBot="1">
      <c r="A26" s="587" t="str">
        <f>Inputs!A35</f>
        <v>New Project 5</v>
      </c>
      <c r="B26" s="65">
        <f>Inputs!B35</f>
        <v>12</v>
      </c>
      <c r="C26" s="65" t="str">
        <f>'Sys Admin'!F47</f>
        <v>Low</v>
      </c>
      <c r="D26" s="65" t="str">
        <f>'Sys Admin'!I47</f>
        <v>Prospective</v>
      </c>
      <c r="E26" s="574">
        <f>'Sys Admin Calculation'!E26</f>
        <v>0</v>
      </c>
      <c r="F26" s="570">
        <f>'Sys Admin Calculation'!Z26*(1+('Sys Admin'!$O$21/100))</f>
        <v>0</v>
      </c>
      <c r="G26" s="570">
        <f>'Sys Admin Calculation'!AA26*(1+('Sys Admin'!$O$21/100))</f>
        <v>0</v>
      </c>
      <c r="H26" s="506"/>
      <c r="I26" s="506"/>
      <c r="J26" s="506"/>
      <c r="K26" s="506"/>
      <c r="L26" s="506"/>
      <c r="M26" s="506"/>
      <c r="N26" s="506"/>
      <c r="O26" s="506"/>
      <c r="P26" s="506"/>
      <c r="Q26" s="506"/>
      <c r="R26" s="506"/>
      <c r="S26" s="506"/>
      <c r="T26" s="575" t="str">
        <f>'Sys Admin'!M47</f>
        <v>None</v>
      </c>
      <c r="U26" s="575" t="str">
        <f>'Sys Admin'!O47</f>
        <v>Prospective</v>
      </c>
      <c r="V26" s="575">
        <f>'Sys Admin'!Q47</f>
        <v>0</v>
      </c>
      <c r="W26" s="576">
        <f>IF(AND(V87=1, 'Sys Admin Calculation'!X75=0), VLOOKUP(U26&amp;T26,$N$48:$Q$65,4,FALSE), VLOOKUP(U26&amp;T26,$N$66:$Q$70,4,FALSE))</f>
        <v>0</v>
      </c>
      <c r="X26" s="563">
        <f t="shared" si="9"/>
        <v>0</v>
      </c>
      <c r="Y26" s="576">
        <f>IF(AND(V87=1,'Sys Admin Calculation'!X75=0),  VLOOKUP(T26,$P$71:$Q$74,2,FALSE), IF(AND(V87=1, 'Sys Admin Calculation'!X75=1), 0, IF('Sys Admin Calculation Y2'!U26&lt;&gt;"Active", 0, W26*X26)))</f>
        <v>0</v>
      </c>
      <c r="Z26" s="65">
        <f t="shared" si="10"/>
        <v>0</v>
      </c>
      <c r="AA26" s="65">
        <f t="shared" si="11"/>
        <v>0</v>
      </c>
      <c r="AB26" s="65">
        <f t="shared" si="12"/>
        <v>0</v>
      </c>
      <c r="AC26" s="576">
        <f t="shared" si="6"/>
        <v>0</v>
      </c>
      <c r="AD26" s="65">
        <f t="shared" si="13"/>
        <v>0</v>
      </c>
      <c r="AE26" s="577">
        <f t="shared" si="8"/>
        <v>0</v>
      </c>
    </row>
    <row r="27" spans="1:31" s="449" customFormat="1" ht="14.65" thickBot="1">
      <c r="A27" s="587" t="str">
        <f>Inputs!A36</f>
        <v>New Project 6</v>
      </c>
      <c r="B27" s="65">
        <f>Inputs!B36</f>
        <v>12</v>
      </c>
      <c r="C27" s="65" t="str">
        <f>'Sys Admin'!F48</f>
        <v>Low</v>
      </c>
      <c r="D27" s="65" t="str">
        <f>'Sys Admin'!I48</f>
        <v>Prospective</v>
      </c>
      <c r="E27" s="574">
        <f>'Sys Admin Calculation'!E27</f>
        <v>0</v>
      </c>
      <c r="F27" s="570">
        <f>'Sys Admin Calculation'!Z27*(1+('Sys Admin'!$O$21/100))</f>
        <v>0</v>
      </c>
      <c r="G27" s="570">
        <f>'Sys Admin Calculation'!AA27*(1+('Sys Admin'!$O$21/100))</f>
        <v>0</v>
      </c>
      <c r="H27" s="506"/>
      <c r="I27" s="506"/>
      <c r="J27" s="506"/>
      <c r="K27" s="506"/>
      <c r="L27" s="506"/>
      <c r="M27" s="506"/>
      <c r="N27" s="506"/>
      <c r="O27" s="506"/>
      <c r="P27" s="506"/>
      <c r="Q27" s="506"/>
      <c r="R27" s="506"/>
      <c r="S27" s="506"/>
      <c r="T27" s="575" t="str">
        <f>'Sys Admin'!M48</f>
        <v>None</v>
      </c>
      <c r="U27" s="575" t="str">
        <f>'Sys Admin'!O48</f>
        <v>Prospective</v>
      </c>
      <c r="V27" s="575">
        <f>'Sys Admin'!Q48</f>
        <v>0</v>
      </c>
      <c r="W27" s="576">
        <f>IF(AND(V88=1, 'Sys Admin Calculation'!X76=0), VLOOKUP(U27&amp;T27,$N$48:$Q$65,4,FALSE), VLOOKUP(U27&amp;T27,$N$66:$Q$70,4,FALSE))</f>
        <v>0</v>
      </c>
      <c r="X27" s="563">
        <f t="shared" si="9"/>
        <v>0</v>
      </c>
      <c r="Y27" s="576">
        <f>IF(AND(V88=1,'Sys Admin Calculation'!X76=0),  VLOOKUP(T27,$P$71:$Q$74,2,FALSE), IF(AND(V88=1, 'Sys Admin Calculation'!X76=1), 0, IF('Sys Admin Calculation Y2'!U27&lt;&gt;"Active", 0, W27*X27)))</f>
        <v>0</v>
      </c>
      <c r="Z27" s="65">
        <f t="shared" si="10"/>
        <v>0</v>
      </c>
      <c r="AA27" s="65">
        <f t="shared" si="11"/>
        <v>0</v>
      </c>
      <c r="AB27" s="65">
        <f t="shared" si="12"/>
        <v>0</v>
      </c>
      <c r="AC27" s="576">
        <f t="shared" si="6"/>
        <v>0</v>
      </c>
      <c r="AD27" s="65">
        <f t="shared" si="13"/>
        <v>0</v>
      </c>
      <c r="AE27" s="577">
        <f t="shared" si="8"/>
        <v>0</v>
      </c>
    </row>
    <row r="28" spans="1:31" s="449" customFormat="1" ht="14.65" thickBot="1">
      <c r="A28" s="587" t="str">
        <f>Inputs!A37</f>
        <v>New Project 7</v>
      </c>
      <c r="B28" s="65">
        <f>Inputs!B37</f>
        <v>12</v>
      </c>
      <c r="C28" s="65" t="str">
        <f>'Sys Admin'!F49</f>
        <v>Low</v>
      </c>
      <c r="D28" s="65" t="str">
        <f>'Sys Admin'!I49</f>
        <v>Prospective</v>
      </c>
      <c r="E28" s="574">
        <f>'Sys Admin Calculation'!E28</f>
        <v>0</v>
      </c>
      <c r="F28" s="570">
        <f>'Sys Admin Calculation'!Z28*(1+('Sys Admin'!$O$21/100))</f>
        <v>0</v>
      </c>
      <c r="G28" s="570">
        <f>'Sys Admin Calculation'!AA28*(1+('Sys Admin'!$O$21/100))</f>
        <v>0</v>
      </c>
      <c r="H28" s="506"/>
      <c r="I28" s="506"/>
      <c r="J28" s="506"/>
      <c r="K28" s="506"/>
      <c r="L28" s="506"/>
      <c r="M28" s="506"/>
      <c r="N28" s="506"/>
      <c r="O28" s="506"/>
      <c r="P28" s="506"/>
      <c r="Q28" s="506"/>
      <c r="R28" s="506"/>
      <c r="S28" s="506"/>
      <c r="T28" s="575" t="str">
        <f>'Sys Admin'!M49</f>
        <v>None</v>
      </c>
      <c r="U28" s="575" t="str">
        <f>'Sys Admin'!O49</f>
        <v>Prospective</v>
      </c>
      <c r="V28" s="575">
        <f>'Sys Admin'!Q49</f>
        <v>0</v>
      </c>
      <c r="W28" s="576">
        <f>IF(AND(V89=1, 'Sys Admin Calculation'!X77=0), VLOOKUP(U28&amp;T28,$N$48:$Q$65,4,FALSE), VLOOKUP(U28&amp;T28,$N$66:$Q$70,4,FALSE))</f>
        <v>0</v>
      </c>
      <c r="X28" s="563">
        <f t="shared" si="9"/>
        <v>0</v>
      </c>
      <c r="Y28" s="576">
        <f>IF(AND(V89=1,'Sys Admin Calculation'!X77=0),  VLOOKUP(T28,$P$71:$Q$74,2,FALSE), IF(AND(V89=1, 'Sys Admin Calculation'!X77=1), 0, IF('Sys Admin Calculation Y2'!U28&lt;&gt;"Active", 0, W28*X28)))</f>
        <v>0</v>
      </c>
      <c r="Z28" s="65">
        <f t="shared" si="10"/>
        <v>0</v>
      </c>
      <c r="AA28" s="65">
        <f t="shared" si="11"/>
        <v>0</v>
      </c>
      <c r="AB28" s="65">
        <f t="shared" si="12"/>
        <v>0</v>
      </c>
      <c r="AC28" s="576">
        <f t="shared" si="6"/>
        <v>0</v>
      </c>
      <c r="AD28" s="65">
        <f t="shared" si="13"/>
        <v>0</v>
      </c>
      <c r="AE28" s="577">
        <f t="shared" si="8"/>
        <v>0</v>
      </c>
    </row>
    <row r="29" spans="1:31" s="449" customFormat="1" ht="14.65" thickBot="1">
      <c r="A29" s="587" t="str">
        <f>Inputs!A38</f>
        <v>New Project 8</v>
      </c>
      <c r="B29" s="65">
        <f>Inputs!B38</f>
        <v>12</v>
      </c>
      <c r="C29" s="65" t="str">
        <f>'Sys Admin'!F50</f>
        <v>Low</v>
      </c>
      <c r="D29" s="65" t="str">
        <f>'Sys Admin'!I50</f>
        <v>Prospective</v>
      </c>
      <c r="E29" s="574">
        <f>'Sys Admin Calculation'!E29</f>
        <v>0</v>
      </c>
      <c r="F29" s="570">
        <f>'Sys Admin Calculation'!Z29*(1+('Sys Admin'!$O$21/100))</f>
        <v>0</v>
      </c>
      <c r="G29" s="570">
        <f>'Sys Admin Calculation'!AA29*(1+('Sys Admin'!$O$21/100))</f>
        <v>0</v>
      </c>
      <c r="H29" s="506"/>
      <c r="I29" s="506"/>
      <c r="J29" s="506"/>
      <c r="K29" s="506"/>
      <c r="L29" s="506"/>
      <c r="M29" s="506"/>
      <c r="N29" s="506"/>
      <c r="O29" s="506"/>
      <c r="P29" s="506"/>
      <c r="Q29" s="506"/>
      <c r="R29" s="506"/>
      <c r="S29" s="506"/>
      <c r="T29" s="575" t="str">
        <f>'Sys Admin'!M50</f>
        <v>None</v>
      </c>
      <c r="U29" s="575" t="str">
        <f>'Sys Admin'!O50</f>
        <v>Prospective</v>
      </c>
      <c r="V29" s="575">
        <f>'Sys Admin'!Q50</f>
        <v>0</v>
      </c>
      <c r="W29" s="576">
        <f>IF(AND(V90=1, 'Sys Admin Calculation'!X78=0), VLOOKUP(U29&amp;T29,$N$48:$Q$65,4,FALSE), VLOOKUP(U29&amp;T29,$N$66:$Q$70,4,FALSE))</f>
        <v>0</v>
      </c>
      <c r="X29" s="563">
        <f t="shared" si="9"/>
        <v>0</v>
      </c>
      <c r="Y29" s="576">
        <f>IF(AND(V90=1,'Sys Admin Calculation'!X78=0),  VLOOKUP(T29,$P$71:$Q$74,2,FALSE), IF(AND(V90=1, 'Sys Admin Calculation'!X78=1), 0, IF('Sys Admin Calculation Y2'!U29&lt;&gt;"Active", 0, W29*X29)))</f>
        <v>0</v>
      </c>
      <c r="Z29" s="65">
        <f t="shared" si="10"/>
        <v>0</v>
      </c>
      <c r="AA29" s="65">
        <f t="shared" si="11"/>
        <v>0</v>
      </c>
      <c r="AB29" s="65">
        <f t="shared" si="12"/>
        <v>0</v>
      </c>
      <c r="AC29" s="576">
        <f t="shared" si="6"/>
        <v>0</v>
      </c>
      <c r="AD29" s="65">
        <f t="shared" si="13"/>
        <v>0</v>
      </c>
      <c r="AE29" s="577">
        <f t="shared" si="8"/>
        <v>0</v>
      </c>
    </row>
    <row r="30" spans="1:31" s="449" customFormat="1" ht="14.65" thickBot="1">
      <c r="A30" s="587" t="str">
        <f>Inputs!A39</f>
        <v>New Project 9</v>
      </c>
      <c r="B30" s="65">
        <f>Inputs!B39</f>
        <v>12</v>
      </c>
      <c r="C30" s="65" t="str">
        <f>'Sys Admin'!F51</f>
        <v>Low</v>
      </c>
      <c r="D30" s="65" t="str">
        <f>'Sys Admin'!I51</f>
        <v>Prospective</v>
      </c>
      <c r="E30" s="574">
        <f>'Sys Admin Calculation'!E30</f>
        <v>0</v>
      </c>
      <c r="F30" s="570">
        <f>'Sys Admin Calculation'!Z30*(1+('Sys Admin'!$O$21/100))</f>
        <v>0</v>
      </c>
      <c r="G30" s="570">
        <f>'Sys Admin Calculation'!AA30*(1+('Sys Admin'!$O$21/100))</f>
        <v>0</v>
      </c>
      <c r="H30" s="506"/>
      <c r="I30" s="506"/>
      <c r="J30" s="506"/>
      <c r="K30" s="506"/>
      <c r="L30" s="506"/>
      <c r="M30" s="506"/>
      <c r="N30" s="506"/>
      <c r="O30" s="506"/>
      <c r="P30" s="506"/>
      <c r="Q30" s="506"/>
      <c r="R30" s="506"/>
      <c r="S30" s="506"/>
      <c r="T30" s="575" t="str">
        <f>'Sys Admin'!M51</f>
        <v>None</v>
      </c>
      <c r="U30" s="575" t="str">
        <f>'Sys Admin'!O51</f>
        <v>Prospective</v>
      </c>
      <c r="V30" s="575">
        <f>'Sys Admin'!Q51</f>
        <v>0</v>
      </c>
      <c r="W30" s="576">
        <f>IF(AND(V91=1, 'Sys Admin Calculation'!X79=0), VLOOKUP(U30&amp;T30,$N$48:$Q$65,4,FALSE), VLOOKUP(U30&amp;T30,$N$66:$Q$70,4,FALSE))</f>
        <v>0</v>
      </c>
      <c r="X30" s="563">
        <f t="shared" si="9"/>
        <v>0</v>
      </c>
      <c r="Y30" s="576">
        <f>IF(AND(V91=1,'Sys Admin Calculation'!X79=0),  VLOOKUP(T30,$P$71:$Q$74,2,FALSE), IF(AND(V91=1, 'Sys Admin Calculation'!X79=1), 0, IF('Sys Admin Calculation Y2'!U30&lt;&gt;"Active", 0, W30*X30)))</f>
        <v>0</v>
      </c>
      <c r="Z30" s="65">
        <f t="shared" si="10"/>
        <v>0</v>
      </c>
      <c r="AA30" s="65">
        <f t="shared" si="11"/>
        <v>0</v>
      </c>
      <c r="AB30" s="65">
        <f t="shared" si="12"/>
        <v>0</v>
      </c>
      <c r="AC30" s="576">
        <f t="shared" si="6"/>
        <v>0</v>
      </c>
      <c r="AD30" s="65">
        <f t="shared" si="13"/>
        <v>0</v>
      </c>
      <c r="AE30" s="577">
        <f t="shared" si="8"/>
        <v>0</v>
      </c>
    </row>
    <row r="31" spans="1:31" s="449" customFormat="1" ht="14.65" thickBot="1">
      <c r="A31" s="587" t="str">
        <f>Inputs!A40</f>
        <v>New Project 10</v>
      </c>
      <c r="B31" s="65">
        <f>Inputs!B40</f>
        <v>12</v>
      </c>
      <c r="C31" s="65" t="str">
        <f>'Sys Admin'!F52</f>
        <v>Low</v>
      </c>
      <c r="D31" s="65" t="str">
        <f>'Sys Admin'!I52</f>
        <v>Prospective</v>
      </c>
      <c r="E31" s="574">
        <f>'Sys Admin Calculation'!E31</f>
        <v>0</v>
      </c>
      <c r="F31" s="570">
        <f>'Sys Admin Calculation'!Z31*(1+('Sys Admin'!$O$21/100))</f>
        <v>0</v>
      </c>
      <c r="G31" s="570">
        <f>'Sys Admin Calculation'!AA31*(1+('Sys Admin'!$O$21/100))</f>
        <v>0</v>
      </c>
      <c r="H31" s="506"/>
      <c r="I31" s="506"/>
      <c r="J31" s="506"/>
      <c r="K31" s="506"/>
      <c r="L31" s="506"/>
      <c r="M31" s="506"/>
      <c r="N31" s="506"/>
      <c r="O31" s="506"/>
      <c r="P31" s="506"/>
      <c r="Q31" s="506"/>
      <c r="R31" s="506"/>
      <c r="S31" s="506"/>
      <c r="T31" s="575" t="str">
        <f>'Sys Admin'!M52</f>
        <v>None</v>
      </c>
      <c r="U31" s="575" t="str">
        <f>'Sys Admin'!O52</f>
        <v>Prospective</v>
      </c>
      <c r="V31" s="575">
        <f>'Sys Admin'!Q52</f>
        <v>0</v>
      </c>
      <c r="W31" s="576">
        <f>IF(AND(V92=1, 'Sys Admin Calculation'!X80=0), VLOOKUP(U31&amp;T31,$N$48:$Q$65,4,FALSE), VLOOKUP(U31&amp;T31,$N$66:$Q$70,4,FALSE))</f>
        <v>0</v>
      </c>
      <c r="X31" s="563">
        <f t="shared" si="9"/>
        <v>0</v>
      </c>
      <c r="Y31" s="576">
        <f>IF(AND(V92=1,'Sys Admin Calculation'!X80=0),  VLOOKUP(T31,$P$71:$Q$74,2,FALSE), IF(AND(V92=1, 'Sys Admin Calculation'!X80=1), 0, IF('Sys Admin Calculation Y2'!U31&lt;&gt;"Active", 0, W31*X31)))</f>
        <v>0</v>
      </c>
      <c r="Z31" s="65">
        <f t="shared" si="10"/>
        <v>0</v>
      </c>
      <c r="AA31" s="65">
        <f t="shared" si="11"/>
        <v>0</v>
      </c>
      <c r="AB31" s="65">
        <f t="shared" si="12"/>
        <v>0</v>
      </c>
      <c r="AC31" s="576">
        <f t="shared" si="6"/>
        <v>0</v>
      </c>
      <c r="AD31" s="65">
        <f t="shared" si="13"/>
        <v>0</v>
      </c>
      <c r="AE31" s="577">
        <f t="shared" si="8"/>
        <v>0</v>
      </c>
    </row>
    <row r="32" spans="1:31" s="449" customFormat="1" ht="14.65" thickBot="1">
      <c r="A32" s="587" t="str">
        <f>Inputs!A41</f>
        <v>New Project 11</v>
      </c>
      <c r="B32" s="65">
        <f>Inputs!B41</f>
        <v>12</v>
      </c>
      <c r="C32" s="65" t="str">
        <f>'Sys Admin'!F53</f>
        <v>Low</v>
      </c>
      <c r="D32" s="65" t="str">
        <f>'Sys Admin'!I53</f>
        <v>Prospective</v>
      </c>
      <c r="E32" s="574">
        <f>'Sys Admin Calculation'!E32</f>
        <v>0</v>
      </c>
      <c r="F32" s="570">
        <f>'Sys Admin Calculation'!Z32*(1+('Sys Admin'!$O$21/100))</f>
        <v>0</v>
      </c>
      <c r="G32" s="570">
        <f>'Sys Admin Calculation'!AA32*(1+('Sys Admin'!$O$21/100))</f>
        <v>0</v>
      </c>
      <c r="H32" s="506"/>
      <c r="I32" s="506"/>
      <c r="J32" s="506"/>
      <c r="K32" s="506"/>
      <c r="L32" s="506"/>
      <c r="M32" s="506"/>
      <c r="N32" s="506"/>
      <c r="O32" s="506"/>
      <c r="P32" s="506"/>
      <c r="Q32" s="506"/>
      <c r="R32" s="506"/>
      <c r="S32" s="506"/>
      <c r="T32" s="575" t="str">
        <f>'Sys Admin'!M53</f>
        <v>None</v>
      </c>
      <c r="U32" s="575" t="str">
        <f>'Sys Admin'!O53</f>
        <v>Prospective</v>
      </c>
      <c r="V32" s="575">
        <f>'Sys Admin'!Q53</f>
        <v>0</v>
      </c>
      <c r="W32" s="576">
        <f>IF(AND(V93=1, 'Sys Admin Calculation'!X81=0), VLOOKUP(U32&amp;T32,$N$48:$Q$65,4,FALSE), VLOOKUP(U32&amp;T32,$N$66:$Q$70,4,FALSE))</f>
        <v>0</v>
      </c>
      <c r="X32" s="563">
        <f t="shared" si="9"/>
        <v>0</v>
      </c>
      <c r="Y32" s="576">
        <f>IF(AND(V93=1,'Sys Admin Calculation'!X81=0),  VLOOKUP(T32,$P$71:$Q$74,2,FALSE), IF(AND(V93=1, 'Sys Admin Calculation'!X81=1), 0, IF('Sys Admin Calculation Y2'!U32&lt;&gt;"Active", 0, W32*X32)))</f>
        <v>0</v>
      </c>
      <c r="Z32" s="65">
        <f t="shared" si="10"/>
        <v>0</v>
      </c>
      <c r="AA32" s="65">
        <f t="shared" si="11"/>
        <v>0</v>
      </c>
      <c r="AB32" s="65">
        <f t="shared" si="12"/>
        <v>0</v>
      </c>
      <c r="AC32" s="576">
        <f t="shared" si="6"/>
        <v>0</v>
      </c>
      <c r="AD32" s="65">
        <f t="shared" si="13"/>
        <v>0</v>
      </c>
      <c r="AE32" s="577">
        <f t="shared" si="8"/>
        <v>0</v>
      </c>
    </row>
    <row r="33" spans="1:31" s="449" customFormat="1" ht="14.65" thickBot="1">
      <c r="A33" s="587" t="str">
        <f>Inputs!A42</f>
        <v>New Project 12</v>
      </c>
      <c r="B33" s="65">
        <f>Inputs!B42</f>
        <v>12</v>
      </c>
      <c r="C33" s="65" t="str">
        <f>'Sys Admin'!F54</f>
        <v>Low</v>
      </c>
      <c r="D33" s="65" t="str">
        <f>'Sys Admin'!I54</f>
        <v>Prospective</v>
      </c>
      <c r="E33" s="574">
        <f>'Sys Admin Calculation'!E33</f>
        <v>0</v>
      </c>
      <c r="F33" s="570">
        <f>'Sys Admin Calculation'!Z33*(1+('Sys Admin'!$O$21/100))</f>
        <v>0</v>
      </c>
      <c r="G33" s="570">
        <f>'Sys Admin Calculation'!AA33*(1+('Sys Admin'!$O$21/100))</f>
        <v>0</v>
      </c>
      <c r="H33" s="506"/>
      <c r="I33" s="506"/>
      <c r="J33" s="506"/>
      <c r="K33" s="506"/>
      <c r="L33" s="506"/>
      <c r="M33" s="506"/>
      <c r="N33" s="506"/>
      <c r="O33" s="506"/>
      <c r="P33" s="506"/>
      <c r="Q33" s="506"/>
      <c r="R33" s="506"/>
      <c r="S33" s="506"/>
      <c r="T33" s="575" t="str">
        <f>'Sys Admin'!M54</f>
        <v>None</v>
      </c>
      <c r="U33" s="575" t="str">
        <f>'Sys Admin'!O54</f>
        <v>Prospective</v>
      </c>
      <c r="V33" s="575">
        <f>'Sys Admin'!Q54</f>
        <v>0</v>
      </c>
      <c r="W33" s="576">
        <f>IF(AND(V94=1, 'Sys Admin Calculation'!X82=0), VLOOKUP(U33&amp;T33,$N$48:$Q$65,4,FALSE), VLOOKUP(U33&amp;T33,$N$66:$Q$70,4,FALSE))</f>
        <v>0</v>
      </c>
      <c r="X33" s="563">
        <f t="shared" si="9"/>
        <v>0</v>
      </c>
      <c r="Y33" s="576">
        <f>IF(AND(V94=1,'Sys Admin Calculation'!X82=0),  VLOOKUP(T33,$P$71:$Q$74,2,FALSE), IF(AND(V94=1, 'Sys Admin Calculation'!X82=1), 0, IF('Sys Admin Calculation Y2'!U33&lt;&gt;"Active", 0, W33*X33)))</f>
        <v>0</v>
      </c>
      <c r="Z33" s="65">
        <f t="shared" si="10"/>
        <v>0</v>
      </c>
      <c r="AA33" s="65">
        <f t="shared" si="11"/>
        <v>0</v>
      </c>
      <c r="AB33" s="65">
        <f t="shared" si="12"/>
        <v>0</v>
      </c>
      <c r="AC33" s="576">
        <f t="shared" si="6"/>
        <v>0</v>
      </c>
      <c r="AD33" s="65">
        <f t="shared" si="13"/>
        <v>0</v>
      </c>
      <c r="AE33" s="577">
        <f t="shared" si="8"/>
        <v>0</v>
      </c>
    </row>
    <row r="34" spans="1:31" s="449" customFormat="1" ht="14.65" thickBot="1">
      <c r="A34" s="587" t="str">
        <f>Inputs!A43</f>
        <v>New Project 13</v>
      </c>
      <c r="B34" s="65">
        <f>Inputs!B43</f>
        <v>12</v>
      </c>
      <c r="C34" s="65" t="str">
        <f>'Sys Admin'!F55</f>
        <v>Low</v>
      </c>
      <c r="D34" s="65" t="str">
        <f>'Sys Admin'!I55</f>
        <v>Prospective</v>
      </c>
      <c r="E34" s="574">
        <f>'Sys Admin Calculation'!E34</f>
        <v>0</v>
      </c>
      <c r="F34" s="570">
        <f>'Sys Admin Calculation'!Z34*(1+('Sys Admin'!$O$21/100))</f>
        <v>0</v>
      </c>
      <c r="G34" s="570">
        <f>'Sys Admin Calculation'!AA34*(1+('Sys Admin'!$O$21/100))</f>
        <v>0</v>
      </c>
      <c r="H34" s="506"/>
      <c r="I34" s="506"/>
      <c r="J34" s="506"/>
      <c r="K34" s="506"/>
      <c r="L34" s="506"/>
      <c r="M34" s="506"/>
      <c r="N34" s="506"/>
      <c r="O34" s="506"/>
      <c r="P34" s="506"/>
      <c r="Q34" s="506"/>
      <c r="R34" s="506"/>
      <c r="S34" s="506"/>
      <c r="T34" s="575" t="str">
        <f>'Sys Admin'!M55</f>
        <v>None</v>
      </c>
      <c r="U34" s="575" t="str">
        <f>'Sys Admin'!O55</f>
        <v>Prospective</v>
      </c>
      <c r="V34" s="575">
        <f>'Sys Admin'!Q55</f>
        <v>0</v>
      </c>
      <c r="W34" s="576">
        <f>IF(AND(V95=1, 'Sys Admin Calculation'!X83=0), VLOOKUP(U34&amp;T34,$N$48:$Q$65,4,FALSE), VLOOKUP(U34&amp;T34,$N$66:$Q$70,4,FALSE))</f>
        <v>0</v>
      </c>
      <c r="X34" s="563">
        <f t="shared" si="9"/>
        <v>0</v>
      </c>
      <c r="Y34" s="576">
        <f>IF(AND(V95=1,'Sys Admin Calculation'!X83=0),  VLOOKUP(T34,$P$71:$Q$74,2,FALSE), IF(AND(V95=1, 'Sys Admin Calculation'!X83=1), 0, IF('Sys Admin Calculation Y2'!U34&lt;&gt;"Active", 0, W34*X34)))</f>
        <v>0</v>
      </c>
      <c r="Z34" s="65">
        <f t="shared" si="10"/>
        <v>0</v>
      </c>
      <c r="AA34" s="65">
        <f t="shared" si="11"/>
        <v>0</v>
      </c>
      <c r="AB34" s="65">
        <f t="shared" si="12"/>
        <v>0</v>
      </c>
      <c r="AC34" s="576">
        <f t="shared" si="6"/>
        <v>0</v>
      </c>
      <c r="AD34" s="65">
        <f t="shared" si="13"/>
        <v>0</v>
      </c>
      <c r="AE34" s="577">
        <f t="shared" si="8"/>
        <v>0</v>
      </c>
    </row>
    <row r="35" spans="1:31" s="449" customFormat="1" ht="14.65" thickBot="1">
      <c r="A35" s="587" t="str">
        <f>Inputs!A44</f>
        <v>New Project 14</v>
      </c>
      <c r="B35" s="65">
        <f>Inputs!B44</f>
        <v>12</v>
      </c>
      <c r="C35" s="65" t="str">
        <f>'Sys Admin'!F56</f>
        <v>Low</v>
      </c>
      <c r="D35" s="65" t="str">
        <f>'Sys Admin'!I56</f>
        <v>Prospective</v>
      </c>
      <c r="E35" s="574">
        <f>'Sys Admin Calculation'!E35</f>
        <v>0</v>
      </c>
      <c r="F35" s="570">
        <f>'Sys Admin Calculation'!Z35*(1+('Sys Admin'!$O$21/100))</f>
        <v>0</v>
      </c>
      <c r="G35" s="570">
        <f>'Sys Admin Calculation'!AA35*(1+('Sys Admin'!$O$21/100))</f>
        <v>0</v>
      </c>
      <c r="H35" s="506"/>
      <c r="I35" s="506"/>
      <c r="J35" s="506"/>
      <c r="K35" s="506"/>
      <c r="L35" s="506"/>
      <c r="M35" s="506"/>
      <c r="N35" s="506"/>
      <c r="O35" s="506"/>
      <c r="P35" s="506"/>
      <c r="Q35" s="506"/>
      <c r="R35" s="506"/>
      <c r="S35" s="506"/>
      <c r="T35" s="575" t="str">
        <f>'Sys Admin'!M56</f>
        <v>None</v>
      </c>
      <c r="U35" s="575" t="str">
        <f>'Sys Admin'!O56</f>
        <v>Prospective</v>
      </c>
      <c r="V35" s="575">
        <f>'Sys Admin'!Q56</f>
        <v>0</v>
      </c>
      <c r="W35" s="576">
        <f>IF(AND(V96=1, 'Sys Admin Calculation'!X84=0), VLOOKUP(U35&amp;T35,$N$48:$Q$65,4,FALSE), VLOOKUP(U35&amp;T35,$N$66:$Q$70,4,FALSE))</f>
        <v>0</v>
      </c>
      <c r="X35" s="563">
        <f t="shared" si="9"/>
        <v>0</v>
      </c>
      <c r="Y35" s="576">
        <f>IF(AND(V96=1,'Sys Admin Calculation'!X84=0),  VLOOKUP(T35,$P$71:$Q$74,2,FALSE), IF(AND(V96=1, 'Sys Admin Calculation'!X84=1), 0, IF('Sys Admin Calculation Y2'!U35&lt;&gt;"Active", 0, W35*X35)))</f>
        <v>0</v>
      </c>
      <c r="Z35" s="65">
        <f t="shared" si="10"/>
        <v>0</v>
      </c>
      <c r="AA35" s="65">
        <f t="shared" si="11"/>
        <v>0</v>
      </c>
      <c r="AB35" s="65">
        <f t="shared" si="12"/>
        <v>0</v>
      </c>
      <c r="AC35" s="576">
        <f t="shared" si="6"/>
        <v>0</v>
      </c>
      <c r="AD35" s="65">
        <f t="shared" si="13"/>
        <v>0</v>
      </c>
      <c r="AE35" s="577">
        <f t="shared" si="8"/>
        <v>0</v>
      </c>
    </row>
    <row r="36" spans="1:31" s="449" customFormat="1" ht="14.65" thickBot="1">
      <c r="A36" s="546" t="str">
        <f>Inputs!A45</f>
        <v>New Project 15</v>
      </c>
      <c r="B36" s="547">
        <f>Inputs!B45</f>
        <v>12</v>
      </c>
      <c r="C36" s="547" t="str">
        <f>'Sys Admin'!F57</f>
        <v>Low</v>
      </c>
      <c r="D36" s="547" t="str">
        <f>'Sys Admin'!I57</f>
        <v>Prospective</v>
      </c>
      <c r="E36" s="579">
        <f>'Sys Admin Calculation'!E36</f>
        <v>0</v>
      </c>
      <c r="F36" s="570">
        <f>'Sys Admin Calculation'!Z36*(1+('Sys Admin'!$O$21/100))</f>
        <v>0</v>
      </c>
      <c r="G36" s="570">
        <f>'Sys Admin Calculation'!AA36*(1+('Sys Admin'!$O$21/100))</f>
        <v>0</v>
      </c>
      <c r="H36" s="565"/>
      <c r="I36" s="565"/>
      <c r="J36" s="565"/>
      <c r="K36" s="565"/>
      <c r="L36" s="565"/>
      <c r="M36" s="565"/>
      <c r="N36" s="565"/>
      <c r="O36" s="565"/>
      <c r="P36" s="565"/>
      <c r="Q36" s="565"/>
      <c r="R36" s="565"/>
      <c r="S36" s="565"/>
      <c r="T36" s="580" t="str">
        <f>'Sys Admin'!M57</f>
        <v>None</v>
      </c>
      <c r="U36" s="580" t="str">
        <f>'Sys Admin'!O57</f>
        <v>Prospective</v>
      </c>
      <c r="V36" s="580">
        <f>'Sys Admin'!Q57</f>
        <v>0</v>
      </c>
      <c r="W36" s="581">
        <f>IF(AND(V97=1, 'Sys Admin Calculation'!X85=0), VLOOKUP(U36&amp;T36,$N$48:$Q$65,4,FALSE), VLOOKUP(U36&amp;T36,$N$66:$Q$70,4,FALSE))</f>
        <v>0</v>
      </c>
      <c r="X36" s="563">
        <f t="shared" si="9"/>
        <v>0</v>
      </c>
      <c r="Y36" s="581">
        <f>IF(AND(V97=1,'Sys Admin Calculation'!X85=0),  VLOOKUP(T36,$P$71:$Q$74,2,FALSE), IF(AND(V97=1, 'Sys Admin Calculation'!X85=1), 0, IF('Sys Admin Calculation Y2'!U36&lt;&gt;"Active", 0, W36*X36)))</f>
        <v>0</v>
      </c>
      <c r="Z36" s="547">
        <f t="shared" si="10"/>
        <v>0</v>
      </c>
      <c r="AA36" s="547">
        <f t="shared" si="11"/>
        <v>0</v>
      </c>
      <c r="AB36" s="547">
        <f t="shared" si="12"/>
        <v>0</v>
      </c>
      <c r="AC36" s="581">
        <f t="shared" si="6"/>
        <v>0</v>
      </c>
      <c r="AD36" s="547">
        <f t="shared" si="13"/>
        <v>0</v>
      </c>
      <c r="AE36" s="582">
        <f t="shared" si="8"/>
        <v>0</v>
      </c>
    </row>
    <row r="37" spans="1:31">
      <c r="W37" s="137"/>
      <c r="Y37" s="145">
        <f t="shared" ref="Y37:AE37" si="14">SUM(Y5:Y36)</f>
        <v>0</v>
      </c>
      <c r="Z37" s="137">
        <f t="shared" si="14"/>
        <v>40358.207999999999</v>
      </c>
      <c r="AA37" s="137">
        <f t="shared" si="14"/>
        <v>20191.248</v>
      </c>
      <c r="AB37" s="137">
        <f t="shared" si="14"/>
        <v>799861.57920000015</v>
      </c>
      <c r="AC37" s="145">
        <f t="shared" si="14"/>
        <v>260000</v>
      </c>
      <c r="AD37" s="137">
        <f t="shared" si="14"/>
        <v>155786.67647999999</v>
      </c>
      <c r="AE37" s="72">
        <f t="shared" si="14"/>
        <v>1276197.7116799999</v>
      </c>
    </row>
    <row r="38" spans="1:31">
      <c r="E38" s="824" t="s">
        <v>68</v>
      </c>
      <c r="F38" s="824"/>
      <c r="G38" s="824"/>
      <c r="H38" s="824"/>
      <c r="I38" s="824"/>
    </row>
    <row r="39" spans="1:31">
      <c r="A39" t="s">
        <v>310</v>
      </c>
      <c r="B39" t="s">
        <v>301</v>
      </c>
      <c r="E39" t="str">
        <f>E4</f>
        <v>Enablement Cost</v>
      </c>
      <c r="F39" t="str">
        <f>F4</f>
        <v>Data Related Cost</v>
      </c>
      <c r="G39" t="str">
        <f>G4</f>
        <v>Analysts Cost</v>
      </c>
      <c r="H39" t="str">
        <f>H4</f>
        <v>Overhead Costs</v>
      </c>
      <c r="I39" t="str">
        <f>I4</f>
        <v>Platform Services</v>
      </c>
      <c r="J39" t="s">
        <v>340</v>
      </c>
      <c r="K39" t="s">
        <v>341</v>
      </c>
      <c r="L39" t="s">
        <v>342</v>
      </c>
      <c r="M39" t="s">
        <v>12</v>
      </c>
      <c r="N39" t="s">
        <v>185</v>
      </c>
      <c r="O39" t="s">
        <v>40</v>
      </c>
      <c r="P39" t="s">
        <v>312</v>
      </c>
      <c r="Q39" t="s">
        <v>275</v>
      </c>
      <c r="R39" t="s">
        <v>184</v>
      </c>
      <c r="S39" t="s">
        <v>198</v>
      </c>
      <c r="T39" t="s">
        <v>199</v>
      </c>
      <c r="U39" t="s">
        <v>200</v>
      </c>
      <c r="V39" t="s">
        <v>192</v>
      </c>
    </row>
    <row r="40" spans="1:31">
      <c r="A40" t="e">
        <f>'Sys Admin'!#REF!</f>
        <v>#REF!</v>
      </c>
      <c r="B40" t="e">
        <f>'Sys Admin'!#REF!</f>
        <v>#REF!</v>
      </c>
      <c r="D40" t="s">
        <v>83</v>
      </c>
      <c r="E40" s="144">
        <f>'Enablement Services '!E22</f>
        <v>18000</v>
      </c>
      <c r="F40" s="144">
        <v>0</v>
      </c>
      <c r="G40" s="144">
        <v>0</v>
      </c>
      <c r="H40" s="144">
        <f>L49</f>
        <v>1</v>
      </c>
      <c r="I40" s="144">
        <f>L56</f>
        <v>1</v>
      </c>
      <c r="J40" s="145" t="e">
        <f>B40*Q40*E40</f>
        <v>#REF!</v>
      </c>
      <c r="K40" t="e">
        <f>F40*B40*(12-A40)</f>
        <v>#REF!</v>
      </c>
      <c r="L40" t="e">
        <f>G40*B40*(12-A40)</f>
        <v>#REF!</v>
      </c>
      <c r="M40" s="72" t="e">
        <f>H40*Q40*B40</f>
        <v>#REF!</v>
      </c>
      <c r="N40" s="72" t="e">
        <f>I40*B40*Q40</f>
        <v>#REF!</v>
      </c>
      <c r="O40" s="144" t="e">
        <f>SUM(J40:N40)</f>
        <v>#REF!</v>
      </c>
      <c r="P40" s="145" t="e">
        <f>O40</f>
        <v>#REF!</v>
      </c>
      <c r="Q40">
        <v>1</v>
      </c>
      <c r="R40" t="s">
        <v>83</v>
      </c>
      <c r="S40" s="145"/>
    </row>
    <row r="41" spans="1:31">
      <c r="A41" t="e">
        <f>'Sys Admin'!#REF!</f>
        <v>#REF!</v>
      </c>
      <c r="B41" t="e">
        <f>'Sys Admin'!#REF!</f>
        <v>#REF!</v>
      </c>
      <c r="D41" t="s">
        <v>30</v>
      </c>
      <c r="E41" s="144">
        <f>'Enablement Services '!E23+'Enablement Services '!E24</f>
        <v>40000</v>
      </c>
      <c r="F41" s="144">
        <v>0</v>
      </c>
      <c r="G41" s="144">
        <v>0</v>
      </c>
      <c r="H41" s="144">
        <f>L50</f>
        <v>1</v>
      </c>
      <c r="I41" s="144">
        <f>L57</f>
        <v>1</v>
      </c>
      <c r="J41" s="145" t="e">
        <f>B41*Q41*E41</f>
        <v>#REF!</v>
      </c>
      <c r="K41" t="e">
        <f>F41*B41*(12-A41)</f>
        <v>#REF!</v>
      </c>
      <c r="L41" t="e">
        <f>G41*B41*(12-A41)</f>
        <v>#REF!</v>
      </c>
      <c r="M41" s="72" t="e">
        <f>H41*Q41*B41</f>
        <v>#REF!</v>
      </c>
      <c r="N41" s="72" t="e">
        <f>I41*B41*Q41</f>
        <v>#REF!</v>
      </c>
      <c r="O41" s="144">
        <f>E41*Q41+F41+G41+H41+I41</f>
        <v>40002</v>
      </c>
      <c r="P41" t="e">
        <f>'Sys Admin Calculation Y2'!O41*B41</f>
        <v>#REF!</v>
      </c>
      <c r="Q41">
        <v>1</v>
      </c>
      <c r="R41" t="s">
        <v>30</v>
      </c>
      <c r="S41" s="145"/>
      <c r="V41" s="146">
        <v>5000</v>
      </c>
    </row>
    <row r="42" spans="1:31">
      <c r="A42" t="e">
        <f>'Sys Admin'!#REF!</f>
        <v>#REF!</v>
      </c>
      <c r="B42" t="e">
        <f>'Sys Admin'!#REF!</f>
        <v>#REF!</v>
      </c>
      <c r="D42" t="s">
        <v>313</v>
      </c>
      <c r="E42" s="144">
        <f>'Prospective Project Calculation'!X2</f>
        <v>4600</v>
      </c>
      <c r="F42" s="144">
        <f>'Prospective Project Calculation'!S2</f>
        <v>2056.34</v>
      </c>
      <c r="G42" s="144">
        <f>'Prospective Project Calculation'!P2</f>
        <v>375.76</v>
      </c>
      <c r="H42" s="144">
        <f>$L$51</f>
        <v>6665.5131599999995</v>
      </c>
      <c r="I42" s="144">
        <f>$L$58</f>
        <v>1298.2223039999999</v>
      </c>
      <c r="J42" t="e">
        <f>E42*MIN(6,(12-A42))*B42</f>
        <v>#REF!</v>
      </c>
      <c r="K42" t="e">
        <f>(F42*(1+0.05)^(12-A42))*B42</f>
        <v>#REF!</v>
      </c>
      <c r="L42" t="e">
        <f>(G42*(1+0.05)^(12-A42))*B42</f>
        <v>#REF!</v>
      </c>
      <c r="M42" t="e">
        <f>H42*(12-A42)*B42</f>
        <v>#REF!</v>
      </c>
      <c r="N42" t="e">
        <f>I42*(12-A42)*B42</f>
        <v>#REF!</v>
      </c>
      <c r="O42" s="144" t="e">
        <f>SUM(J42:N42)</f>
        <v>#REF!</v>
      </c>
      <c r="P42" s="145" t="e">
        <f>O42</f>
        <v>#REF!</v>
      </c>
      <c r="Q42" t="e">
        <f>'Sys Admin'!#REF!</f>
        <v>#REF!</v>
      </c>
      <c r="R42" t="s">
        <v>8</v>
      </c>
      <c r="S42" s="145">
        <f>E42</f>
        <v>4600</v>
      </c>
      <c r="T42" s="145">
        <f>E43</f>
        <v>4600</v>
      </c>
      <c r="U42" s="145">
        <f>E44</f>
        <v>0</v>
      </c>
    </row>
    <row r="43" spans="1:31">
      <c r="A43" t="e">
        <f>'Sys Admin'!#REF!</f>
        <v>#REF!</v>
      </c>
      <c r="B43" t="e">
        <f>'Sys Admin'!#REF!</f>
        <v>#REF!</v>
      </c>
      <c r="D43" t="s">
        <v>314</v>
      </c>
      <c r="E43" s="144">
        <f>'Prospective Project Calculation'!W2</f>
        <v>4600</v>
      </c>
      <c r="F43" s="144">
        <f>'Prospective Project Calculation'!R2</f>
        <v>853.07416666666666</v>
      </c>
      <c r="G43" s="144">
        <f>'Prospective Project Calculation'!O2</f>
        <v>250.50666666666666</v>
      </c>
      <c r="H43" s="144">
        <f>$L$51</f>
        <v>6665.5131599999995</v>
      </c>
      <c r="I43" s="144">
        <f>$L$58</f>
        <v>1298.2223039999999</v>
      </c>
      <c r="J43" t="e">
        <f>E43*MIN(4,(12-A43))*B43</f>
        <v>#REF!</v>
      </c>
      <c r="K43" t="e">
        <f>(F43*(1+0.05)^(12-A43))*B43</f>
        <v>#REF!</v>
      </c>
      <c r="L43" t="e">
        <f>(G43*(1+0.05)^(12-A43))*B43</f>
        <v>#REF!</v>
      </c>
      <c r="M43" t="e">
        <f>H43*(12-A43)*B43</f>
        <v>#REF!</v>
      </c>
      <c r="N43" t="e">
        <f>I43*(12-A43)*B43</f>
        <v>#REF!</v>
      </c>
      <c r="O43" s="144" t="e">
        <f>SUM(J43:N43)</f>
        <v>#REF!</v>
      </c>
      <c r="P43" s="145" t="e">
        <f>O43</f>
        <v>#REF!</v>
      </c>
      <c r="Q43" t="e">
        <f>'Sys Admin'!#REF!</f>
        <v>#REF!</v>
      </c>
    </row>
    <row r="44" spans="1:31">
      <c r="A44" t="e">
        <f>'Sys Admin'!#REF!</f>
        <v>#REF!</v>
      </c>
      <c r="B44" t="e">
        <f>'Sys Admin'!#REF!</f>
        <v>#REF!</v>
      </c>
      <c r="D44" t="s">
        <v>315</v>
      </c>
      <c r="E44" s="144">
        <f>'Prospective Project Calculation'!V2</f>
        <v>0</v>
      </c>
      <c r="F44" s="144">
        <f>'Prospective Project Calculation'!Q2</f>
        <v>435.04333333333335</v>
      </c>
      <c r="G44" s="144">
        <f>'Prospective Project Calculation'!N2</f>
        <v>125.25333333333333</v>
      </c>
      <c r="H44" s="144">
        <f>$L$51</f>
        <v>6665.5131599999995</v>
      </c>
      <c r="I44" s="144">
        <f>$L$58</f>
        <v>1298.2223039999999</v>
      </c>
      <c r="J44" t="e">
        <f>E44*MIN(2,(12-A44))*B44</f>
        <v>#REF!</v>
      </c>
      <c r="K44" t="e">
        <f>(F44*(1+0.05)^(12-A44))*B44</f>
        <v>#REF!</v>
      </c>
      <c r="L44" t="e">
        <f>(G44*(1+0.05)^(12-A44))*B44</f>
        <v>#REF!</v>
      </c>
      <c r="M44" t="e">
        <f>H44*(12-A44)*B44</f>
        <v>#REF!</v>
      </c>
      <c r="N44" t="e">
        <f>I44*(12-A44)*B44</f>
        <v>#REF!</v>
      </c>
      <c r="O44" s="144" t="e">
        <f>SUM(J44:N44)</f>
        <v>#REF!</v>
      </c>
      <c r="P44" s="145" t="e">
        <f>O44</f>
        <v>#REF!</v>
      </c>
      <c r="Q44" t="e">
        <f>'Sys Admin'!#REF!</f>
        <v>#REF!</v>
      </c>
    </row>
    <row r="45" spans="1:31">
      <c r="J45" s="145" t="e">
        <f>SUM(J40:J44)</f>
        <v>#REF!</v>
      </c>
      <c r="K45" s="145" t="e">
        <f>SUM(K40:K44)</f>
        <v>#REF!</v>
      </c>
      <c r="L45" s="145" t="e">
        <f>SUM(L40:L44)</f>
        <v>#REF!</v>
      </c>
      <c r="M45" s="145" t="e">
        <f>SUM(M40:M44)</f>
        <v>#REF!</v>
      </c>
      <c r="N45" s="145" t="e">
        <f>SUM(N40:N44)</f>
        <v>#REF!</v>
      </c>
    </row>
    <row r="46" spans="1:31">
      <c r="F46" t="s">
        <v>325</v>
      </c>
      <c r="G46" t="s">
        <v>326</v>
      </c>
      <c r="H46" t="s">
        <v>230</v>
      </c>
      <c r="T46" t="s">
        <v>8</v>
      </c>
      <c r="U46" t="s">
        <v>31</v>
      </c>
      <c r="V46" t="str">
        <f>T46&amp;U46</f>
        <v>ActiveHigh</v>
      </c>
      <c r="W46">
        <v>6</v>
      </c>
      <c r="X46" s="145">
        <f t="shared" ref="X46:Y48" si="15">F42</f>
        <v>2056.34</v>
      </c>
      <c r="Y46" s="145">
        <f t="shared" si="15"/>
        <v>375.76</v>
      </c>
    </row>
    <row r="47" spans="1:31" ht="14.65" thickBot="1">
      <c r="A47" s="448" t="s">
        <v>316</v>
      </c>
      <c r="B47" s="448"/>
      <c r="C47" s="448"/>
      <c r="D47" s="448" t="s">
        <v>295</v>
      </c>
      <c r="E47" s="448" t="s">
        <v>307</v>
      </c>
      <c r="F47" s="448" t="s">
        <v>40</v>
      </c>
      <c r="H47" t="s">
        <v>12</v>
      </c>
      <c r="T47" t="s">
        <v>8</v>
      </c>
      <c r="U47" t="s">
        <v>32</v>
      </c>
      <c r="V47" t="str">
        <f>T47&amp;U47</f>
        <v>ActiveMedium</v>
      </c>
      <c r="W47">
        <v>4</v>
      </c>
      <c r="X47" s="145">
        <f t="shared" si="15"/>
        <v>853.07416666666666</v>
      </c>
      <c r="Y47" s="145">
        <f t="shared" si="15"/>
        <v>250.50666666666666</v>
      </c>
    </row>
    <row r="48" spans="1:31">
      <c r="A48" s="448" t="str">
        <f>'Platform Overhead C '!A24</f>
        <v>Platform DevOps (including testing, features)</v>
      </c>
      <c r="B48" s="448"/>
      <c r="C48" s="448"/>
      <c r="D48" s="448">
        <f>'Sys Admin'!O19</f>
        <v>1.5</v>
      </c>
      <c r="E48" s="487">
        <f>D48*'Rate Sheet'!B4*'Rate Sheet'!B9</f>
        <v>36720</v>
      </c>
      <c r="F48" s="487">
        <f>E48*12</f>
        <v>440640</v>
      </c>
      <c r="H48" s="44" t="s">
        <v>66</v>
      </c>
      <c r="I48" s="45" t="s">
        <v>69</v>
      </c>
      <c r="J48" s="45" t="s">
        <v>68</v>
      </c>
      <c r="K48" s="45" t="s">
        <v>101</v>
      </c>
      <c r="L48" s="46" t="s">
        <v>70</v>
      </c>
      <c r="N48" t="s">
        <v>332</v>
      </c>
      <c r="O48" t="s">
        <v>330</v>
      </c>
      <c r="P48" t="s">
        <v>331</v>
      </c>
      <c r="Q48" t="s">
        <v>307</v>
      </c>
      <c r="T48" t="s">
        <v>8</v>
      </c>
      <c r="U48" t="s">
        <v>33</v>
      </c>
      <c r="V48" t="str">
        <f>T48&amp;U48</f>
        <v>ActiveLow</v>
      </c>
      <c r="W48">
        <v>2</v>
      </c>
      <c r="X48" s="145">
        <f t="shared" si="15"/>
        <v>435.04333333333335</v>
      </c>
      <c r="Y48" s="145">
        <f t="shared" si="15"/>
        <v>125.25333333333333</v>
      </c>
    </row>
    <row r="49" spans="1:17">
      <c r="A49" s="448" t="str">
        <f>'Platform Overhead C '!A25</f>
        <v>Standard O&amp;M/Support</v>
      </c>
      <c r="B49" s="448"/>
      <c r="C49" s="448"/>
      <c r="D49" s="448">
        <f>'Sys Admin'!O20</f>
        <v>1.5</v>
      </c>
      <c r="E49" s="487">
        <f>D49*'Rate Sheet'!B5*'Rate Sheet'!B9</f>
        <v>34320</v>
      </c>
      <c r="F49" s="487">
        <f>E49*12</f>
        <v>411840</v>
      </c>
      <c r="H49" s="15" t="s">
        <v>228</v>
      </c>
      <c r="I49" s="43">
        <f>'Platform Overhead C '!J21</f>
        <v>0.05</v>
      </c>
      <c r="J49" s="11">
        <f>$G$50*I49</f>
        <v>5554.5942999999997</v>
      </c>
      <c r="K49" s="27">
        <f>'Sys Admin'!O10</f>
        <v>0</v>
      </c>
      <c r="L49" s="17">
        <f>IF(K49&lt;&gt;0, J49/K49, 1)</f>
        <v>1</v>
      </c>
      <c r="N49" s="492" t="str">
        <f t="shared" ref="N49:N62" si="16">O49&amp;P49</f>
        <v>Planning/DiscoveryGold</v>
      </c>
      <c r="O49" s="492" t="s">
        <v>83</v>
      </c>
      <c r="P49" s="492" t="s">
        <v>198</v>
      </c>
      <c r="Q49" s="493">
        <f>'ESPO Calculator'!D73</f>
        <v>4600</v>
      </c>
    </row>
    <row r="50" spans="1:17">
      <c r="A50" s="448" t="s">
        <v>323</v>
      </c>
      <c r="B50" s="448"/>
      <c r="C50" s="448"/>
      <c r="D50" s="448"/>
      <c r="E50" s="487">
        <f>'Platform Overhead C '!F20</f>
        <v>272976</v>
      </c>
      <c r="F50" s="487">
        <f>SUM(F48:F49,E50)*1.03</f>
        <v>1159219.68</v>
      </c>
      <c r="G50" s="72">
        <f>F50/12*(1+'Rate Sheet'!B8)</f>
        <v>111091.88599999998</v>
      </c>
      <c r="H50" s="15" t="s">
        <v>30</v>
      </c>
      <c r="I50" s="43">
        <f>'Platform Overhead C '!J22</f>
        <v>0.3</v>
      </c>
      <c r="J50" s="11">
        <f>$G$50*I50</f>
        <v>33327.565799999997</v>
      </c>
      <c r="K50" s="27">
        <f>'Sys Admin'!O12</f>
        <v>0</v>
      </c>
      <c r="L50" s="17">
        <f>IF(K50=0,1,J50/K50)</f>
        <v>1</v>
      </c>
      <c r="N50" s="492" t="str">
        <f t="shared" si="16"/>
        <v>Planning/DiscoverySilver</v>
      </c>
      <c r="O50" s="492" t="s">
        <v>83</v>
      </c>
      <c r="P50" s="492" t="s">
        <v>199</v>
      </c>
      <c r="Q50" s="493">
        <f>'ESPO Calculator'!D56</f>
        <v>4600</v>
      </c>
    </row>
    <row r="51" spans="1:17">
      <c r="A51" s="448" t="s">
        <v>324</v>
      </c>
      <c r="B51" s="448"/>
      <c r="C51" s="448"/>
      <c r="D51" s="448"/>
      <c r="E51" s="448">
        <f>'Platform Overhead C '!M32*(1+((2*'Sys Admin'!$O$21)/100))</f>
        <v>16227.778799999998</v>
      </c>
      <c r="F51" s="448"/>
      <c r="H51" s="15" t="s">
        <v>8</v>
      </c>
      <c r="I51" s="43">
        <f>'Platform Overhead C '!J23</f>
        <v>0.6</v>
      </c>
      <c r="J51" s="11">
        <f>$G$50*I51</f>
        <v>66655.131599999993</v>
      </c>
      <c r="K51" s="27">
        <f>'Sys Admin'!O14</f>
        <v>10</v>
      </c>
      <c r="L51" s="17">
        <f>J51/K51</f>
        <v>6665.5131599999995</v>
      </c>
      <c r="N51" s="492" t="str">
        <f t="shared" si="16"/>
        <v>Planning/DiscoveryCustome</v>
      </c>
      <c r="O51" s="492" t="s">
        <v>83</v>
      </c>
      <c r="P51" s="492" t="s">
        <v>602</v>
      </c>
      <c r="Q51" s="493">
        <f>'Custom ESPO Selection'!D30</f>
        <v>0</v>
      </c>
    </row>
    <row r="52" spans="1:17">
      <c r="A52" s="448" t="s">
        <v>604</v>
      </c>
      <c r="B52" s="448"/>
      <c r="C52" s="448"/>
      <c r="D52" s="448"/>
      <c r="E52" s="448"/>
      <c r="F52" s="489">
        <f>Y98</f>
        <v>260000</v>
      </c>
      <c r="H52" s="15" t="s">
        <v>84</v>
      </c>
      <c r="I52" s="43">
        <f>'Platform Overhead C '!J24</f>
        <v>0.05</v>
      </c>
      <c r="J52" s="11">
        <f>$G$50*I52</f>
        <v>5554.5942999999997</v>
      </c>
      <c r="K52" s="27">
        <f>'Sys Admin'!O16</f>
        <v>0</v>
      </c>
      <c r="L52" s="17">
        <f>IF(K52=0,1,J52/K52)</f>
        <v>1</v>
      </c>
      <c r="N52" s="492" t="str">
        <f t="shared" si="16"/>
        <v>Planning/DiscoveryNone</v>
      </c>
      <c r="O52" s="492" t="s">
        <v>83</v>
      </c>
      <c r="P52" s="492" t="s">
        <v>192</v>
      </c>
      <c r="Q52" s="493">
        <f>'Enablement Services '!C64</f>
        <v>0</v>
      </c>
    </row>
    <row r="53" spans="1:17">
      <c r="N53" s="492" t="str">
        <f t="shared" si="16"/>
        <v>OnboardingGold</v>
      </c>
      <c r="O53" s="492" t="s">
        <v>30</v>
      </c>
      <c r="P53" s="492" t="s">
        <v>198</v>
      </c>
      <c r="Q53" s="493">
        <f>'ESPO Calculator'!D74</f>
        <v>60075</v>
      </c>
    </row>
    <row r="54" spans="1:17" ht="14.65" thickBot="1">
      <c r="H54" t="s">
        <v>185</v>
      </c>
      <c r="N54" s="492" t="str">
        <f t="shared" si="16"/>
        <v>OnboardingSilver</v>
      </c>
      <c r="O54" s="492" t="s">
        <v>30</v>
      </c>
      <c r="P54" s="492" t="s">
        <v>199</v>
      </c>
      <c r="Q54" s="493">
        <f>'ESPO Calculator'!D57</f>
        <v>33125</v>
      </c>
    </row>
    <row r="55" spans="1:17">
      <c r="H55" s="44" t="s">
        <v>66</v>
      </c>
      <c r="I55" s="45" t="s">
        <v>69</v>
      </c>
      <c r="J55" s="45" t="s">
        <v>68</v>
      </c>
      <c r="K55" s="45" t="s">
        <v>101</v>
      </c>
      <c r="L55" s="46" t="s">
        <v>70</v>
      </c>
      <c r="N55" s="492" t="str">
        <f t="shared" si="16"/>
        <v>OnboardingCustome</v>
      </c>
      <c r="O55" s="492" t="s">
        <v>30</v>
      </c>
      <c r="P55" s="492" t="s">
        <v>602</v>
      </c>
      <c r="Q55" s="493">
        <f>'Custom ESPO Selection'!D31</f>
        <v>0</v>
      </c>
    </row>
    <row r="56" spans="1:17">
      <c r="H56" s="15" t="s">
        <v>228</v>
      </c>
      <c r="I56" s="43">
        <f>'Platform Overhead C '!J36</f>
        <v>0.05</v>
      </c>
      <c r="J56" s="11">
        <f>$E$51*I56</f>
        <v>811.38893999999993</v>
      </c>
      <c r="K56" s="27">
        <f>'Sys Admin'!O10</f>
        <v>0</v>
      </c>
      <c r="L56" s="17">
        <f>IF(K56&lt;&gt;0,J56/K56,1)</f>
        <v>1</v>
      </c>
      <c r="N56" s="492" t="str">
        <f t="shared" si="16"/>
        <v>OnboardingNone</v>
      </c>
      <c r="O56" s="492" t="s">
        <v>30</v>
      </c>
      <c r="P56" s="492" t="s">
        <v>192</v>
      </c>
      <c r="Q56" s="493">
        <f>'Enablement Services '!C68</f>
        <v>0</v>
      </c>
    </row>
    <row r="57" spans="1:17">
      <c r="H57" s="15" t="s">
        <v>30</v>
      </c>
      <c r="I57" s="43">
        <f>'Platform Overhead C '!J37</f>
        <v>0.15</v>
      </c>
      <c r="J57" s="11">
        <f>$E$51*I57</f>
        <v>2434.1668199999995</v>
      </c>
      <c r="K57" s="27">
        <f>'Sys Admin'!O12</f>
        <v>0</v>
      </c>
      <c r="L57" s="17">
        <f>IF(K57=0,1,J57/K57)</f>
        <v>1</v>
      </c>
      <c r="N57" s="492" t="str">
        <f t="shared" si="16"/>
        <v>ActiveGold</v>
      </c>
      <c r="O57" s="492" t="s">
        <v>8</v>
      </c>
      <c r="P57" s="492" t="s">
        <v>198</v>
      </c>
      <c r="Q57" s="493">
        <f>'ESPO Calculator'!D75</f>
        <v>84014.28571428571</v>
      </c>
    </row>
    <row r="58" spans="1:17">
      <c r="H58" s="15" t="s">
        <v>8</v>
      </c>
      <c r="I58" s="43">
        <f>'Platform Overhead C '!J38</f>
        <v>0.8</v>
      </c>
      <c r="J58" s="11">
        <f>$E$51*I58</f>
        <v>12982.223039999999</v>
      </c>
      <c r="K58" s="27">
        <f>'Sys Admin'!O14</f>
        <v>10</v>
      </c>
      <c r="L58" s="17">
        <f>J58/K58</f>
        <v>1298.2223039999999</v>
      </c>
      <c r="N58" s="492" t="str">
        <f t="shared" si="16"/>
        <v>ActiveSilver</v>
      </c>
      <c r="O58" s="492" t="s">
        <v>8</v>
      </c>
      <c r="P58" s="492" t="s">
        <v>199</v>
      </c>
      <c r="Q58" s="493">
        <f>'ESPO Calculator'!D58</f>
        <v>26142.857142857141</v>
      </c>
    </row>
    <row r="59" spans="1:17">
      <c r="H59" s="15" t="s">
        <v>84</v>
      </c>
      <c r="I59" s="43">
        <f>'Platform Overhead C '!J39</f>
        <v>0.05</v>
      </c>
      <c r="J59" s="11">
        <f>$E$51*I59</f>
        <v>811.38893999999993</v>
      </c>
      <c r="K59" s="27">
        <f>'Sys Admin'!O16</f>
        <v>0</v>
      </c>
      <c r="L59" s="17">
        <f>IF(K59=0,1,J59/K59)</f>
        <v>1</v>
      </c>
      <c r="N59" s="492" t="str">
        <f t="shared" si="16"/>
        <v>ActiveCustome</v>
      </c>
      <c r="O59" s="492" t="s">
        <v>8</v>
      </c>
      <c r="P59" s="492" t="s">
        <v>602</v>
      </c>
      <c r="Q59" s="493">
        <f>'Custom ESPO Selection'!D32</f>
        <v>0</v>
      </c>
    </row>
    <row r="60" spans="1:17">
      <c r="N60" s="492" t="str">
        <f t="shared" si="16"/>
        <v>ActiveNone</v>
      </c>
      <c r="O60" s="492" t="s">
        <v>8</v>
      </c>
      <c r="P60" s="492" t="s">
        <v>192</v>
      </c>
      <c r="Q60" s="493">
        <f>'Enablement Services '!C72</f>
        <v>0</v>
      </c>
    </row>
    <row r="61" spans="1:17">
      <c r="N61" s="492" t="str">
        <f t="shared" si="16"/>
        <v>ProspectiveNone</v>
      </c>
      <c r="O61" s="492" t="s">
        <v>67</v>
      </c>
      <c r="P61" s="492" t="s">
        <v>192</v>
      </c>
      <c r="Q61" s="494">
        <v>0</v>
      </c>
    </row>
    <row r="62" spans="1:17">
      <c r="B62" t="s">
        <v>334</v>
      </c>
      <c r="N62" s="492" t="str">
        <f t="shared" si="16"/>
        <v>Export/RetirementGold</v>
      </c>
      <c r="O62" s="492" t="s">
        <v>84</v>
      </c>
      <c r="P62" s="492" t="s">
        <v>198</v>
      </c>
      <c r="Q62" s="492">
        <f>'ESPO Calculator'!D76</f>
        <v>2550</v>
      </c>
    </row>
    <row r="63" spans="1:17">
      <c r="C63" t="s">
        <v>301</v>
      </c>
      <c r="D63" t="s">
        <v>337</v>
      </c>
      <c r="E63" t="s">
        <v>338</v>
      </c>
      <c r="F63" t="s">
        <v>339</v>
      </c>
      <c r="N63" s="492" t="str">
        <f>O63&amp;P63</f>
        <v>Export/RetirementSilver</v>
      </c>
      <c r="O63" s="492" t="s">
        <v>84</v>
      </c>
      <c r="P63" s="492" t="s">
        <v>199</v>
      </c>
      <c r="Q63" s="492">
        <f>'ESPO Calculator'!D59</f>
        <v>2550</v>
      </c>
    </row>
    <row r="64" spans="1:17">
      <c r="B64" t="s">
        <v>184</v>
      </c>
      <c r="C64" s="145" t="e">
        <f>J45</f>
        <v>#REF!</v>
      </c>
      <c r="D64">
        <f>Y37</f>
        <v>0</v>
      </c>
      <c r="E64" s="145" t="e">
        <f>SUM(C64:D64)</f>
        <v>#REF!</v>
      </c>
      <c r="N64" s="492" t="str">
        <f>O64&amp;P64</f>
        <v>Export/RetirementCustome</v>
      </c>
      <c r="O64" s="492" t="s">
        <v>84</v>
      </c>
      <c r="P64" s="492" t="s">
        <v>602</v>
      </c>
      <c r="Q64" s="492">
        <f>'Custom ESPO Selection'!D33</f>
        <v>0</v>
      </c>
    </row>
    <row r="65" spans="2:25" ht="42.75">
      <c r="B65" t="s">
        <v>252</v>
      </c>
      <c r="C65" s="145" t="e">
        <f>K45</f>
        <v>#REF!</v>
      </c>
      <c r="D65">
        <f>Z37</f>
        <v>40358.207999999999</v>
      </c>
      <c r="N65" s="492" t="str">
        <f>O65&amp;P65</f>
        <v>Export/RetirementNone</v>
      </c>
      <c r="O65" s="492" t="s">
        <v>84</v>
      </c>
      <c r="P65" s="492" t="s">
        <v>192</v>
      </c>
      <c r="Q65" s="492">
        <v>0</v>
      </c>
      <c r="S65" s="9" t="s">
        <v>187</v>
      </c>
      <c r="T65" s="104" t="s">
        <v>631</v>
      </c>
      <c r="U65" s="104" t="s">
        <v>632</v>
      </c>
      <c r="V65" s="591" t="s">
        <v>603</v>
      </c>
      <c r="W65" s="592" t="s">
        <v>607</v>
      </c>
      <c r="X65" s="592" t="s">
        <v>606</v>
      </c>
      <c r="Y65" s="592" t="s">
        <v>608</v>
      </c>
    </row>
    <row r="66" spans="2:25">
      <c r="B66" t="s">
        <v>335</v>
      </c>
      <c r="C66" s="145" t="e">
        <f>L45</f>
        <v>#REF!</v>
      </c>
      <c r="D66">
        <f>AA37</f>
        <v>20191.248</v>
      </c>
      <c r="E66" s="145" t="e">
        <f>SUM(C65:D66)</f>
        <v>#REF!</v>
      </c>
      <c r="N66" s="448" t="str">
        <f t="shared" ref="N66:N70" si="17">O66&amp;P66</f>
        <v>ActiveGold</v>
      </c>
      <c r="O66" s="448" t="s">
        <v>8</v>
      </c>
      <c r="P66" s="448" t="s">
        <v>198</v>
      </c>
      <c r="Q66" s="477">
        <f>'ESPO Calculator'!D84</f>
        <v>49008.333333333336</v>
      </c>
      <c r="S66" s="9" t="s">
        <v>147</v>
      </c>
      <c r="T66" s="486" t="str">
        <f>'Sys Admin'!I24</f>
        <v>Active</v>
      </c>
      <c r="U66" s="9" t="str">
        <f>'Sys Admin'!O24</f>
        <v>Active</v>
      </c>
      <c r="V66" s="605">
        <f>IF(AND(T66="Active",U66="Export/Retirement"),1,IF(T66="Export/Retirement",1,IF(AND(T66="Prospective",U66&lt;&gt;"Prospective"),1,IF(AND(OR(T66="Planning/Discovery",T66="Onboarding"),OR(U66="Planning/Discovery",U66="Onboarding",U66="Export/Retirement")),1,IF(OR(U66="Prospective",T66="Active"),0,0)))))</f>
        <v>0</v>
      </c>
      <c r="W66" s="507">
        <f>IF(OR('Sys Admin Calculation'!Y54&lt;&gt;0, U66="Prospective"), 0, 'ESPO Calculator'!$B$41)</f>
        <v>0</v>
      </c>
      <c r="X66" s="507">
        <f>IF(OR(V66=1, U66="Prospective"), 0, 'ESPO Calculator'!$D$48)</f>
        <v>2166.6666666666665</v>
      </c>
      <c r="Y66" s="507">
        <f>W66+X66*IF('Sys Admin'!Q24 &lt;&gt; 0, (12 -'Sys Admin'!Q24), 12)</f>
        <v>26000</v>
      </c>
    </row>
    <row r="67" spans="2:25">
      <c r="B67" t="s">
        <v>12</v>
      </c>
      <c r="C67" s="145" t="e">
        <f>M45</f>
        <v>#REF!</v>
      </c>
      <c r="D67">
        <f>AB37</f>
        <v>799861.57920000015</v>
      </c>
      <c r="E67" s="145" t="e">
        <f>SUM(C67:D67)</f>
        <v>#REF!</v>
      </c>
      <c r="N67" s="448" t="str">
        <f t="shared" si="17"/>
        <v>ActiveSilver</v>
      </c>
      <c r="O67" s="448" t="s">
        <v>8</v>
      </c>
      <c r="P67" s="448" t="s">
        <v>199</v>
      </c>
      <c r="Q67" s="477">
        <f>'ESPO Calculator'!D67</f>
        <v>15250</v>
      </c>
      <c r="S67" s="9" t="s">
        <v>146</v>
      </c>
      <c r="T67" s="486" t="str">
        <f>'Sys Admin'!I25</f>
        <v>Active</v>
      </c>
      <c r="U67" s="9" t="str">
        <f>'Sys Admin'!O25</f>
        <v>Active</v>
      </c>
      <c r="V67" s="605">
        <f t="shared" ref="V67:V97" si="18">IF(AND(T67="Active",U67="Export/Retirement"),1,IF(T67="Export/Retirement",1,IF(AND(T67="Prospective",U67&lt;&gt;"Prospective"),1,IF(AND(OR(T67="Planning/Discovery",T67="Onboarding"),OR(U67="Planning/Discovery",U67="Onboarding",U67="Export/Retirement")),1,IF(OR(U67="Prospective",T67="Active"),0,0)))))</f>
        <v>0</v>
      </c>
      <c r="W67" s="507">
        <f>IF(OR('Sys Admin Calculation'!Y55&lt;&gt;0, U67="Prospective"), 0, 'ESPO Calculator'!$B$41)</f>
        <v>0</v>
      </c>
      <c r="X67" s="507">
        <f>IF(OR(V67=1, U67="Prospective"), 0, 'ESPO Calculator'!$D$48)</f>
        <v>2166.6666666666665</v>
      </c>
      <c r="Y67" s="507">
        <f>W67+X67*IF('Sys Admin'!Q25 &lt;&gt; 0, (12 -'Sys Admin'!Q25), 12)</f>
        <v>26000</v>
      </c>
    </row>
    <row r="68" spans="2:25">
      <c r="B68" t="s">
        <v>336</v>
      </c>
      <c r="C68" s="145" t="e">
        <f>N45</f>
        <v>#REF!</v>
      </c>
      <c r="D68">
        <f>AD37</f>
        <v>155786.67647999999</v>
      </c>
      <c r="E68" s="145" t="e">
        <f>SUM(C68:D68)</f>
        <v>#REF!</v>
      </c>
      <c r="N68" s="448" t="str">
        <f t="shared" si="17"/>
        <v>ActiveCustom</v>
      </c>
      <c r="O68" s="448" t="s">
        <v>8</v>
      </c>
      <c r="P68" s="448" t="s">
        <v>575</v>
      </c>
      <c r="Q68" s="477">
        <f>'Custom ESPO Selection'!D41</f>
        <v>0</v>
      </c>
      <c r="S68" s="9" t="s">
        <v>145</v>
      </c>
      <c r="T68" s="486" t="str">
        <f>'Sys Admin'!I26</f>
        <v>Active</v>
      </c>
      <c r="U68" s="9" t="str">
        <f>'Sys Admin'!O26</f>
        <v>Active</v>
      </c>
      <c r="V68" s="605">
        <f t="shared" si="18"/>
        <v>0</v>
      </c>
      <c r="W68" s="507">
        <f>IF(OR('Sys Admin Calculation'!Y56&lt;&gt;0, U68="Prospective"), 0, 'ESPO Calculator'!$B$41)</f>
        <v>0</v>
      </c>
      <c r="X68" s="507">
        <f>IF(OR(V68=1, U68="Prospective"), 0, 'ESPO Calculator'!$D$48)</f>
        <v>2166.6666666666665</v>
      </c>
      <c r="Y68" s="507">
        <f>W68+X68*IF('Sys Admin'!Q26 &lt;&gt; 0, (12 -'Sys Admin'!Q26), 12)</f>
        <v>26000</v>
      </c>
    </row>
    <row r="69" spans="2:25">
      <c r="N69" s="448" t="str">
        <f t="shared" si="17"/>
        <v>ActiveNone</v>
      </c>
      <c r="O69" s="448" t="s">
        <v>8</v>
      </c>
      <c r="P69" s="448" t="s">
        <v>192</v>
      </c>
      <c r="Q69" s="477">
        <f>'Enablement Services '!C72</f>
        <v>0</v>
      </c>
      <c r="S69" s="9" t="s">
        <v>203</v>
      </c>
      <c r="T69" s="486" t="str">
        <f>'Sys Admin'!I27</f>
        <v>Active</v>
      </c>
      <c r="U69" s="9" t="str">
        <f>'Sys Admin'!O27</f>
        <v>Active</v>
      </c>
      <c r="V69" s="605">
        <f t="shared" si="18"/>
        <v>0</v>
      </c>
      <c r="W69" s="507">
        <f>IF(OR('Sys Admin Calculation'!Y57&lt;&gt;0, U69="Prospective"), 0, 'ESPO Calculator'!$B$41)</f>
        <v>0</v>
      </c>
      <c r="X69" s="507">
        <f>IF(OR(V69=1, U69="Prospective"), 0, 'ESPO Calculator'!$D$48)</f>
        <v>2166.6666666666665</v>
      </c>
      <c r="Y69" s="507">
        <f>W69+X69*IF('Sys Admin'!Q27 &lt;&gt; 0, (12 -'Sys Admin'!Q27), 12)</f>
        <v>26000</v>
      </c>
    </row>
    <row r="70" spans="2:25" ht="14.65" thickBot="1">
      <c r="N70" s="448" t="str">
        <f t="shared" si="17"/>
        <v>ProspectiveNone</v>
      </c>
      <c r="O70" s="448" t="s">
        <v>67</v>
      </c>
      <c r="P70" s="448" t="s">
        <v>192</v>
      </c>
      <c r="Q70" s="488">
        <v>0</v>
      </c>
      <c r="S70" s="9" t="s">
        <v>159</v>
      </c>
      <c r="T70" s="486" t="str">
        <f>'Sys Admin'!I28</f>
        <v>Active</v>
      </c>
      <c r="U70" s="9" t="str">
        <f>'Sys Admin'!O28</f>
        <v>Active</v>
      </c>
      <c r="V70" s="605">
        <f t="shared" si="18"/>
        <v>0</v>
      </c>
      <c r="W70" s="507">
        <f>IF(OR('Sys Admin Calculation'!Y58&lt;&gt;0, U70="Prospective"), 0, 'ESPO Calculator'!$B$41)</f>
        <v>0</v>
      </c>
      <c r="X70" s="507">
        <f>IF(OR(V70=1, U70="Prospective"), 0, 'ESPO Calculator'!$D$48)</f>
        <v>2166.6666666666665</v>
      </c>
      <c r="Y70" s="507">
        <f>W70+X70*IF('Sys Admin'!Q28 &lt;&gt; 0, (12 -'Sys Admin'!Q28), 12)</f>
        <v>26000</v>
      </c>
    </row>
    <row r="71" spans="2:25">
      <c r="N71" s="516"/>
      <c r="O71" s="517"/>
      <c r="P71" s="517" t="s">
        <v>198</v>
      </c>
      <c r="Q71" s="518">
        <f>'ESPO Calculator'!B77</f>
        <v>720000</v>
      </c>
      <c r="S71" s="9" t="s">
        <v>204</v>
      </c>
      <c r="T71" s="486" t="str">
        <f>'Sys Admin'!I29</f>
        <v>Prospective</v>
      </c>
      <c r="U71" s="9" t="str">
        <f>'Sys Admin'!O29</f>
        <v>Prospective</v>
      </c>
      <c r="V71" s="605">
        <f t="shared" si="18"/>
        <v>0</v>
      </c>
      <c r="W71" s="507">
        <f>IF(OR('Sys Admin Calculation'!Y59&lt;&gt;0, U71="Prospective"), 0, 'ESPO Calculator'!$B$41)</f>
        <v>0</v>
      </c>
      <c r="X71" s="507">
        <f>IF(OR(V71=1, U71="Prospective"), 0, 'ESPO Calculator'!$D$48)</f>
        <v>0</v>
      </c>
      <c r="Y71" s="507">
        <f>W71+X71*IF('Sys Admin'!Q29 &lt;&gt; 0, (12 -'Sys Admin'!Q29), 12)</f>
        <v>0</v>
      </c>
    </row>
    <row r="72" spans="2:25">
      <c r="N72" s="519"/>
      <c r="O72" s="515"/>
      <c r="P72" s="515" t="s">
        <v>199</v>
      </c>
      <c r="Q72" s="520">
        <f>'ESPO Calculator'!B60</f>
        <v>261000</v>
      </c>
      <c r="S72" s="9" t="s">
        <v>205</v>
      </c>
      <c r="T72" s="486" t="str">
        <f>'Sys Admin'!I30</f>
        <v>Prospective</v>
      </c>
      <c r="U72" s="9" t="str">
        <f>'Sys Admin'!O30</f>
        <v>Prospective</v>
      </c>
      <c r="V72" s="605">
        <f t="shared" si="18"/>
        <v>0</v>
      </c>
      <c r="W72" s="507">
        <f>IF(OR('Sys Admin Calculation'!Y60&lt;&gt;0, U72="Prospective"), 0, 'ESPO Calculator'!$B$41)</f>
        <v>0</v>
      </c>
      <c r="X72" s="507">
        <f>IF(OR(V72=1, U72="Prospective"), 0, 'ESPO Calculator'!$D$48)</f>
        <v>0</v>
      </c>
      <c r="Y72" s="507">
        <f>W72+X72*IF('Sys Admin'!Q30 &lt;&gt; 0, (12 -'Sys Admin'!Q30), 12)</f>
        <v>0</v>
      </c>
    </row>
    <row r="73" spans="2:25">
      <c r="N73" s="519"/>
      <c r="O73" s="515"/>
      <c r="P73" s="515" t="s">
        <v>575</v>
      </c>
      <c r="Q73" s="520">
        <f>'Custom ESPO Selection'!B34</f>
        <v>0</v>
      </c>
      <c r="S73" s="9" t="s">
        <v>148</v>
      </c>
      <c r="T73" s="486" t="str">
        <f>'Sys Admin'!I31</f>
        <v>Active</v>
      </c>
      <c r="U73" s="9" t="str">
        <f>'Sys Admin'!O31</f>
        <v>Active</v>
      </c>
      <c r="V73" s="605">
        <f t="shared" si="18"/>
        <v>0</v>
      </c>
      <c r="W73" s="507">
        <f>IF(OR('Sys Admin Calculation'!Y61&lt;&gt;0, U73="Prospective"), 0, 'ESPO Calculator'!$B$41)</f>
        <v>0</v>
      </c>
      <c r="X73" s="507">
        <f>IF(OR(V73=1, U73="Prospective"), 0, 'ESPO Calculator'!$D$48)</f>
        <v>2166.6666666666665</v>
      </c>
      <c r="Y73" s="507">
        <f>W73+X73*IF('Sys Admin'!Q31 &lt;&gt; 0, (12 -'Sys Admin'!Q31), 12)</f>
        <v>26000</v>
      </c>
    </row>
    <row r="74" spans="2:25" ht="14.65" thickBot="1">
      <c r="N74" s="521"/>
      <c r="O74" s="522"/>
      <c r="P74" s="522" t="s">
        <v>192</v>
      </c>
      <c r="Q74" s="523">
        <v>0</v>
      </c>
      <c r="S74" s="9" t="s">
        <v>206</v>
      </c>
      <c r="T74" s="486" t="str">
        <f>'Sys Admin'!I32</f>
        <v>Active</v>
      </c>
      <c r="U74" s="9" t="str">
        <f>'Sys Admin'!O32</f>
        <v>Active</v>
      </c>
      <c r="V74" s="605">
        <f t="shared" si="18"/>
        <v>0</v>
      </c>
      <c r="W74" s="507">
        <f>IF(OR('Sys Admin Calculation'!Y62&lt;&gt;0, U74="Prospective"), 0, 'ESPO Calculator'!$B$41)</f>
        <v>0</v>
      </c>
      <c r="X74" s="507">
        <f>IF(OR(V74=1, U74="Prospective"), 0, 'ESPO Calculator'!$D$48)</f>
        <v>2166.6666666666665</v>
      </c>
      <c r="Y74" s="507">
        <f>W74+X74*IF('Sys Admin'!Q32 &lt;&gt; 0, (12 -'Sys Admin'!Q32), 12)</f>
        <v>26000</v>
      </c>
    </row>
    <row r="75" spans="2:25">
      <c r="S75" s="9" t="s">
        <v>207</v>
      </c>
      <c r="T75" s="486" t="str">
        <f>'Sys Admin'!I33</f>
        <v>Active</v>
      </c>
      <c r="U75" s="9" t="str">
        <f>'Sys Admin'!O33</f>
        <v>Active</v>
      </c>
      <c r="V75" s="605">
        <f t="shared" si="18"/>
        <v>0</v>
      </c>
      <c r="W75" s="507">
        <f>IF(OR('Sys Admin Calculation'!Y63&lt;&gt;0, U75="Prospective"), 0, 'ESPO Calculator'!$B$41)</f>
        <v>0</v>
      </c>
      <c r="X75" s="507">
        <f>IF(OR(V75=1, U75="Prospective"), 0, 'ESPO Calculator'!$D$48)</f>
        <v>2166.6666666666665</v>
      </c>
      <c r="Y75" s="507">
        <f>W75+X75*IF('Sys Admin'!Q33 &lt;&gt; 0, (12 -'Sys Admin'!Q33), 12)</f>
        <v>26000</v>
      </c>
    </row>
    <row r="76" spans="2:25">
      <c r="S76" s="9" t="s">
        <v>208</v>
      </c>
      <c r="T76" s="486" t="str">
        <f>'Sys Admin'!I34</f>
        <v>Prospective</v>
      </c>
      <c r="U76" s="9" t="str">
        <f>'Sys Admin'!O34</f>
        <v>Prospective</v>
      </c>
      <c r="V76" s="605">
        <f t="shared" si="18"/>
        <v>0</v>
      </c>
      <c r="W76" s="507">
        <f>IF(OR('Sys Admin Calculation'!Y64&lt;&gt;0, U76="Prospective"), 0, 'ESPO Calculator'!$B$41)</f>
        <v>0</v>
      </c>
      <c r="X76" s="507">
        <f>IF(OR(V76=1, U76="Prospective"), 0, 'ESPO Calculator'!$D$48)</f>
        <v>0</v>
      </c>
      <c r="Y76" s="507">
        <f>W76+X76*IF('Sys Admin'!Q34 &lt;&gt; 0, (12 -'Sys Admin'!Q34), 12)</f>
        <v>0</v>
      </c>
    </row>
    <row r="77" spans="2:25">
      <c r="S77" s="9" t="s">
        <v>209</v>
      </c>
      <c r="T77" s="486" t="str">
        <f>'Sys Admin'!I35</f>
        <v>Prospective</v>
      </c>
      <c r="U77" s="9" t="str">
        <f>'Sys Admin'!O35</f>
        <v>Prospective</v>
      </c>
      <c r="V77" s="605">
        <f t="shared" si="18"/>
        <v>0</v>
      </c>
      <c r="W77" s="507">
        <f>IF(OR('Sys Admin Calculation'!Y65&lt;&gt;0, U77="Prospective"), 0, 'ESPO Calculator'!$B$41)</f>
        <v>0</v>
      </c>
      <c r="X77" s="507">
        <f>IF(OR(V77=1, U77="Prospective"), 0, 'ESPO Calculator'!$D$48)</f>
        <v>0</v>
      </c>
      <c r="Y77" s="507">
        <f>W77+X77*IF('Sys Admin'!Q35 &lt;&gt; 0, (12 -'Sys Admin'!Q35), 12)</f>
        <v>0</v>
      </c>
    </row>
    <row r="78" spans="2:25">
      <c r="S78" s="9" t="s">
        <v>144</v>
      </c>
      <c r="T78" s="486" t="str">
        <f>'Sys Admin'!I36</f>
        <v>Active</v>
      </c>
      <c r="U78" s="9" t="str">
        <f>'Sys Admin'!O36</f>
        <v>Active</v>
      </c>
      <c r="V78" s="605">
        <f t="shared" si="18"/>
        <v>0</v>
      </c>
      <c r="W78" s="507">
        <f>IF(OR('Sys Admin Calculation'!Y66&lt;&gt;0, U78="Prospective"), 0, 'ESPO Calculator'!$B$41)</f>
        <v>0</v>
      </c>
      <c r="X78" s="507">
        <f>IF(OR(V78=1, U78="Prospective"), 0, 'ESPO Calculator'!$D$48)</f>
        <v>2166.6666666666665</v>
      </c>
      <c r="Y78" s="507">
        <f>W78+X78*IF('Sys Admin'!Q36 &lt;&gt; 0, (12 -'Sys Admin'!Q36), 12)</f>
        <v>26000</v>
      </c>
    </row>
    <row r="79" spans="2:25">
      <c r="S79" s="9" t="s">
        <v>157</v>
      </c>
      <c r="T79" s="486" t="str">
        <f>'Sys Admin'!I37</f>
        <v>Active</v>
      </c>
      <c r="U79" s="9" t="str">
        <f>'Sys Admin'!O37</f>
        <v>Active</v>
      </c>
      <c r="V79" s="605">
        <f t="shared" si="18"/>
        <v>0</v>
      </c>
      <c r="W79" s="507">
        <f>IF(OR('Sys Admin Calculation'!Y67&lt;&gt;0, U79="Prospective"), 0, 'ESPO Calculator'!$B$41)</f>
        <v>0</v>
      </c>
      <c r="X79" s="507">
        <f>IF(OR(V79=1, U79="Prospective"), 0, 'ESPO Calculator'!$D$48)</f>
        <v>2166.6666666666665</v>
      </c>
      <c r="Y79" s="507">
        <f>W79+X79*IF('Sys Admin'!Q37 &lt;&gt; 0, (12 -'Sys Admin'!Q37), 12)</f>
        <v>26000</v>
      </c>
    </row>
    <row r="80" spans="2:25">
      <c r="S80" s="9" t="s">
        <v>210</v>
      </c>
      <c r="T80" s="486" t="str">
        <f>'Sys Admin'!I38</f>
        <v>Prospective</v>
      </c>
      <c r="U80" s="9" t="str">
        <f>'Sys Admin'!O38</f>
        <v>Prospective</v>
      </c>
      <c r="V80" s="605">
        <f t="shared" si="18"/>
        <v>0</v>
      </c>
      <c r="W80" s="507">
        <f>IF(OR('Sys Admin Calculation'!Y68&lt;&gt;0, U80="Prospective"), 0, 'ESPO Calculator'!$B$41)</f>
        <v>0</v>
      </c>
      <c r="X80" s="507">
        <f>IF(OR(V80=1, U80="Prospective"), 0, 'ESPO Calculator'!$D$48)</f>
        <v>0</v>
      </c>
      <c r="Y80" s="507">
        <f>W80+X80*IF('Sys Admin'!Q38 &lt;&gt; 0, (12 -'Sys Admin'!Q38), 12)</f>
        <v>0</v>
      </c>
    </row>
    <row r="81" spans="7:25">
      <c r="S81" s="9" t="s">
        <v>201</v>
      </c>
      <c r="T81" s="486" t="str">
        <f>'Sys Admin'!I39</f>
        <v>Prospective</v>
      </c>
      <c r="U81" s="9" t="str">
        <f>'Sys Admin'!O39</f>
        <v>Prospective</v>
      </c>
      <c r="V81" s="605">
        <f t="shared" si="18"/>
        <v>0</v>
      </c>
      <c r="W81" s="507">
        <f>IF(OR('Sys Admin Calculation'!Y69&lt;&gt;0, U81="Prospective"), 0, 'ESPO Calculator'!$B$41)</f>
        <v>0</v>
      </c>
      <c r="X81" s="507">
        <f>IF(OR(V81=1, U81="Prospective"), 0, 'ESPO Calculator'!$D$48)</f>
        <v>0</v>
      </c>
      <c r="Y81" s="507">
        <f>W81+X81*IF('Sys Admin'!Q39 &lt;&gt; 0, (12 -'Sys Admin'!Q39), 12)</f>
        <v>0</v>
      </c>
    </row>
    <row r="82" spans="7:25" ht="14.65" thickBot="1">
      <c r="S82" s="9" t="s">
        <v>202</v>
      </c>
      <c r="T82" s="486" t="str">
        <f>'Sys Admin'!I40</f>
        <v>Prospective</v>
      </c>
      <c r="U82" s="9" t="str">
        <f>'Sys Admin'!O40</f>
        <v>Prospective</v>
      </c>
      <c r="V82" s="605">
        <f t="shared" si="18"/>
        <v>0</v>
      </c>
      <c r="W82" s="507">
        <f>IF(OR('Sys Admin Calculation'!Y70&lt;&gt;0, U82="Prospective"), 0, 'ESPO Calculator'!$B$41)</f>
        <v>0</v>
      </c>
      <c r="X82" s="507">
        <f>IF(OR(V82=1, U82="Prospective"), 0, 'ESPO Calculator'!$D$48)</f>
        <v>0</v>
      </c>
      <c r="Y82" s="507">
        <f>W82+X82*IF('Sys Admin'!Q40 &lt;&gt; 0, (12 -'Sys Admin'!Q40), 12)</f>
        <v>0</v>
      </c>
    </row>
    <row r="83" spans="7:25">
      <c r="G83" s="528" t="s">
        <v>332</v>
      </c>
      <c r="H83" s="529" t="s">
        <v>330</v>
      </c>
      <c r="I83" s="529" t="s">
        <v>331</v>
      </c>
      <c r="J83" s="529" t="s">
        <v>252</v>
      </c>
      <c r="K83" s="529" t="s">
        <v>335</v>
      </c>
      <c r="L83" s="529" t="s">
        <v>12</v>
      </c>
      <c r="M83" s="530" t="s">
        <v>336</v>
      </c>
      <c r="S83" s="600" t="str">
        <f>A22</f>
        <v>New Project 1</v>
      </c>
      <c r="T83" s="600" t="str">
        <f>'Sys Admin'!I43</f>
        <v>Prospective</v>
      </c>
      <c r="U83" s="600" t="str">
        <f>'Sys Admin'!O43</f>
        <v>Prospective</v>
      </c>
      <c r="V83" s="601">
        <f t="shared" si="18"/>
        <v>0</v>
      </c>
      <c r="W83" s="602">
        <f>IF(OR('Sys Admin Calculation'!Y71&lt;&gt;0, U83="Prospective"), 0, 'ESPO Calculator'!$B$41)</f>
        <v>0</v>
      </c>
      <c r="X83" s="602">
        <f>IF(OR(V83=1, U83="Prospective"), 0, 'ESPO Calculator'!$D$48)</f>
        <v>0</v>
      </c>
      <c r="Y83" s="602">
        <f>W83+X83*IF('Sys Admin'!Q43 &lt;&gt; 0, (12 -'Sys Admin'!Q43), 12)</f>
        <v>0</v>
      </c>
    </row>
    <row r="84" spans="7:25">
      <c r="G84" s="531" t="s">
        <v>83</v>
      </c>
      <c r="H84" s="532" t="s">
        <v>83</v>
      </c>
      <c r="I84" s="532"/>
      <c r="J84" s="533">
        <v>0</v>
      </c>
      <c r="K84" s="533">
        <v>0</v>
      </c>
      <c r="L84" s="533">
        <f>L49</f>
        <v>1</v>
      </c>
      <c r="M84" s="534">
        <f>L56</f>
        <v>1</v>
      </c>
      <c r="S84" s="600" t="str">
        <f t="shared" ref="S84:S97" si="19">A23</f>
        <v>New Project 2</v>
      </c>
      <c r="T84" s="600" t="str">
        <f>'Sys Admin'!I44</f>
        <v>Prospective</v>
      </c>
      <c r="U84" s="600" t="str">
        <f>'Sys Admin'!O44</f>
        <v>Prospective</v>
      </c>
      <c r="V84" s="601">
        <f t="shared" si="18"/>
        <v>0</v>
      </c>
      <c r="W84" s="602">
        <f>IF(OR('Sys Admin Calculation'!Y72&lt;&gt;0, U84="Prospective"), 0, 'ESPO Calculator'!$B$41)</f>
        <v>0</v>
      </c>
      <c r="X84" s="602">
        <f>IF(OR(V84=1, U84="Prospective"), 0, 'ESPO Calculator'!$D$48)</f>
        <v>0</v>
      </c>
      <c r="Y84" s="602">
        <f>W84+X84*IF('Sys Admin'!Q44 &lt;&gt; 0, (12 -'Sys Admin'!Q44), 12)</f>
        <v>0</v>
      </c>
    </row>
    <row r="85" spans="7:25">
      <c r="G85" s="531" t="s">
        <v>30</v>
      </c>
      <c r="H85" s="532" t="s">
        <v>30</v>
      </c>
      <c r="I85" s="532"/>
      <c r="J85" s="533">
        <v>0</v>
      </c>
      <c r="K85" s="533">
        <v>0</v>
      </c>
      <c r="L85" s="533">
        <f>L50</f>
        <v>1</v>
      </c>
      <c r="M85" s="534">
        <f>L57</f>
        <v>1</v>
      </c>
      <c r="S85" s="600" t="str">
        <f t="shared" si="19"/>
        <v>New Project 3</v>
      </c>
      <c r="T85" s="600" t="str">
        <f>'Sys Admin'!I45</f>
        <v>Prospective</v>
      </c>
      <c r="U85" s="600" t="str">
        <f>'Sys Admin'!O45</f>
        <v>Prospective</v>
      </c>
      <c r="V85" s="601">
        <f t="shared" si="18"/>
        <v>0</v>
      </c>
      <c r="W85" s="602">
        <f>IF(OR('Sys Admin Calculation'!Y73&lt;&gt;0, U85="Prospective"), 0, 'ESPO Calculator'!$B$41)</f>
        <v>0</v>
      </c>
      <c r="X85" s="602">
        <f>IF(OR(V85=1, U85="Prospective"), 0, 'ESPO Calculator'!$D$48)</f>
        <v>0</v>
      </c>
      <c r="Y85" s="602">
        <f>W85+X85*IF('Sys Admin'!Q45 &lt;&gt; 0, (12 -'Sys Admin'!Q45), 12)</f>
        <v>0</v>
      </c>
    </row>
    <row r="86" spans="7:25">
      <c r="G86" s="531" t="s">
        <v>628</v>
      </c>
      <c r="H86" s="532" t="s">
        <v>8</v>
      </c>
      <c r="I86" s="532" t="s">
        <v>31</v>
      </c>
      <c r="J86" s="533">
        <v>3038.1507272812009</v>
      </c>
      <c r="K86" s="533">
        <v>555.1686575581781</v>
      </c>
      <c r="L86" s="533">
        <f>L51</f>
        <v>6665.5131599999995</v>
      </c>
      <c r="M86" s="534">
        <f>L58</f>
        <v>1298.2223039999999</v>
      </c>
      <c r="S86" s="600" t="str">
        <f t="shared" si="19"/>
        <v>New Project 4</v>
      </c>
      <c r="T86" s="600" t="str">
        <f>'Sys Admin'!I46</f>
        <v>Prospective</v>
      </c>
      <c r="U86" s="600" t="str">
        <f>'Sys Admin'!O46</f>
        <v>Prospective</v>
      </c>
      <c r="V86" s="601">
        <f t="shared" si="18"/>
        <v>0</v>
      </c>
      <c r="W86" s="602">
        <f>IF(OR('Sys Admin Calculation'!Y74&lt;&gt;0, U86="Prospective"), 0, 'ESPO Calculator'!$B$41)</f>
        <v>0</v>
      </c>
      <c r="X86" s="602">
        <f>IF(OR(V86=1, U86="Prospective"), 0, 'ESPO Calculator'!$D$48)</f>
        <v>0</v>
      </c>
      <c r="Y86" s="602">
        <f>W86+X86*IF('Sys Admin'!Q46 &lt;&gt; 0, (12 -'Sys Admin'!Q46), 12)</f>
        <v>0</v>
      </c>
    </row>
    <row r="87" spans="7:25">
      <c r="G87" s="531" t="s">
        <v>629</v>
      </c>
      <c r="H87" s="532" t="s">
        <v>8</v>
      </c>
      <c r="I87" s="532" t="s">
        <v>32</v>
      </c>
      <c r="J87" s="533">
        <v>1323.3980250723589</v>
      </c>
      <c r="K87" s="533">
        <v>388.61806029072471</v>
      </c>
      <c r="L87" s="533">
        <f>L51</f>
        <v>6665.5131599999995</v>
      </c>
      <c r="M87" s="534">
        <f>L58</f>
        <v>1298.2223039999999</v>
      </c>
      <c r="S87" s="600" t="str">
        <f t="shared" si="19"/>
        <v>New Project 5</v>
      </c>
      <c r="T87" s="600" t="str">
        <f>'Sys Admin'!I47</f>
        <v>Prospective</v>
      </c>
      <c r="U87" s="600" t="str">
        <f>'Sys Admin'!O47</f>
        <v>Prospective</v>
      </c>
      <c r="V87" s="601">
        <f t="shared" si="18"/>
        <v>0</v>
      </c>
      <c r="W87" s="602">
        <f>IF(OR('Sys Admin Calculation'!Y75&lt;&gt;0, U87="Prospective"), 0, 'ESPO Calculator'!$B$41)</f>
        <v>0</v>
      </c>
      <c r="X87" s="602">
        <f>IF(OR(V87=1, U87="Prospective"), 0, 'ESPO Calculator'!$D$48)</f>
        <v>0</v>
      </c>
      <c r="Y87" s="602">
        <f>W87+X87*IF('Sys Admin'!Q47 &lt;&gt; 0, (12 -'Sys Admin'!Q47), 12)</f>
        <v>0</v>
      </c>
    </row>
    <row r="88" spans="7:25">
      <c r="G88" s="531" t="s">
        <v>630</v>
      </c>
      <c r="H88" s="532" t="s">
        <v>8</v>
      </c>
      <c r="I88" s="532" t="s">
        <v>33</v>
      </c>
      <c r="J88" s="533">
        <v>708.63974808201408</v>
      </c>
      <c r="K88" s="533">
        <v>204.02448165263047</v>
      </c>
      <c r="L88" s="533">
        <f>L51</f>
        <v>6665.5131599999995</v>
      </c>
      <c r="M88" s="534">
        <f>L58</f>
        <v>1298.2223039999999</v>
      </c>
      <c r="S88" s="600" t="str">
        <f t="shared" si="19"/>
        <v>New Project 6</v>
      </c>
      <c r="T88" s="600" t="str">
        <f>'Sys Admin'!I48</f>
        <v>Prospective</v>
      </c>
      <c r="U88" s="600" t="str">
        <f>'Sys Admin'!O48</f>
        <v>Prospective</v>
      </c>
      <c r="V88" s="601">
        <f t="shared" si="18"/>
        <v>0</v>
      </c>
      <c r="W88" s="602">
        <f>IF(OR('Sys Admin Calculation'!Y76&lt;&gt;0, U88="Prospective"), 0, 'ESPO Calculator'!$B$41)</f>
        <v>0</v>
      </c>
      <c r="X88" s="602">
        <f>IF(OR(V88=1, U88="Prospective"), 0, 'ESPO Calculator'!$D$48)</f>
        <v>0</v>
      </c>
      <c r="Y88" s="602">
        <f>W88+X88*IF('Sys Admin'!Q48 &lt;&gt; 0, (12 -'Sys Admin'!Q48), 12)</f>
        <v>0</v>
      </c>
    </row>
    <row r="89" spans="7:25" ht="14.65" thickBot="1">
      <c r="G89" s="535" t="s">
        <v>84</v>
      </c>
      <c r="H89" s="536"/>
      <c r="I89" s="536"/>
      <c r="J89" s="537">
        <v>0</v>
      </c>
      <c r="K89" s="537">
        <v>0</v>
      </c>
      <c r="L89" s="595">
        <f>L52</f>
        <v>1</v>
      </c>
      <c r="M89" s="596">
        <f>L59</f>
        <v>1</v>
      </c>
      <c r="S89" s="600" t="str">
        <f t="shared" si="19"/>
        <v>New Project 7</v>
      </c>
      <c r="T89" s="600" t="str">
        <f>'Sys Admin'!I49</f>
        <v>Prospective</v>
      </c>
      <c r="U89" s="600" t="str">
        <f>'Sys Admin'!O49</f>
        <v>Prospective</v>
      </c>
      <c r="V89" s="601">
        <f t="shared" si="18"/>
        <v>0</v>
      </c>
      <c r="W89" s="602">
        <f>IF(OR('Sys Admin Calculation'!Y77&lt;&gt;0, U89="Prospective"), 0, 'ESPO Calculator'!$B$41)</f>
        <v>0</v>
      </c>
      <c r="X89" s="602">
        <f>IF(OR(V89=1, U89="Prospective"), 0, 'ESPO Calculator'!$D$48)</f>
        <v>0</v>
      </c>
      <c r="Y89" s="602">
        <f>W89+X89*IF('Sys Admin'!Q49 &lt;&gt; 0, (12 -'Sys Admin'!Q49), 12)</f>
        <v>0</v>
      </c>
    </row>
    <row r="90" spans="7:25">
      <c r="S90" s="600" t="str">
        <f t="shared" si="19"/>
        <v>New Project 8</v>
      </c>
      <c r="T90" s="600" t="str">
        <f>'Sys Admin'!I50</f>
        <v>Prospective</v>
      </c>
      <c r="U90" s="600" t="str">
        <f>'Sys Admin'!O50</f>
        <v>Prospective</v>
      </c>
      <c r="V90" s="601">
        <f t="shared" si="18"/>
        <v>0</v>
      </c>
      <c r="W90" s="602">
        <f>IF(OR('Sys Admin Calculation'!Y78&lt;&gt;0, U90="Prospective"), 0, 'ESPO Calculator'!$B$41)</f>
        <v>0</v>
      </c>
      <c r="X90" s="602">
        <f>IF(OR(V90=1, U90="Prospective"), 0, 'ESPO Calculator'!$D$48)</f>
        <v>0</v>
      </c>
      <c r="Y90" s="602">
        <f>W90+X90*IF('Sys Admin'!Q50 &lt;&gt; 0, (12 -'Sys Admin'!Q50), 12)</f>
        <v>0</v>
      </c>
    </row>
    <row r="91" spans="7:25">
      <c r="S91" s="600" t="str">
        <f t="shared" si="19"/>
        <v>New Project 9</v>
      </c>
      <c r="T91" s="600" t="str">
        <f>'Sys Admin'!I51</f>
        <v>Prospective</v>
      </c>
      <c r="U91" s="600" t="str">
        <f>'Sys Admin'!O51</f>
        <v>Prospective</v>
      </c>
      <c r="V91" s="601">
        <f t="shared" si="18"/>
        <v>0</v>
      </c>
      <c r="W91" s="602">
        <f>IF(OR('Sys Admin Calculation'!Y79&lt;&gt;0, U91="Prospective"), 0, 'ESPO Calculator'!$B$41)</f>
        <v>0</v>
      </c>
      <c r="X91" s="602">
        <f>IF(OR(V91=1, U91="Prospective"), 0, 'ESPO Calculator'!$D$48)</f>
        <v>0</v>
      </c>
      <c r="Y91" s="602">
        <f>W91+X91*IF('Sys Admin'!Q51 &lt;&gt; 0, (12 -'Sys Admin'!Q51), 12)</f>
        <v>0</v>
      </c>
    </row>
    <row r="92" spans="7:25">
      <c r="S92" s="600" t="str">
        <f t="shared" si="19"/>
        <v>New Project 10</v>
      </c>
      <c r="T92" s="600" t="str">
        <f>'Sys Admin'!I52</f>
        <v>Prospective</v>
      </c>
      <c r="U92" s="600" t="str">
        <f>'Sys Admin'!O52</f>
        <v>Prospective</v>
      </c>
      <c r="V92" s="601">
        <f t="shared" si="18"/>
        <v>0</v>
      </c>
      <c r="W92" s="602">
        <f>IF(OR('Sys Admin Calculation'!Y80&lt;&gt;0, U92="Prospective"), 0, 'ESPO Calculator'!$B$41)</f>
        <v>0</v>
      </c>
      <c r="X92" s="602">
        <f>IF(OR(V92=1, U92="Prospective"), 0, 'ESPO Calculator'!$D$48)</f>
        <v>0</v>
      </c>
      <c r="Y92" s="602">
        <f>W92+X92*IF('Sys Admin'!Q52 &lt;&gt; 0, (12 -'Sys Admin'!Q52), 12)</f>
        <v>0</v>
      </c>
    </row>
    <row r="93" spans="7:25">
      <c r="S93" s="600" t="str">
        <f t="shared" si="19"/>
        <v>New Project 11</v>
      </c>
      <c r="T93" s="600" t="str">
        <f>'Sys Admin'!I53</f>
        <v>Prospective</v>
      </c>
      <c r="U93" s="600" t="str">
        <f>'Sys Admin'!O53</f>
        <v>Prospective</v>
      </c>
      <c r="V93" s="601">
        <f t="shared" si="18"/>
        <v>0</v>
      </c>
      <c r="W93" s="602">
        <f>IF(OR('Sys Admin Calculation'!Y81&lt;&gt;0, U93="Prospective"), 0, 'ESPO Calculator'!$B$41)</f>
        <v>0</v>
      </c>
      <c r="X93" s="602">
        <f>IF(OR(V93=1, U93="Prospective"), 0, 'ESPO Calculator'!$D$48)</f>
        <v>0</v>
      </c>
      <c r="Y93" s="602">
        <f>W93+X93*IF('Sys Admin'!Q53 &lt;&gt; 0, (12 -'Sys Admin'!Q53), 12)</f>
        <v>0</v>
      </c>
    </row>
    <row r="94" spans="7:25">
      <c r="S94" s="600" t="str">
        <f t="shared" si="19"/>
        <v>New Project 12</v>
      </c>
      <c r="T94" s="600" t="str">
        <f>'Sys Admin'!I54</f>
        <v>Prospective</v>
      </c>
      <c r="U94" s="600" t="str">
        <f>'Sys Admin'!O54</f>
        <v>Prospective</v>
      </c>
      <c r="V94" s="601">
        <f t="shared" si="18"/>
        <v>0</v>
      </c>
      <c r="W94" s="602">
        <f>IF(OR('Sys Admin Calculation'!Y82&lt;&gt;0, U94="Prospective"), 0, 'ESPO Calculator'!$B$41)</f>
        <v>0</v>
      </c>
      <c r="X94" s="602">
        <f>IF(OR(V94=1, U94="Prospective"), 0, 'ESPO Calculator'!$D$48)</f>
        <v>0</v>
      </c>
      <c r="Y94" s="602">
        <f>W94+X94*IF('Sys Admin'!Q54 &lt;&gt; 0, (12 -'Sys Admin'!Q54), 12)</f>
        <v>0</v>
      </c>
    </row>
    <row r="95" spans="7:25">
      <c r="S95" s="600" t="str">
        <f t="shared" si="19"/>
        <v>New Project 13</v>
      </c>
      <c r="T95" s="600" t="str">
        <f>'Sys Admin'!I55</f>
        <v>Prospective</v>
      </c>
      <c r="U95" s="600" t="str">
        <f>'Sys Admin'!O55</f>
        <v>Prospective</v>
      </c>
      <c r="V95" s="601">
        <f t="shared" si="18"/>
        <v>0</v>
      </c>
      <c r="W95" s="602">
        <f>IF(OR('Sys Admin Calculation'!Y83&lt;&gt;0, U95="Prospective"), 0, 'ESPO Calculator'!$B$41)</f>
        <v>0</v>
      </c>
      <c r="X95" s="602">
        <f>IF(OR(V95=1, U95="Prospective"), 0, 'ESPO Calculator'!$D$48)</f>
        <v>0</v>
      </c>
      <c r="Y95" s="602">
        <f>W95+X95*IF('Sys Admin'!Q55 &lt;&gt; 0, (12 -'Sys Admin'!Q55), 12)</f>
        <v>0</v>
      </c>
    </row>
    <row r="96" spans="7:25">
      <c r="S96" s="600" t="str">
        <f t="shared" si="19"/>
        <v>New Project 14</v>
      </c>
      <c r="T96" s="600" t="str">
        <f>'Sys Admin'!I56</f>
        <v>Prospective</v>
      </c>
      <c r="U96" s="600" t="str">
        <f>'Sys Admin'!O56</f>
        <v>Prospective</v>
      </c>
      <c r="V96" s="601">
        <f t="shared" si="18"/>
        <v>0</v>
      </c>
      <c r="W96" s="602">
        <f>IF(OR('Sys Admin Calculation'!Y84&lt;&gt;0, U96="Prospective"), 0, 'ESPO Calculator'!$B$41)</f>
        <v>0</v>
      </c>
      <c r="X96" s="602">
        <f>IF(OR(V96=1, U96="Prospective"), 0, 'ESPO Calculator'!$D$48)</f>
        <v>0</v>
      </c>
      <c r="Y96" s="602">
        <f>W96+X96*IF('Sys Admin'!Q56 &lt;&gt; 0, (12 -'Sys Admin'!Q56), 12)</f>
        <v>0</v>
      </c>
    </row>
    <row r="97" spans="19:25">
      <c r="S97" s="600" t="str">
        <f t="shared" si="19"/>
        <v>New Project 15</v>
      </c>
      <c r="T97" s="600" t="str">
        <f>'Sys Admin'!I57</f>
        <v>Prospective</v>
      </c>
      <c r="U97" s="600" t="str">
        <f>'Sys Admin'!O57</f>
        <v>Prospective</v>
      </c>
      <c r="V97" s="601">
        <f t="shared" si="18"/>
        <v>0</v>
      </c>
      <c r="W97" s="602">
        <f>IF(OR('Sys Admin Calculation'!Y85&lt;&gt;0, U97="Prospective"), 0, 'ESPO Calculator'!$B$41)</f>
        <v>0</v>
      </c>
      <c r="X97" s="602">
        <f>IF(OR(V97=1, U97="Prospective"), 0, 'ESPO Calculator'!$D$48)</f>
        <v>0</v>
      </c>
      <c r="Y97" s="602">
        <f>W97+X97*IF('Sys Admin'!Q57 &lt;&gt; 0, (12 -'Sys Admin'!Q57), 12)</f>
        <v>0</v>
      </c>
    </row>
    <row r="98" spans="19:25">
      <c r="T98" s="65"/>
      <c r="U98" s="65"/>
      <c r="V98" s="604"/>
      <c r="W98" s="65"/>
      <c r="Y98" s="145">
        <f>SUM(Y66:Y97)</f>
        <v>260000</v>
      </c>
    </row>
    <row r="99" spans="19:25">
      <c r="T99" s="65"/>
      <c r="U99" s="65"/>
      <c r="V99" s="604"/>
      <c r="W99" s="65"/>
    </row>
    <row r="100" spans="19:25">
      <c r="T100" s="65"/>
      <c r="U100" s="65"/>
      <c r="V100" s="604"/>
      <c r="W100" s="65"/>
    </row>
    <row r="101" spans="19:25">
      <c r="T101" s="65"/>
      <c r="U101" s="65"/>
      <c r="V101" s="604"/>
      <c r="W101" s="65"/>
    </row>
    <row r="102" spans="19:25">
      <c r="T102" s="65"/>
      <c r="U102" s="65"/>
      <c r="V102" s="604"/>
      <c r="W102" s="65"/>
    </row>
    <row r="103" spans="19:25">
      <c r="T103" s="65"/>
      <c r="U103" s="65"/>
      <c r="V103" s="604"/>
      <c r="W103" s="65"/>
    </row>
    <row r="104" spans="19:25">
      <c r="T104" s="65"/>
      <c r="U104" s="65"/>
      <c r="V104" s="604"/>
      <c r="W104" s="65"/>
    </row>
    <row r="105" spans="19:25">
      <c r="T105" s="65"/>
      <c r="U105" s="65"/>
      <c r="V105" s="604"/>
      <c r="W105" s="65"/>
    </row>
    <row r="106" spans="19:25">
      <c r="T106" s="65"/>
      <c r="U106" s="65"/>
      <c r="V106" s="604"/>
      <c r="W106" s="65"/>
    </row>
    <row r="107" spans="19:25">
      <c r="T107" s="65"/>
      <c r="U107" s="65"/>
      <c r="V107" s="604"/>
      <c r="W107" s="65"/>
    </row>
    <row r="108" spans="19:25">
      <c r="T108" s="65"/>
      <c r="U108" s="65"/>
      <c r="V108" s="604"/>
      <c r="W108" s="65"/>
    </row>
    <row r="109" spans="19:25">
      <c r="T109" s="65"/>
      <c r="U109" s="65"/>
      <c r="V109" s="604"/>
      <c r="W109" s="65"/>
    </row>
    <row r="110" spans="19:25">
      <c r="T110" s="65"/>
      <c r="U110" s="65"/>
      <c r="V110" s="604"/>
      <c r="W110" s="65"/>
    </row>
    <row r="111" spans="19:25">
      <c r="T111" s="65"/>
      <c r="U111" s="65"/>
      <c r="V111" s="604"/>
      <c r="W111" s="65"/>
    </row>
    <row r="112" spans="19:25">
      <c r="T112" s="65"/>
      <c r="U112" s="65"/>
      <c r="V112" s="604"/>
      <c r="W112" s="65"/>
    </row>
    <row r="113" spans="20:23">
      <c r="T113" s="65"/>
      <c r="U113" s="65"/>
      <c r="V113" s="604"/>
      <c r="W113" s="65"/>
    </row>
    <row r="114" spans="20:23">
      <c r="T114" s="65"/>
      <c r="U114" s="65"/>
      <c r="V114" s="604"/>
      <c r="W114" s="65"/>
    </row>
    <row r="115" spans="20:23">
      <c r="T115" s="65"/>
      <c r="U115" s="65"/>
      <c r="V115" s="65"/>
      <c r="W115" s="65"/>
    </row>
    <row r="116" spans="20:23">
      <c r="T116" s="65"/>
      <c r="U116" s="65"/>
      <c r="V116" s="65"/>
      <c r="W116" s="65"/>
    </row>
  </sheetData>
  <sheetProtection algorithmName="SHA-512" hashValue="syViqhGqetAChVUnNLgvuxwg9WhRH7ce/LZyklFodKCMFsN3ylqp2Abb8SEoQeB/sqoUlBg2OpMPOAVLjshWhw==" saltValue="Io9Xn5dBIGlSqX7qmb1yzw==" spinCount="100000" sheet="1" objects="1" scenarios="1" selectLockedCells="1" selectUnlockedCells="1"/>
  <mergeCells count="5">
    <mergeCell ref="Z2:AD2"/>
    <mergeCell ref="A3:D3"/>
    <mergeCell ref="E3:I3"/>
    <mergeCell ref="J3:N3"/>
    <mergeCell ref="E38:I38"/>
  </mergeCells>
  <pageMargins left="0.7" right="0.7" top="0.75" bottom="0.75" header="0.3" footer="0.3"/>
  <pageSetup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CK100"/>
  <sheetViews>
    <sheetView topLeftCell="A22" zoomScale="70" zoomScaleNormal="70" workbookViewId="0">
      <selection activeCell="E55" sqref="E55"/>
    </sheetView>
  </sheetViews>
  <sheetFormatPr defaultRowHeight="14.25"/>
  <cols>
    <col min="1" max="1" width="25.73046875" bestFit="1" customWidth="1"/>
    <col min="2" max="2" width="18.86328125" bestFit="1" customWidth="1"/>
    <col min="3" max="3" width="18.86328125" customWidth="1"/>
    <col min="4" max="4" width="18.3984375" bestFit="1" customWidth="1"/>
    <col min="5" max="5" width="16.265625" bestFit="1" customWidth="1"/>
    <col min="6" max="6" width="16.86328125" bestFit="1" customWidth="1"/>
    <col min="7" max="7" width="12.86328125" bestFit="1" customWidth="1"/>
    <col min="8" max="8" width="15.1328125" bestFit="1" customWidth="1"/>
    <col min="9" max="9" width="16.73046875" bestFit="1" customWidth="1"/>
    <col min="10" max="10" width="16.265625" bestFit="1" customWidth="1"/>
    <col min="11" max="11" width="16.86328125" bestFit="1" customWidth="1"/>
    <col min="12" max="12" width="12.86328125" bestFit="1" customWidth="1"/>
    <col min="13" max="13" width="12.1328125" bestFit="1" customWidth="1"/>
    <col min="14" max="14" width="29.73046875" customWidth="1"/>
    <col min="15" max="15" width="18.73046875" bestFit="1" customWidth="1"/>
    <col min="16" max="16" width="15.73046875" customWidth="1"/>
    <col min="17" max="17" width="26.86328125" bestFit="1" customWidth="1"/>
    <col min="18" max="18" width="23.265625" customWidth="1"/>
    <col min="19" max="19" width="14.265625" customWidth="1"/>
    <col min="20" max="22" width="24.1328125" customWidth="1"/>
    <col min="23" max="23" width="26.1328125" customWidth="1"/>
    <col min="24" max="25" width="24.1328125" customWidth="1"/>
    <col min="26" max="26" width="23.73046875" customWidth="1"/>
    <col min="27" max="27" width="18.86328125" customWidth="1"/>
    <col min="28" max="29" width="21.1328125" customWidth="1"/>
    <col min="30" max="30" width="22.265625" customWidth="1"/>
    <col min="31" max="31" width="16.86328125" customWidth="1"/>
    <col min="32" max="89" width="9" style="449"/>
  </cols>
  <sheetData>
    <row r="1" spans="1:31">
      <c r="A1" t="s">
        <v>16</v>
      </c>
    </row>
    <row r="2" spans="1:31" ht="14.65" thickBot="1">
      <c r="T2" s="149"/>
      <c r="U2" s="149"/>
      <c r="V2" s="149"/>
      <c r="W2" s="149"/>
      <c r="X2" s="149"/>
      <c r="Y2" s="149"/>
      <c r="Z2" s="824" t="s">
        <v>322</v>
      </c>
      <c r="AA2" s="824"/>
      <c r="AB2" s="824"/>
      <c r="AC2" s="824"/>
      <c r="AD2" s="824"/>
    </row>
    <row r="3" spans="1:31" ht="14.65" thickBot="1">
      <c r="A3" s="825" t="str">
        <f>Inputs!A12</f>
        <v>Project Tables (Update Monthly from Dashboard)</v>
      </c>
      <c r="B3" s="826"/>
      <c r="C3" s="826"/>
      <c r="D3" s="827"/>
      <c r="E3" s="828" t="str">
        <f>Inputs!D12</f>
        <v>Previous Month</v>
      </c>
      <c r="F3" s="829"/>
      <c r="G3" s="829"/>
      <c r="H3" s="830"/>
      <c r="I3" s="831"/>
      <c r="J3" s="832" t="str">
        <f>Inputs!I12</f>
        <v>3-Month Rolling Average</v>
      </c>
      <c r="K3" s="829"/>
      <c r="L3" s="829"/>
      <c r="M3" s="829"/>
      <c r="N3" s="830"/>
      <c r="O3" s="583" t="str">
        <f>Inputs!N12</f>
        <v>Project Cost to Date</v>
      </c>
      <c r="P3" s="583" t="str">
        <f>Inputs!O12</f>
        <v>Number of current analysts</v>
      </c>
      <c r="Q3" s="583" t="str">
        <f>Inputs!P12</f>
        <v>Current Level of Enablement</v>
      </c>
      <c r="R3" s="583" t="str">
        <f>Inputs!Q12</f>
        <v>MoM Growth Rate in Costs</v>
      </c>
      <c r="S3" s="583" t="str">
        <f>Inputs!R12</f>
        <v xml:space="preserve">Annual Cost </v>
      </c>
      <c r="T3" t="s">
        <v>317</v>
      </c>
      <c r="U3" t="s">
        <v>327</v>
      </c>
      <c r="V3" t="s">
        <v>310</v>
      </c>
      <c r="W3" t="s">
        <v>329</v>
      </c>
      <c r="X3" t="s">
        <v>17</v>
      </c>
      <c r="Y3" t="s">
        <v>333</v>
      </c>
      <c r="Z3" t="s">
        <v>318</v>
      </c>
      <c r="AA3" t="s">
        <v>320</v>
      </c>
      <c r="AB3" t="s">
        <v>319</v>
      </c>
      <c r="AC3" t="s">
        <v>609</v>
      </c>
      <c r="AD3" t="s">
        <v>321</v>
      </c>
      <c r="AE3" t="s">
        <v>40</v>
      </c>
    </row>
    <row r="4" spans="1:31">
      <c r="A4" s="44" t="str">
        <f>Inputs!A13</f>
        <v>Project List</v>
      </c>
      <c r="B4" s="44" t="str">
        <f>Inputs!B13</f>
        <v>Remaining Duration</v>
      </c>
      <c r="C4" s="44" t="s">
        <v>328</v>
      </c>
      <c r="D4" s="44" t="str">
        <f>Inputs!C13</f>
        <v>Current Phase</v>
      </c>
      <c r="E4" s="44" t="str">
        <f>Inputs!D13</f>
        <v>Enablement Cost</v>
      </c>
      <c r="F4" s="44" t="str">
        <f>Inputs!E13</f>
        <v>Data Related Cost</v>
      </c>
      <c r="G4" s="44" t="str">
        <f>Inputs!F13</f>
        <v>Analysts Cost</v>
      </c>
      <c r="H4" s="44" t="str">
        <f>Inputs!G13</f>
        <v>Overhead Costs</v>
      </c>
      <c r="I4" s="44" t="str">
        <f>Inputs!H13</f>
        <v>Platform Services</v>
      </c>
      <c r="J4" s="44" t="str">
        <f>Inputs!I13</f>
        <v>Enablement Cost</v>
      </c>
      <c r="K4" s="44" t="str">
        <f>Inputs!J13</f>
        <v>Data Related Cost</v>
      </c>
      <c r="L4" s="44" t="str">
        <f>Inputs!K13</f>
        <v>Analysts Cost</v>
      </c>
      <c r="M4" s="44" t="str">
        <f>Inputs!L13</f>
        <v>Overhead</v>
      </c>
      <c r="N4" s="44" t="str">
        <f>Inputs!M13</f>
        <v>Plaftorm Services</v>
      </c>
      <c r="O4" s="44"/>
      <c r="P4" s="44"/>
      <c r="Q4" s="44"/>
      <c r="R4" s="44"/>
      <c r="S4" s="44"/>
      <c r="T4" s="584"/>
      <c r="U4" s="584"/>
      <c r="V4" s="584"/>
      <c r="W4" s="584"/>
      <c r="X4" s="584"/>
      <c r="Y4" s="584"/>
      <c r="Z4" s="584"/>
      <c r="AA4" s="584"/>
      <c r="AB4" s="584"/>
      <c r="AC4" s="584"/>
      <c r="AD4" s="584"/>
      <c r="AE4" s="585"/>
    </row>
    <row r="5" spans="1:31">
      <c r="A5" s="15" t="str">
        <f>Inputs!A14</f>
        <v>CVP-NYC</v>
      </c>
      <c r="B5" s="15">
        <f>Inputs!B14</f>
        <v>12</v>
      </c>
      <c r="C5" s="15" t="s">
        <v>31</v>
      </c>
      <c r="D5" s="15" t="s">
        <v>83</v>
      </c>
      <c r="E5" s="136">
        <f>'Sys Admin Calculation Y2'!E5</f>
        <v>0</v>
      </c>
      <c r="F5" s="136">
        <f>'Sys Admin Calculation Y2'!F5*(1+('Sys Admin'!$U$21/100))</f>
        <v>0</v>
      </c>
      <c r="G5" s="136">
        <f>'Sys Admin Calculation Y2'!G5*(1+('Sys Admin'!$U$21/100))</f>
        <v>0</v>
      </c>
      <c r="H5" s="136">
        <f>'Sys Admin Calculation Y2'!H5</f>
        <v>1348.2025000000001</v>
      </c>
      <c r="I5" s="136">
        <f>'Sys Admin Calculation Y2'!I5</f>
        <v>169.03936250000001</v>
      </c>
      <c r="J5" s="136">
        <f>Inputs!I14</f>
        <v>0</v>
      </c>
      <c r="K5" s="136">
        <f>Inputs!J14</f>
        <v>0</v>
      </c>
      <c r="L5" s="136">
        <f>Inputs!K14</f>
        <v>0</v>
      </c>
      <c r="M5" s="136">
        <f>Inputs!L14</f>
        <v>1348.2025000000001</v>
      </c>
      <c r="N5" s="136">
        <f>Inputs!M14</f>
        <v>169.03936250000001</v>
      </c>
      <c r="O5" s="136">
        <f>Inputs!N14</f>
        <v>20000</v>
      </c>
      <c r="P5" s="136">
        <f>Inputs!O14</f>
        <v>5</v>
      </c>
      <c r="Q5" s="136" t="str">
        <f>Inputs!P14</f>
        <v>None</v>
      </c>
      <c r="R5" s="136">
        <f>Inputs!Q14</f>
        <v>0</v>
      </c>
      <c r="S5" s="136">
        <f>Inputs!R14</f>
        <v>18206.90235</v>
      </c>
      <c r="T5" s="563" t="str">
        <f>'Sys Admin'!S24</f>
        <v>None</v>
      </c>
      <c r="U5" s="563" t="str">
        <f>'Sys Admin'!U24</f>
        <v>Active</v>
      </c>
      <c r="V5" s="563">
        <f>'Sys Admin'!W24</f>
        <v>0</v>
      </c>
      <c r="W5" s="576">
        <f>IF(AND(V68=1,'Sys Admin Calculation'!X54=0, 'Sys Admin Calculation Y2'!V66=0), VLOOKUP(U5&amp;T5,$N$48:$Q$65,4,FALSE), VLOOKUP(U5&amp;T5,$N$66:$Q$70,4,FALSE))</f>
        <v>0</v>
      </c>
      <c r="X5" s="563">
        <f>IF(U5="Prospective",0,IF(U5="Onboarding",2,IF(U5="Planning/Discovery",2,(12-V5))))</f>
        <v>12</v>
      </c>
      <c r="Y5" s="563">
        <f>IF(AND(V68=1,'Sys Admin Calculation'!X54=0, 'Sys Admin Calculation Y2'!V66=0),  VLOOKUP(T5,$P$71:$Q$74,2,FALSE), IF(AND(V68=1, OR('Sys Admin Calculation'!X54=1, 'Sys Admin Calculation Y2'!V66=1)), 0,IF(U5&lt;&gt;"Active", 0, W5*X5)))</f>
        <v>0</v>
      </c>
      <c r="Z5" s="50">
        <f>(IF(U5=D5,F5,IF(U5="Prospective",0,IF(U5="Planning/Discovery",0,IF(U5="Onboarding",0,IF(U5="Export/Retirement",0,VLOOKUP(U5&amp;C5,$V$46:$X$48,3,FALSE)))))))*(12-V5)</f>
        <v>24676.080000000002</v>
      </c>
      <c r="AA5" s="50">
        <f>(IF(U5=D5,F5,IF(U5="Prospective",0,IF(U5="Planning/Discovery",0,IF(U5="Onboarding",0,IF(U5="Export/Retirement",0,VLOOKUP(U5&amp;C5,$V$46:$Y$48,4,FALSE)))))))*(12-V5)</f>
        <v>4509.12</v>
      </c>
      <c r="AB5" s="50">
        <f>IF(U5="Planning/Discovery",$L$49*2,IF(U5="Onboarding",$L$50*2,IF(U5="Active",$L$51*(12-V5),IF(U5="Export/Retirement",$L$52*1, 0))))</f>
        <v>82315.851839999988</v>
      </c>
      <c r="AC5" s="490">
        <f>Y68</f>
        <v>26000</v>
      </c>
      <c r="AD5" s="50">
        <f t="shared" ref="AD5:AD21" si="0">IF(U5="Planning/Discovery",$L$56*2,IF(U5="Onboarding",$L$57*2,IF(U5="Active",$L$58*(12-V5),IF(U5="Export/Retirement",$L$59*2, 0))))</f>
        <v>16876.889952000005</v>
      </c>
      <c r="AE5" s="564">
        <f>SUM(Y5,Z5,AA5,AB5,AC5,AD5)</f>
        <v>154377.94179199997</v>
      </c>
    </row>
    <row r="6" spans="1:31">
      <c r="A6" s="15" t="str">
        <f>Inputs!A15</f>
        <v>CVP-THEA</v>
      </c>
      <c r="B6" s="15">
        <f>Inputs!B15</f>
        <v>12</v>
      </c>
      <c r="C6" s="15" t="s">
        <v>32</v>
      </c>
      <c r="D6" s="15" t="str">
        <f>Inputs!C15</f>
        <v>Active</v>
      </c>
      <c r="E6" s="136">
        <f>'Sys Admin Calculation Y2'!E6</f>
        <v>0</v>
      </c>
      <c r="F6" s="136">
        <f>'Sys Admin Calculation Y2'!F6*(1+('Sys Admin'!$U$21/100))</f>
        <v>25.361600000000006</v>
      </c>
      <c r="G6" s="136">
        <f>'Sys Admin Calculation Y2'!G6*(1+('Sys Admin'!$U$21/100))</f>
        <v>0</v>
      </c>
      <c r="H6" s="136">
        <f>'Sys Admin Calculation Y2'!H6</f>
        <v>7190.413333333333</v>
      </c>
      <c r="I6" s="136">
        <f>'Sys Admin Calculation Y2'!I6</f>
        <v>1202.0576888888891</v>
      </c>
      <c r="J6" s="136">
        <f>Inputs!I15</f>
        <v>0</v>
      </c>
      <c r="K6" s="136">
        <f>Inputs!J15</f>
        <v>477.21333333333337</v>
      </c>
      <c r="L6" s="136">
        <f>Inputs!K15</f>
        <v>0</v>
      </c>
      <c r="M6" s="136">
        <f>Inputs!L15</f>
        <v>7190.413333333333</v>
      </c>
      <c r="N6" s="136">
        <f>Inputs!M15</f>
        <v>1202.0576888888891</v>
      </c>
      <c r="O6" s="136">
        <f>Inputs!N15</f>
        <v>0</v>
      </c>
      <c r="P6" s="136">
        <f>Inputs!O15</f>
        <v>5</v>
      </c>
      <c r="Q6" s="136" t="str">
        <f>Inputs!P15</f>
        <v>None</v>
      </c>
      <c r="R6" s="136">
        <f>Inputs!Q15</f>
        <v>0.04</v>
      </c>
      <c r="S6" s="136">
        <f>Inputs!R15</f>
        <v>100961.17226666668</v>
      </c>
      <c r="T6" s="563" t="str">
        <f>'Sys Admin'!S25</f>
        <v>None</v>
      </c>
      <c r="U6" s="563" t="str">
        <f>'Sys Admin'!U25</f>
        <v>Active</v>
      </c>
      <c r="V6" s="563">
        <f>'Sys Admin'!W25</f>
        <v>0</v>
      </c>
      <c r="W6" s="576">
        <f>IF(AND(V69=1,'Sys Admin Calculation'!X55=0, 'Sys Admin Calculation Y2'!V67=0), VLOOKUP(U6&amp;T6,$N$48:$Q$65,4,FALSE), VLOOKUP(U6&amp;T6,$N$66:$Q$70,4,FALSE))</f>
        <v>0</v>
      </c>
      <c r="X6" s="563">
        <f t="shared" ref="X6:X36" si="1">IF(U6="Prospective",0,IF(U6="Onboarding",2,IF(U6="Planning/Discovery",2,(12-V6))))</f>
        <v>12</v>
      </c>
      <c r="Y6" s="563">
        <f>IF(AND(V69=1,'Sys Admin Calculation'!X55=0, 'Sys Admin Calculation Y2'!V67=0),  VLOOKUP(T6,$P$71:$Q$74,2,FALSE), IF(AND(V69=1, OR('Sys Admin Calculation'!X55=1, 'Sys Admin Calculation Y2'!V67=1)), 0,IF(U6&lt;&gt;"Active", 0, W6*X6)))</f>
        <v>0</v>
      </c>
      <c r="Z6" s="50">
        <f t="shared" ref="Z6:Z21" si="2">(IF(U6=D6,F6,IF(U6="Prospective",0,IF(U6="Planning/Discovery",0,IF(U6="Onboarding",0,IF(U6="Export/Retirement",0,VLOOKUP(U6&amp;C6,$V$46:$X$48,3,FALSE)))))))*(12-V6)</f>
        <v>304.33920000000006</v>
      </c>
      <c r="AA6" s="50">
        <f t="shared" ref="AA6:AA21" si="3">(IF(U6=D6,F6,IF(U6="Prospective",0,IF(U6="Planning/Discovery",0,IF(U6="Onboarding",0,IF(U6="Export/Retirement",0,VLOOKUP(U6&amp;C6,$V$46:$Y$48,4,FALSE)))))))*(12-V6)</f>
        <v>304.33920000000006</v>
      </c>
      <c r="AB6" s="50">
        <f t="shared" ref="AB6:AB21" si="4">IF(U6="Planning/Discovery",$L$49*2,IF(U6="Onboarding",$L$50*2,IF(U6="Active",$L$51*(12-V6),IF(U6="Export/Retirement",$L$52*1, 0))))</f>
        <v>82315.851839999988</v>
      </c>
      <c r="AC6" s="490">
        <f t="shared" ref="AC6:AC36" si="5">Y69</f>
        <v>26000</v>
      </c>
      <c r="AD6" s="50">
        <f t="shared" si="0"/>
        <v>16876.889952000005</v>
      </c>
      <c r="AE6" s="564">
        <f t="shared" ref="AE6:AE36" si="6">SUM(Y6,Z6,AA6,AB6,AC6,AD6)</f>
        <v>125801.42019199999</v>
      </c>
    </row>
    <row r="7" spans="1:31">
      <c r="A7" s="15" t="str">
        <f>Inputs!A16</f>
        <v>CVP-WYDOT</v>
      </c>
      <c r="B7" s="15">
        <f>Inputs!B16</f>
        <v>12</v>
      </c>
      <c r="C7" s="15" t="s">
        <v>31</v>
      </c>
      <c r="D7" s="15" t="str">
        <f>Inputs!C16</f>
        <v>Active</v>
      </c>
      <c r="E7" s="136">
        <f>'Sys Admin Calculation Y2'!E7</f>
        <v>0</v>
      </c>
      <c r="F7" s="136">
        <f>'Sys Admin Calculation Y2'!F7*(1+('Sys Admin'!$U$21/100))</f>
        <v>75.056300000000007</v>
      </c>
      <c r="G7" s="136">
        <f>'Sys Admin Calculation Y2'!G7*(1+('Sys Admin'!$U$21/100))</f>
        <v>0</v>
      </c>
      <c r="H7" s="136">
        <f>'Sys Admin Calculation Y2'!H7</f>
        <v>7190.413333333333</v>
      </c>
      <c r="I7" s="136">
        <f>'Sys Admin Calculation Y2'!I7</f>
        <v>1202.0576888888891</v>
      </c>
      <c r="J7" s="136">
        <f>Inputs!I16</f>
        <v>0</v>
      </c>
      <c r="K7" s="136">
        <f>Inputs!J16</f>
        <v>49.360000000000007</v>
      </c>
      <c r="L7" s="136">
        <f>Inputs!K16</f>
        <v>0</v>
      </c>
      <c r="M7" s="136">
        <f>Inputs!L16</f>
        <v>7190.413333333333</v>
      </c>
      <c r="N7" s="136">
        <f>Inputs!M16</f>
        <v>1202.0576888888891</v>
      </c>
      <c r="O7" s="136">
        <f>Inputs!N16</f>
        <v>0</v>
      </c>
      <c r="P7" s="136">
        <f>Inputs!O16</f>
        <v>8</v>
      </c>
      <c r="Q7" s="136" t="str">
        <f>Inputs!P16</f>
        <v>None</v>
      </c>
      <c r="R7" s="136">
        <f>Inputs!Q16</f>
        <v>0.04</v>
      </c>
      <c r="S7" s="136">
        <f>Inputs!R16</f>
        <v>101454.01226666667</v>
      </c>
      <c r="T7" s="563" t="str">
        <f>'Sys Admin'!S26</f>
        <v>None</v>
      </c>
      <c r="U7" s="563" t="str">
        <f>'Sys Admin'!U26</f>
        <v>Active</v>
      </c>
      <c r="V7" s="563">
        <f>'Sys Admin'!W26</f>
        <v>0</v>
      </c>
      <c r="W7" s="576">
        <f>IF(AND(V70=1,'Sys Admin Calculation'!X56=0, 'Sys Admin Calculation Y2'!V68=0), VLOOKUP(U7&amp;T7,$N$48:$Q$65,4,FALSE), VLOOKUP(U7&amp;T7,$N$66:$Q$70,4,FALSE))</f>
        <v>0</v>
      </c>
      <c r="X7" s="563">
        <f t="shared" si="1"/>
        <v>12</v>
      </c>
      <c r="Y7" s="563">
        <f>IF(AND(V70=1,'Sys Admin Calculation'!X56=0, 'Sys Admin Calculation Y2'!V68=0),  VLOOKUP(T7,$P$71:$Q$74,2,FALSE), IF(AND(V70=1, OR('Sys Admin Calculation'!X56=1, 'Sys Admin Calculation Y2'!V68=1)), 0,IF(U7&lt;&gt;"Active", 0, W7*X7)))</f>
        <v>0</v>
      </c>
      <c r="Z7" s="50">
        <f t="shared" si="2"/>
        <v>900.67560000000003</v>
      </c>
      <c r="AA7" s="50">
        <f t="shared" si="3"/>
        <v>900.67560000000003</v>
      </c>
      <c r="AB7" s="50">
        <f t="shared" si="4"/>
        <v>82315.851839999988</v>
      </c>
      <c r="AC7" s="490">
        <f t="shared" si="5"/>
        <v>26000</v>
      </c>
      <c r="AD7" s="50">
        <f t="shared" si="0"/>
        <v>16876.889952000005</v>
      </c>
      <c r="AE7" s="564">
        <f t="shared" si="6"/>
        <v>126994.09299199999</v>
      </c>
    </row>
    <row r="8" spans="1:31">
      <c r="A8" s="15" t="str">
        <f>Inputs!A17</f>
        <v>CVP-Volpe-IE</v>
      </c>
      <c r="B8" s="15">
        <f>Inputs!B17</f>
        <v>12</v>
      </c>
      <c r="C8" s="15" t="s">
        <v>31</v>
      </c>
      <c r="D8" s="15" t="str">
        <f>Inputs!C17</f>
        <v>Active</v>
      </c>
      <c r="E8" s="136">
        <f>'Sys Admin Calculation Y2'!E8</f>
        <v>0</v>
      </c>
      <c r="F8" s="136">
        <f>'Sys Admin Calculation Y2'!F8*(1+('Sys Admin'!$U$21/100))</f>
        <v>0</v>
      </c>
      <c r="G8" s="136">
        <f>'Sys Admin Calculation Y2'!G8*(1+('Sys Admin'!$U$21/100))</f>
        <v>179.37040000000005</v>
      </c>
      <c r="H8" s="136">
        <f>'Sys Admin Calculation Y2'!H8</f>
        <v>7190.413333333333</v>
      </c>
      <c r="I8" s="136">
        <f>'Sys Admin Calculation Y2'!I8</f>
        <v>1202.0576888888891</v>
      </c>
      <c r="J8" s="136">
        <f>Inputs!I17</f>
        <v>0</v>
      </c>
      <c r="K8" s="136">
        <f>Inputs!J17</f>
        <v>0</v>
      </c>
      <c r="L8" s="136">
        <f>Inputs!K17</f>
        <v>170.27333333333334</v>
      </c>
      <c r="M8" s="136">
        <f>Inputs!L17</f>
        <v>7190.413333333333</v>
      </c>
      <c r="N8" s="136">
        <f>Inputs!M17</f>
        <v>1202.0576888888891</v>
      </c>
      <c r="O8" s="136">
        <f>Inputs!N17</f>
        <v>0</v>
      </c>
      <c r="P8" s="136">
        <f>Inputs!O17</f>
        <v>5</v>
      </c>
      <c r="Q8" s="136" t="str">
        <f>Inputs!P17</f>
        <v>None</v>
      </c>
      <c r="R8" s="136">
        <f>Inputs!Q17</f>
        <v>0.04</v>
      </c>
      <c r="S8" s="136">
        <f>Inputs!R17</f>
        <v>102488.53226666666</v>
      </c>
      <c r="T8" s="563" t="str">
        <f>'Sys Admin'!S27</f>
        <v>None</v>
      </c>
      <c r="U8" s="563" t="str">
        <f>'Sys Admin'!U27</f>
        <v>Active</v>
      </c>
      <c r="V8" s="563">
        <f>'Sys Admin'!W27</f>
        <v>0</v>
      </c>
      <c r="W8" s="576">
        <f>IF(AND(V71=1,'Sys Admin Calculation'!X57=0, 'Sys Admin Calculation Y2'!V69=0), VLOOKUP(U8&amp;T8,$N$48:$Q$65,4,FALSE), VLOOKUP(U8&amp;T8,$N$66:$Q$70,4,FALSE))</f>
        <v>0</v>
      </c>
      <c r="X8" s="563">
        <f t="shared" si="1"/>
        <v>12</v>
      </c>
      <c r="Y8" s="563">
        <f>IF(AND(V71=1,'Sys Admin Calculation'!X57=0, 'Sys Admin Calculation Y2'!V69=0),  VLOOKUP(T8,$P$71:$Q$74,2,FALSE), IF(AND(V71=1, OR('Sys Admin Calculation'!X57=1, 'Sys Admin Calculation Y2'!V69=1)), 0,IF(U8&lt;&gt;"Active", 0, W8*X8)))</f>
        <v>0</v>
      </c>
      <c r="Z8" s="50">
        <f t="shared" si="2"/>
        <v>0</v>
      </c>
      <c r="AA8" s="50">
        <f t="shared" si="3"/>
        <v>0</v>
      </c>
      <c r="AB8" s="50">
        <f t="shared" si="4"/>
        <v>82315.851839999988</v>
      </c>
      <c r="AC8" s="490">
        <f t="shared" si="5"/>
        <v>26000</v>
      </c>
      <c r="AD8" s="50">
        <f t="shared" si="0"/>
        <v>16876.889952000005</v>
      </c>
      <c r="AE8" s="564">
        <f t="shared" si="6"/>
        <v>125192.74179199999</v>
      </c>
    </row>
    <row r="9" spans="1:31">
      <c r="A9" s="15" t="str">
        <f>Inputs!A18</f>
        <v>CVP-TTI-IE</v>
      </c>
      <c r="B9" s="15">
        <f>Inputs!B18</f>
        <v>12</v>
      </c>
      <c r="C9" s="15" t="s">
        <v>31</v>
      </c>
      <c r="D9" s="15" t="str">
        <f>Inputs!C18</f>
        <v>Active</v>
      </c>
      <c r="E9" s="136">
        <f>'Sys Admin Calculation Y2'!E9</f>
        <v>0</v>
      </c>
      <c r="F9" s="136">
        <f>'Sys Admin Calculation Y2'!F9*(1+('Sys Admin'!$U$21/100))</f>
        <v>0</v>
      </c>
      <c r="G9" s="136">
        <f>'Sys Admin Calculation Y2'!G9*(1+('Sys Admin'!$U$21/100))</f>
        <v>113.29230000000003</v>
      </c>
      <c r="H9" s="136">
        <f>'Sys Admin Calculation Y2'!H9</f>
        <v>7190.413333333333</v>
      </c>
      <c r="I9" s="136">
        <f>'Sys Admin Calculation Y2'!I9</f>
        <v>1202.0576888888891</v>
      </c>
      <c r="J9" s="136">
        <f>Inputs!I18</f>
        <v>0</v>
      </c>
      <c r="K9" s="136">
        <f>Inputs!J18</f>
        <v>0</v>
      </c>
      <c r="L9" s="136">
        <f>Inputs!K18</f>
        <v>95.11</v>
      </c>
      <c r="M9" s="136">
        <f>Inputs!L18</f>
        <v>7190.413333333333</v>
      </c>
      <c r="N9" s="136">
        <f>Inputs!M18</f>
        <v>1202.0576888888891</v>
      </c>
      <c r="O9" s="136">
        <f>Inputs!N18</f>
        <v>0</v>
      </c>
      <c r="P9" s="136">
        <f>Inputs!O18</f>
        <v>10</v>
      </c>
      <c r="Q9" s="136" t="str">
        <f>Inputs!P18</f>
        <v>None</v>
      </c>
      <c r="R9" s="136">
        <f>Inputs!Q18</f>
        <v>0.04</v>
      </c>
      <c r="S9" s="136">
        <f>Inputs!R18</f>
        <v>101833.21226666665</v>
      </c>
      <c r="T9" s="563" t="str">
        <f>'Sys Admin'!S28</f>
        <v>None</v>
      </c>
      <c r="U9" s="563" t="str">
        <f>'Sys Admin'!U28</f>
        <v>Active</v>
      </c>
      <c r="V9" s="563">
        <f>'Sys Admin'!W28</f>
        <v>0</v>
      </c>
      <c r="W9" s="576">
        <f>IF(AND(V72=1,'Sys Admin Calculation'!X58=0, 'Sys Admin Calculation Y2'!V70=0), VLOOKUP(U9&amp;T9,$N$48:$Q$65,4,FALSE), VLOOKUP(U9&amp;T9,$N$66:$Q$70,4,FALSE))</f>
        <v>0</v>
      </c>
      <c r="X9" s="563">
        <f t="shared" si="1"/>
        <v>12</v>
      </c>
      <c r="Y9" s="563">
        <f>IF(AND(V72=1,'Sys Admin Calculation'!X58=0, 'Sys Admin Calculation Y2'!V70=0),  VLOOKUP(T9,$P$71:$Q$74,2,FALSE), IF(AND(V72=1, OR('Sys Admin Calculation'!X58=1, 'Sys Admin Calculation Y2'!V70=1)), 0,IF(U9&lt;&gt;"Active", 0, W9*X9)))</f>
        <v>0</v>
      </c>
      <c r="Z9" s="50">
        <f t="shared" si="2"/>
        <v>0</v>
      </c>
      <c r="AA9" s="50">
        <f t="shared" si="3"/>
        <v>0</v>
      </c>
      <c r="AB9" s="50">
        <f t="shared" si="4"/>
        <v>82315.851839999988</v>
      </c>
      <c r="AC9" s="490">
        <f t="shared" si="5"/>
        <v>26000</v>
      </c>
      <c r="AD9" s="50">
        <f t="shared" si="0"/>
        <v>16876.889952000005</v>
      </c>
      <c r="AE9" s="564">
        <f t="shared" si="6"/>
        <v>125192.74179199999</v>
      </c>
    </row>
    <row r="10" spans="1:31">
      <c r="A10" s="15" t="str">
        <f>Inputs!A19</f>
        <v>CARMA3-FMCSA</v>
      </c>
      <c r="B10" s="15">
        <f>Inputs!B19</f>
        <v>12</v>
      </c>
      <c r="C10" s="15" t="s">
        <v>32</v>
      </c>
      <c r="D10" s="15" t="str">
        <f>Inputs!C19</f>
        <v>Planning/Discovery</v>
      </c>
      <c r="E10" s="136">
        <f>'Sys Admin Calculation Y2'!E10</f>
        <v>0</v>
      </c>
      <c r="F10" s="136">
        <f>'Sys Admin Calculation Y2'!F10*(1+('Sys Admin'!$U$21/100))</f>
        <v>0</v>
      </c>
      <c r="G10" s="136">
        <f>'Sys Admin Calculation Y2'!G10*(1+('Sys Admin'!$U$21/100))</f>
        <v>0</v>
      </c>
      <c r="H10" s="136">
        <f>'Sys Admin Calculation Y2'!H10</f>
        <v>1348.2025000000001</v>
      </c>
      <c r="I10" s="136">
        <f>'Sys Admin Calculation Y2'!I10</f>
        <v>169.03936250000001</v>
      </c>
      <c r="J10" s="136">
        <f>Inputs!I19</f>
        <v>0</v>
      </c>
      <c r="K10" s="136">
        <f>Inputs!J19</f>
        <v>0</v>
      </c>
      <c r="L10" s="136">
        <f>Inputs!K19</f>
        <v>0</v>
      </c>
      <c r="M10" s="136">
        <f>Inputs!L19</f>
        <v>0</v>
      </c>
      <c r="N10" s="136">
        <f>Inputs!M19</f>
        <v>0</v>
      </c>
      <c r="O10" s="136">
        <f>Inputs!N19</f>
        <v>0</v>
      </c>
      <c r="P10" s="136">
        <f>Inputs!O19</f>
        <v>0</v>
      </c>
      <c r="Q10" s="136" t="str">
        <f>Inputs!P19</f>
        <v>None</v>
      </c>
      <c r="R10" s="136">
        <f>Inputs!Q19</f>
        <v>0</v>
      </c>
      <c r="S10" s="136">
        <f>Inputs!R19</f>
        <v>18206.90235</v>
      </c>
      <c r="T10" s="563" t="str">
        <f>'Sys Admin'!S29</f>
        <v>None</v>
      </c>
      <c r="U10" s="563" t="str">
        <f>'Sys Admin'!U29</f>
        <v>Prospective</v>
      </c>
      <c r="V10" s="563">
        <f>'Sys Admin'!W29</f>
        <v>0</v>
      </c>
      <c r="W10" s="576">
        <f>IF(AND(V73=1,'Sys Admin Calculation'!X59=0, 'Sys Admin Calculation Y2'!V71=0), VLOOKUP(U10&amp;T10,$N$48:$Q$65,4,FALSE), VLOOKUP(U10&amp;T10,$N$66:$Q$70,4,FALSE))</f>
        <v>0</v>
      </c>
      <c r="X10" s="563">
        <f t="shared" si="1"/>
        <v>0</v>
      </c>
      <c r="Y10" s="563">
        <f>IF(AND(V73=1,'Sys Admin Calculation'!X59=0, 'Sys Admin Calculation Y2'!V71=0),  VLOOKUP(T10,$P$71:$Q$74,2,FALSE), IF(AND(V73=1, OR('Sys Admin Calculation'!X59=1, 'Sys Admin Calculation Y2'!V71=1)), 0,IF(U10&lt;&gt;"Active", 0, W10*X10)))</f>
        <v>0</v>
      </c>
      <c r="Z10" s="50">
        <f t="shared" si="2"/>
        <v>0</v>
      </c>
      <c r="AA10" s="50">
        <f t="shared" si="3"/>
        <v>0</v>
      </c>
      <c r="AB10" s="50">
        <f t="shared" si="4"/>
        <v>0</v>
      </c>
      <c r="AC10" s="490">
        <f t="shared" si="5"/>
        <v>0</v>
      </c>
      <c r="AD10" s="50">
        <f t="shared" si="0"/>
        <v>0</v>
      </c>
      <c r="AE10" s="564">
        <f t="shared" si="6"/>
        <v>0</v>
      </c>
    </row>
    <row r="11" spans="1:31">
      <c r="A11" s="15" t="str">
        <f>Inputs!A20</f>
        <v>CARMA-FHWA</v>
      </c>
      <c r="B11" s="15">
        <f>Inputs!B20</f>
        <v>12</v>
      </c>
      <c r="C11" s="15" t="s">
        <v>32</v>
      </c>
      <c r="D11" s="15" t="str">
        <f>Inputs!C20</f>
        <v>Planning/Discovery</v>
      </c>
      <c r="E11" s="136">
        <f>'Sys Admin Calculation Y2'!E11</f>
        <v>0</v>
      </c>
      <c r="F11" s="136">
        <f>'Sys Admin Calculation Y2'!F11*(1+('Sys Admin'!$U$21/100))</f>
        <v>0</v>
      </c>
      <c r="G11" s="136">
        <f>'Sys Admin Calculation Y2'!G11*(1+('Sys Admin'!$U$21/100))</f>
        <v>0</v>
      </c>
      <c r="H11" s="136">
        <f>'Sys Admin Calculation Y2'!H11</f>
        <v>1348.2025000000001</v>
      </c>
      <c r="I11" s="136">
        <f>'Sys Admin Calculation Y2'!I11</f>
        <v>169.03936250000001</v>
      </c>
      <c r="J11" s="136">
        <f>Inputs!I20</f>
        <v>0</v>
      </c>
      <c r="K11" s="136">
        <f>Inputs!J20</f>
        <v>0</v>
      </c>
      <c r="L11" s="136">
        <f>Inputs!K20</f>
        <v>0</v>
      </c>
      <c r="M11" s="136">
        <f>Inputs!L20</f>
        <v>1348.2025000000001</v>
      </c>
      <c r="N11" s="136">
        <f>Inputs!M20</f>
        <v>169.03936250000001</v>
      </c>
      <c r="O11" s="136">
        <f>Inputs!N20</f>
        <v>0</v>
      </c>
      <c r="P11" s="136">
        <f>Inputs!O20</f>
        <v>0</v>
      </c>
      <c r="Q11" s="136" t="str">
        <f>Inputs!P20</f>
        <v>None</v>
      </c>
      <c r="R11" s="136">
        <f>Inputs!Q20</f>
        <v>0</v>
      </c>
      <c r="S11" s="136">
        <f>Inputs!R20</f>
        <v>18206.90235</v>
      </c>
      <c r="T11" s="563" t="str">
        <f>'Sys Admin'!S30</f>
        <v>None</v>
      </c>
      <c r="U11" s="563" t="str">
        <f>'Sys Admin'!U30</f>
        <v>Prospective</v>
      </c>
      <c r="V11" s="563">
        <f>'Sys Admin'!W30</f>
        <v>0</v>
      </c>
      <c r="W11" s="576">
        <f>IF(AND(V74=1,'Sys Admin Calculation'!X60=0, 'Sys Admin Calculation Y2'!V72=0), VLOOKUP(U11&amp;T11,$N$48:$Q$65,4,FALSE), VLOOKUP(U11&amp;T11,$N$66:$Q$70,4,FALSE))</f>
        <v>0</v>
      </c>
      <c r="X11" s="563">
        <f t="shared" si="1"/>
        <v>0</v>
      </c>
      <c r="Y11" s="563">
        <f>IF(AND(V74=1,'Sys Admin Calculation'!X60=0, 'Sys Admin Calculation Y2'!V72=0),  VLOOKUP(T11,$P$71:$Q$74,2,FALSE), IF(AND(V74=1, OR('Sys Admin Calculation'!X60=1, 'Sys Admin Calculation Y2'!V72=1)), 0,IF(U11&lt;&gt;"Active", 0, W11*X11)))</f>
        <v>0</v>
      </c>
      <c r="Z11" s="50">
        <f t="shared" si="2"/>
        <v>0</v>
      </c>
      <c r="AA11" s="50">
        <f t="shared" si="3"/>
        <v>0</v>
      </c>
      <c r="AB11" s="50">
        <f t="shared" si="4"/>
        <v>0</v>
      </c>
      <c r="AC11" s="490">
        <f t="shared" si="5"/>
        <v>0</v>
      </c>
      <c r="AD11" s="50">
        <f t="shared" si="0"/>
        <v>0</v>
      </c>
      <c r="AE11" s="564">
        <f t="shared" si="6"/>
        <v>0</v>
      </c>
    </row>
    <row r="12" spans="1:31">
      <c r="A12" s="15" t="str">
        <f>Inputs!A21</f>
        <v>FMI-ATRI</v>
      </c>
      <c r="B12" s="15">
        <f>Inputs!B21</f>
        <v>12</v>
      </c>
      <c r="C12" s="15" t="s">
        <v>31</v>
      </c>
      <c r="D12" s="15" t="str">
        <f>Inputs!C21</f>
        <v>Active</v>
      </c>
      <c r="E12" s="136">
        <f>'Sys Admin Calculation Y2'!E12</f>
        <v>0</v>
      </c>
      <c r="F12" s="136">
        <f>'Sys Admin Calculation Y2'!F12*(1+('Sys Admin'!$U$21/100))</f>
        <v>158.93350000000004</v>
      </c>
      <c r="G12" s="136">
        <f>'Sys Admin Calculation Y2'!G12*(1+('Sys Admin'!$U$21/100))</f>
        <v>0</v>
      </c>
      <c r="H12" s="136">
        <f>'Sys Admin Calculation Y2'!H12</f>
        <v>7190.413333333333</v>
      </c>
      <c r="I12" s="136">
        <f>'Sys Admin Calculation Y2'!I12</f>
        <v>1202.0576888888891</v>
      </c>
      <c r="J12" s="136">
        <f>Inputs!I21</f>
        <v>0</v>
      </c>
      <c r="K12" s="136">
        <f>Inputs!J21</f>
        <v>187.05333333333331</v>
      </c>
      <c r="L12" s="136">
        <f>Inputs!K21</f>
        <v>0</v>
      </c>
      <c r="M12" s="136">
        <f>Inputs!L21</f>
        <v>7190.413333333333</v>
      </c>
      <c r="N12" s="136">
        <f>Inputs!M21</f>
        <v>1202.0576888888891</v>
      </c>
      <c r="O12" s="136">
        <f>Inputs!N21</f>
        <v>0</v>
      </c>
      <c r="P12" s="136">
        <f>Inputs!O21</f>
        <v>5</v>
      </c>
      <c r="Q12" s="136" t="str">
        <f>Inputs!P21</f>
        <v>None</v>
      </c>
      <c r="R12" s="136">
        <f>Inputs!Q21</f>
        <v>0.04</v>
      </c>
      <c r="S12" s="136">
        <f>Inputs!R21</f>
        <v>102285.85226666667</v>
      </c>
      <c r="T12" s="563" t="str">
        <f>'Sys Admin'!S31</f>
        <v>None</v>
      </c>
      <c r="U12" s="563" t="str">
        <f>'Sys Admin'!U31</f>
        <v>Active</v>
      </c>
      <c r="V12" s="563">
        <f>'Sys Admin'!W31</f>
        <v>0</v>
      </c>
      <c r="W12" s="576">
        <f>IF(AND(V75=1,'Sys Admin Calculation'!X61=0, 'Sys Admin Calculation Y2'!V73=0), VLOOKUP(U12&amp;T12,$N$48:$Q$65,4,FALSE), VLOOKUP(U12&amp;T12,$N$66:$Q$70,4,FALSE))</f>
        <v>0</v>
      </c>
      <c r="X12" s="563">
        <f t="shared" si="1"/>
        <v>12</v>
      </c>
      <c r="Y12" s="563">
        <f>IF(AND(V75=1,'Sys Admin Calculation'!X61=0, 'Sys Admin Calculation Y2'!V73=0),  VLOOKUP(T12,$P$71:$Q$74,2,FALSE), IF(AND(V75=1, OR('Sys Admin Calculation'!X61=1, 'Sys Admin Calculation Y2'!V73=1)), 0,IF(U12&lt;&gt;"Active", 0, W12*X12)))</f>
        <v>0</v>
      </c>
      <c r="Z12" s="50">
        <f t="shared" si="2"/>
        <v>1907.2020000000005</v>
      </c>
      <c r="AA12" s="50">
        <f t="shared" si="3"/>
        <v>1907.2020000000005</v>
      </c>
      <c r="AB12" s="50">
        <f t="shared" si="4"/>
        <v>82315.851839999988</v>
      </c>
      <c r="AC12" s="490">
        <f t="shared" si="5"/>
        <v>26000</v>
      </c>
      <c r="AD12" s="50">
        <f t="shared" si="0"/>
        <v>16876.889952000005</v>
      </c>
      <c r="AE12" s="564">
        <f t="shared" si="6"/>
        <v>129007.145792</v>
      </c>
    </row>
    <row r="13" spans="1:31">
      <c r="A13" s="15" t="str">
        <f>Inputs!A22</f>
        <v>FMI-BTS</v>
      </c>
      <c r="B13" s="15">
        <f>Inputs!B22</f>
        <v>12</v>
      </c>
      <c r="C13" s="15" t="s">
        <v>31</v>
      </c>
      <c r="D13" s="15" t="str">
        <f>Inputs!C22</f>
        <v>Active</v>
      </c>
      <c r="E13" s="136">
        <f>'Sys Admin Calculation Y2'!E13</f>
        <v>0</v>
      </c>
      <c r="F13" s="136">
        <f>'Sys Admin Calculation Y2'!F13*(1+('Sys Admin'!$U$21/100))</f>
        <v>0</v>
      </c>
      <c r="G13" s="136">
        <f>'Sys Admin Calculation Y2'!G13*(1+('Sys Admin'!$U$21/100))</f>
        <v>0</v>
      </c>
      <c r="H13" s="136">
        <f>'Sys Admin Calculation Y2'!H13</f>
        <v>7190.413333333333</v>
      </c>
      <c r="I13" s="136">
        <f>'Sys Admin Calculation Y2'!I13</f>
        <v>1202.0576888888891</v>
      </c>
      <c r="J13" s="136">
        <f>Inputs!I22</f>
        <v>0</v>
      </c>
      <c r="K13" s="136">
        <f>Inputs!J22</f>
        <v>0</v>
      </c>
      <c r="L13" s="136">
        <f>Inputs!K22</f>
        <v>0</v>
      </c>
      <c r="M13" s="136">
        <f>Inputs!L22</f>
        <v>7190.413333333333</v>
      </c>
      <c r="N13" s="136">
        <f>Inputs!M22</f>
        <v>1202.0576888888891</v>
      </c>
      <c r="O13" s="136">
        <f>Inputs!N22</f>
        <v>0</v>
      </c>
      <c r="P13" s="136">
        <f>Inputs!O22</f>
        <v>3</v>
      </c>
      <c r="Q13" s="136" t="str">
        <f>Inputs!P22</f>
        <v>None</v>
      </c>
      <c r="R13" s="136">
        <f>Inputs!Q22</f>
        <v>0.04</v>
      </c>
      <c r="S13" s="136">
        <f>Inputs!R22</f>
        <v>100709.65226666667</v>
      </c>
      <c r="T13" s="563" t="str">
        <f>'Sys Admin'!S32</f>
        <v>None</v>
      </c>
      <c r="U13" s="563" t="str">
        <f>'Sys Admin'!U32</f>
        <v>Active</v>
      </c>
      <c r="V13" s="563">
        <f>'Sys Admin'!W32</f>
        <v>0</v>
      </c>
      <c r="W13" s="576">
        <f>IF(AND(V76=1,'Sys Admin Calculation'!X62=0, 'Sys Admin Calculation Y2'!V74=0), VLOOKUP(U13&amp;T13,$N$48:$Q$65,4,FALSE), VLOOKUP(U13&amp;T13,$N$66:$Q$70,4,FALSE))</f>
        <v>0</v>
      </c>
      <c r="X13" s="563">
        <f t="shared" si="1"/>
        <v>12</v>
      </c>
      <c r="Y13" s="563">
        <f>IF(AND(V76=1,'Sys Admin Calculation'!X62=0, 'Sys Admin Calculation Y2'!V74=0),  VLOOKUP(T13,$P$71:$Q$74,2,FALSE), IF(AND(V76=1, OR('Sys Admin Calculation'!X62=1, 'Sys Admin Calculation Y2'!V74=1)), 0,IF(U13&lt;&gt;"Active", 0, W13*X13)))</f>
        <v>0</v>
      </c>
      <c r="Z13" s="50">
        <f t="shared" si="2"/>
        <v>0</v>
      </c>
      <c r="AA13" s="50">
        <f t="shared" si="3"/>
        <v>0</v>
      </c>
      <c r="AB13" s="50">
        <f t="shared" si="4"/>
        <v>82315.851839999988</v>
      </c>
      <c r="AC13" s="490">
        <f t="shared" si="5"/>
        <v>26000</v>
      </c>
      <c r="AD13" s="50">
        <f t="shared" si="0"/>
        <v>16876.889952000005</v>
      </c>
      <c r="AE13" s="564">
        <f t="shared" si="6"/>
        <v>125192.74179199999</v>
      </c>
    </row>
    <row r="14" spans="1:31">
      <c r="A14" s="15" t="str">
        <f>Inputs!A23</f>
        <v>FTA-DA</v>
      </c>
      <c r="B14" s="15">
        <f>Inputs!B23</f>
        <v>12</v>
      </c>
      <c r="C14" s="15" t="s">
        <v>33</v>
      </c>
      <c r="D14" s="15" t="str">
        <f>Inputs!C23</f>
        <v>Active</v>
      </c>
      <c r="E14" s="136">
        <f>'Sys Admin Calculation Y2'!E14</f>
        <v>0</v>
      </c>
      <c r="F14" s="136">
        <f>'Sys Admin Calculation Y2'!F14*(1+('Sys Admin'!$U$21/100))</f>
        <v>0</v>
      </c>
      <c r="G14" s="136">
        <f>'Sys Admin Calculation Y2'!G14*(1+('Sys Admin'!$U$21/100))</f>
        <v>0</v>
      </c>
      <c r="H14" s="136">
        <f>'Sys Admin Calculation Y2'!H14</f>
        <v>7190.413333333333</v>
      </c>
      <c r="I14" s="136">
        <f>'Sys Admin Calculation Y2'!I14</f>
        <v>1202.0576888888891</v>
      </c>
      <c r="J14" s="136">
        <f>Inputs!I23</f>
        <v>0</v>
      </c>
      <c r="K14" s="136">
        <f>Inputs!J23</f>
        <v>0</v>
      </c>
      <c r="L14" s="136">
        <f>Inputs!K23</f>
        <v>0</v>
      </c>
      <c r="M14" s="136">
        <f>Inputs!L23</f>
        <v>7190.413333333333</v>
      </c>
      <c r="N14" s="136">
        <f>Inputs!M23</f>
        <v>1202.0576888888891</v>
      </c>
      <c r="O14" s="136">
        <f>Inputs!N23</f>
        <v>0</v>
      </c>
      <c r="P14" s="136">
        <f>Inputs!O23</f>
        <v>1</v>
      </c>
      <c r="Q14" s="136" t="str">
        <f>Inputs!P23</f>
        <v>None</v>
      </c>
      <c r="R14" s="136">
        <f>Inputs!Q23</f>
        <v>0.04</v>
      </c>
      <c r="S14" s="136">
        <f>Inputs!R23</f>
        <v>100709.65226666667</v>
      </c>
      <c r="T14" s="563" t="str">
        <f>'Sys Admin'!S33</f>
        <v>None</v>
      </c>
      <c r="U14" s="563" t="str">
        <f>'Sys Admin'!U33</f>
        <v>Active</v>
      </c>
      <c r="V14" s="563">
        <f>'Sys Admin'!W33</f>
        <v>0</v>
      </c>
      <c r="W14" s="576">
        <f>IF(AND(V77=1,'Sys Admin Calculation'!X63=0, 'Sys Admin Calculation Y2'!V75=0), VLOOKUP(U14&amp;T14,$N$48:$Q$65,4,FALSE), VLOOKUP(U14&amp;T14,$N$66:$Q$70,4,FALSE))</f>
        <v>0</v>
      </c>
      <c r="X14" s="563">
        <f t="shared" si="1"/>
        <v>12</v>
      </c>
      <c r="Y14" s="563">
        <f>IF(AND(V77=1,'Sys Admin Calculation'!X63=0, 'Sys Admin Calculation Y2'!V75=0),  VLOOKUP(T14,$P$71:$Q$74,2,FALSE), IF(AND(V77=1, OR('Sys Admin Calculation'!X63=1, 'Sys Admin Calculation Y2'!V75=1)), 0,IF(U14&lt;&gt;"Active", 0, W14*X14)))</f>
        <v>0</v>
      </c>
      <c r="Z14" s="50">
        <f t="shared" si="2"/>
        <v>0</v>
      </c>
      <c r="AA14" s="50">
        <f t="shared" si="3"/>
        <v>0</v>
      </c>
      <c r="AB14" s="50">
        <f t="shared" si="4"/>
        <v>82315.851839999988</v>
      </c>
      <c r="AC14" s="490">
        <f t="shared" si="5"/>
        <v>26000</v>
      </c>
      <c r="AD14" s="50">
        <f t="shared" si="0"/>
        <v>16876.889952000005</v>
      </c>
      <c r="AE14" s="564">
        <f t="shared" si="6"/>
        <v>125192.74179199999</v>
      </c>
    </row>
    <row r="15" spans="1:31">
      <c r="A15" s="15" t="str">
        <f>Inputs!A24</f>
        <v>MOD 2.0</v>
      </c>
      <c r="B15" s="15">
        <f>Inputs!B24</f>
        <v>12</v>
      </c>
      <c r="C15" s="15" t="s">
        <v>33</v>
      </c>
      <c r="D15" s="15" t="str">
        <f>Inputs!C24</f>
        <v>Prospective</v>
      </c>
      <c r="E15" s="136">
        <f>'Sys Admin Calculation Y2'!E15</f>
        <v>0</v>
      </c>
      <c r="F15" s="136">
        <f>'Sys Admin Calculation Y2'!F15*(1+('Sys Admin'!$U$21/100))</f>
        <v>0</v>
      </c>
      <c r="G15" s="136">
        <f>'Sys Admin Calculation Y2'!G15*(1+('Sys Admin'!$U$21/100))</f>
        <v>0</v>
      </c>
      <c r="H15" s="136">
        <f>'Sys Admin Calculation Y2'!H15</f>
        <v>0</v>
      </c>
      <c r="I15" s="136">
        <f>'Sys Admin Calculation Y2'!I15</f>
        <v>0</v>
      </c>
      <c r="J15" s="136">
        <f>Inputs!I24</f>
        <v>0</v>
      </c>
      <c r="K15" s="136">
        <f>Inputs!J24</f>
        <v>0</v>
      </c>
      <c r="L15" s="136">
        <f>Inputs!K24</f>
        <v>0</v>
      </c>
      <c r="M15" s="136">
        <f>Inputs!L24</f>
        <v>0</v>
      </c>
      <c r="N15" s="136">
        <f>Inputs!M24</f>
        <v>0</v>
      </c>
      <c r="O15" s="136">
        <f>Inputs!N24</f>
        <v>0</v>
      </c>
      <c r="P15" s="136">
        <f>Inputs!O24</f>
        <v>0</v>
      </c>
      <c r="Q15" s="136" t="str">
        <f>Inputs!P24</f>
        <v>None</v>
      </c>
      <c r="R15" s="136">
        <f>Inputs!Q24</f>
        <v>0</v>
      </c>
      <c r="S15" s="136">
        <f>Inputs!R24</f>
        <v>0</v>
      </c>
      <c r="T15" s="563" t="str">
        <f>'Sys Admin'!S34</f>
        <v>None</v>
      </c>
      <c r="U15" s="563" t="str">
        <f>'Sys Admin'!U34</f>
        <v>Prospective</v>
      </c>
      <c r="V15" s="563">
        <f>'Sys Admin'!W34</f>
        <v>0</v>
      </c>
      <c r="W15" s="576">
        <f>IF(AND(V78=1,'Sys Admin Calculation'!X64=0, 'Sys Admin Calculation Y2'!V76=0), VLOOKUP(U15&amp;T15,$N$48:$Q$65,4,FALSE), VLOOKUP(U15&amp;T15,$N$66:$Q$70,4,FALSE))</f>
        <v>0</v>
      </c>
      <c r="X15" s="563">
        <f t="shared" si="1"/>
        <v>0</v>
      </c>
      <c r="Y15" s="563">
        <f>IF(AND(V78=1,'Sys Admin Calculation'!X64=0, 'Sys Admin Calculation Y2'!V76=0),  VLOOKUP(T15,$P$71:$Q$74,2,FALSE), IF(AND(V78=1, OR('Sys Admin Calculation'!X64=1, 'Sys Admin Calculation Y2'!V76=1)), 0,IF(U15&lt;&gt;"Active", 0, W15*X15)))</f>
        <v>0</v>
      </c>
      <c r="Z15" s="50">
        <f t="shared" si="2"/>
        <v>0</v>
      </c>
      <c r="AA15" s="50">
        <f t="shared" si="3"/>
        <v>0</v>
      </c>
      <c r="AB15" s="50">
        <f t="shared" si="4"/>
        <v>0</v>
      </c>
      <c r="AC15" s="490">
        <f t="shared" si="5"/>
        <v>0</v>
      </c>
      <c r="AD15" s="50">
        <f t="shared" si="0"/>
        <v>0</v>
      </c>
      <c r="AE15" s="564">
        <f t="shared" si="6"/>
        <v>0</v>
      </c>
    </row>
    <row r="16" spans="1:31">
      <c r="A16" s="15" t="str">
        <f>Inputs!A25</f>
        <v xml:space="preserve">MPI </v>
      </c>
      <c r="B16" s="15">
        <f>Inputs!B25</f>
        <v>12</v>
      </c>
      <c r="C16" s="15" t="s">
        <v>33</v>
      </c>
      <c r="D16" s="15" t="str">
        <f>Inputs!C25</f>
        <v>Prospective</v>
      </c>
      <c r="E16" s="136">
        <f>'Sys Admin Calculation Y2'!E16</f>
        <v>0</v>
      </c>
      <c r="F16" s="136">
        <f>'Sys Admin Calculation Y2'!F16*(1+('Sys Admin'!$U$21/100))</f>
        <v>0</v>
      </c>
      <c r="G16" s="136">
        <f>'Sys Admin Calculation Y2'!G16*(1+('Sys Admin'!$U$21/100))</f>
        <v>0</v>
      </c>
      <c r="H16" s="136">
        <f>'Sys Admin Calculation Y2'!H16</f>
        <v>0</v>
      </c>
      <c r="I16" s="136">
        <f>'Sys Admin Calculation Y2'!I16</f>
        <v>0</v>
      </c>
      <c r="J16" s="136">
        <f>Inputs!I25</f>
        <v>0</v>
      </c>
      <c r="K16" s="136">
        <f>Inputs!J25</f>
        <v>0</v>
      </c>
      <c r="L16" s="136">
        <f>Inputs!K25</f>
        <v>0</v>
      </c>
      <c r="M16" s="136">
        <f>Inputs!L25</f>
        <v>0</v>
      </c>
      <c r="N16" s="136">
        <f>Inputs!M25</f>
        <v>0</v>
      </c>
      <c r="O16" s="136">
        <f>Inputs!N25</f>
        <v>0</v>
      </c>
      <c r="P16" s="136">
        <f>Inputs!O25</f>
        <v>0</v>
      </c>
      <c r="Q16" s="136" t="str">
        <f>Inputs!P25</f>
        <v>None</v>
      </c>
      <c r="R16" s="136">
        <f>Inputs!Q25</f>
        <v>0</v>
      </c>
      <c r="S16" s="136">
        <f>Inputs!R25</f>
        <v>0</v>
      </c>
      <c r="T16" s="563" t="str">
        <f>'Sys Admin'!S35</f>
        <v>None</v>
      </c>
      <c r="U16" s="563" t="str">
        <f>'Sys Admin'!U35</f>
        <v>Prospective</v>
      </c>
      <c r="V16" s="563">
        <f>'Sys Admin'!W35</f>
        <v>0</v>
      </c>
      <c r="W16" s="576">
        <f>IF(AND(V79=1,'Sys Admin Calculation'!X65=0, 'Sys Admin Calculation Y2'!V77=0), VLOOKUP(U16&amp;T16,$N$48:$Q$65,4,FALSE), VLOOKUP(U16&amp;T16,$N$66:$Q$70,4,FALSE))</f>
        <v>0</v>
      </c>
      <c r="X16" s="563">
        <f t="shared" si="1"/>
        <v>0</v>
      </c>
      <c r="Y16" s="563">
        <f>IF(AND(V79=1,'Sys Admin Calculation'!X65=0, 'Sys Admin Calculation Y2'!V77=0),  VLOOKUP(T16,$P$71:$Q$74,2,FALSE), IF(AND(V79=1, OR('Sys Admin Calculation'!X65=1, 'Sys Admin Calculation Y2'!V77=1)), 0,IF(U16&lt;&gt;"Active", 0, W16*X16)))</f>
        <v>0</v>
      </c>
      <c r="Z16" s="50">
        <f t="shared" si="2"/>
        <v>0</v>
      </c>
      <c r="AA16" s="50">
        <f t="shared" si="3"/>
        <v>0</v>
      </c>
      <c r="AB16" s="50">
        <f t="shared" si="4"/>
        <v>0</v>
      </c>
      <c r="AC16" s="490">
        <f t="shared" si="5"/>
        <v>0</v>
      </c>
      <c r="AD16" s="50">
        <f t="shared" si="0"/>
        <v>0</v>
      </c>
      <c r="AE16" s="564">
        <f t="shared" si="6"/>
        <v>0</v>
      </c>
    </row>
    <row r="17" spans="1:89">
      <c r="A17" s="15" t="str">
        <f>Inputs!A26</f>
        <v>WAZE-WAZE</v>
      </c>
      <c r="B17" s="15">
        <f>Inputs!B26</f>
        <v>12</v>
      </c>
      <c r="C17" s="15" t="s">
        <v>31</v>
      </c>
      <c r="D17" s="15" t="str">
        <f>Inputs!C26</f>
        <v>Active</v>
      </c>
      <c r="E17" s="136">
        <f>'Sys Admin Calculation Y2'!E17</f>
        <v>0</v>
      </c>
      <c r="F17" s="136">
        <f>'Sys Admin Calculation Y2'!F17*(1+('Sys Admin'!$U$21/100))</f>
        <v>1178.1770000000004</v>
      </c>
      <c r="G17" s="136">
        <f>'Sys Admin Calculation Y2'!G17*(1+('Sys Admin'!$U$21/100))</f>
        <v>0</v>
      </c>
      <c r="H17" s="136">
        <f>'Sys Admin Calculation Y2'!H17</f>
        <v>7190.413333333333</v>
      </c>
      <c r="I17" s="136">
        <f>'Sys Admin Calculation Y2'!I17</f>
        <v>1202.0576888888891</v>
      </c>
      <c r="J17" s="136">
        <f>Inputs!I26</f>
        <v>0</v>
      </c>
      <c r="K17" s="136">
        <f>Inputs!J26</f>
        <v>1109.17</v>
      </c>
      <c r="L17" s="136">
        <f>Inputs!K26</f>
        <v>0</v>
      </c>
      <c r="M17" s="136">
        <f>Inputs!L26</f>
        <v>7190.413333333333</v>
      </c>
      <c r="N17" s="136">
        <f>Inputs!M26</f>
        <v>1202.0576888888891</v>
      </c>
      <c r="O17" s="136">
        <f>Inputs!N26</f>
        <v>0</v>
      </c>
      <c r="P17" s="136">
        <f>Inputs!O26</f>
        <v>3</v>
      </c>
      <c r="Q17" s="136" t="str">
        <f>Inputs!P26</f>
        <v>None</v>
      </c>
      <c r="R17" s="136">
        <f>Inputs!Q26</f>
        <v>0.04</v>
      </c>
      <c r="S17" s="136">
        <f>Inputs!R26</f>
        <v>112394.05226666665</v>
      </c>
      <c r="T17" s="563" t="str">
        <f>'Sys Admin'!S36</f>
        <v>None</v>
      </c>
      <c r="U17" s="563" t="str">
        <f>'Sys Admin'!U36</f>
        <v>Active</v>
      </c>
      <c r="V17" s="563">
        <f>'Sys Admin'!W36</f>
        <v>0</v>
      </c>
      <c r="W17" s="576">
        <f>IF(AND(V80=1,'Sys Admin Calculation'!X66=0, 'Sys Admin Calculation Y2'!V78=0), VLOOKUP(U17&amp;T17,$N$48:$Q$65,4,FALSE), VLOOKUP(U17&amp;T17,$N$66:$Q$70,4,FALSE))</f>
        <v>0</v>
      </c>
      <c r="X17" s="563">
        <f t="shared" si="1"/>
        <v>12</v>
      </c>
      <c r="Y17" s="563">
        <f>IF(AND(V80=1,'Sys Admin Calculation'!X66=0, 'Sys Admin Calculation Y2'!V78=0),  VLOOKUP(T17,$P$71:$Q$74,2,FALSE), IF(AND(V80=1, OR('Sys Admin Calculation'!X66=1, 'Sys Admin Calculation Y2'!V78=1)), 0,IF(U17&lt;&gt;"Active", 0, W17*X17)))</f>
        <v>0</v>
      </c>
      <c r="Z17" s="50">
        <f t="shared" si="2"/>
        <v>14138.124000000003</v>
      </c>
      <c r="AA17" s="50">
        <f t="shared" si="3"/>
        <v>14138.124000000003</v>
      </c>
      <c r="AB17" s="50">
        <f t="shared" si="4"/>
        <v>82315.851839999988</v>
      </c>
      <c r="AC17" s="490">
        <f t="shared" si="5"/>
        <v>26000</v>
      </c>
      <c r="AD17" s="50">
        <f t="shared" si="0"/>
        <v>16876.889952000005</v>
      </c>
      <c r="AE17" s="564">
        <f t="shared" si="6"/>
        <v>153468.98979199998</v>
      </c>
    </row>
    <row r="18" spans="1:89">
      <c r="A18" s="15" t="str">
        <f>Inputs!A27</f>
        <v>WAZE-SDI</v>
      </c>
      <c r="B18" s="15">
        <f>Inputs!B27</f>
        <v>12</v>
      </c>
      <c r="C18" s="15" t="s">
        <v>31</v>
      </c>
      <c r="D18" s="15" t="str">
        <f>Inputs!C27</f>
        <v>Active</v>
      </c>
      <c r="E18" s="136">
        <f>'Sys Admin Calculation Y2'!E18</f>
        <v>0</v>
      </c>
      <c r="F18" s="136">
        <f>'Sys Admin Calculation Y2'!F18*(1+('Sys Admin'!$U$21/100))</f>
        <v>0</v>
      </c>
      <c r="G18" s="136">
        <f>'Sys Admin Calculation Y2'!G18*(1+('Sys Admin'!$U$21/100))</f>
        <v>427.7229000000001</v>
      </c>
      <c r="H18" s="136">
        <f>'Sys Admin Calculation Y2'!H18</f>
        <v>7190.413333333333</v>
      </c>
      <c r="I18" s="136">
        <f>'Sys Admin Calculation Y2'!I18</f>
        <v>1202.0576888888891</v>
      </c>
      <c r="J18" s="136">
        <f>Inputs!I27</f>
        <v>0</v>
      </c>
      <c r="K18" s="136">
        <f>Inputs!J27</f>
        <v>0</v>
      </c>
      <c r="L18" s="136">
        <f>Inputs!K27</f>
        <v>449.72333333333336</v>
      </c>
      <c r="M18" s="136">
        <f>Inputs!L27</f>
        <v>7190.413333333333</v>
      </c>
      <c r="N18" s="136">
        <f>Inputs!M27</f>
        <v>1202.0576888888891</v>
      </c>
      <c r="O18" s="136">
        <f>Inputs!N27</f>
        <v>0</v>
      </c>
      <c r="P18" s="136">
        <f>Inputs!O27</f>
        <v>0</v>
      </c>
      <c r="Q18" s="136" t="str">
        <f>Inputs!P27</f>
        <v>None</v>
      </c>
      <c r="R18" s="136">
        <f>Inputs!Q27</f>
        <v>0.04</v>
      </c>
      <c r="S18" s="136">
        <f>Inputs!R27</f>
        <v>104951.53226666666</v>
      </c>
      <c r="T18" s="563" t="str">
        <f>'Sys Admin'!S37</f>
        <v>None</v>
      </c>
      <c r="U18" s="563" t="str">
        <f>'Sys Admin'!U37</f>
        <v>Active</v>
      </c>
      <c r="V18" s="563">
        <f>'Sys Admin'!W37</f>
        <v>0</v>
      </c>
      <c r="W18" s="576">
        <f>IF(AND(V81=1,'Sys Admin Calculation'!X67=0, 'Sys Admin Calculation Y2'!V79=0), VLOOKUP(U18&amp;T18,$N$48:$Q$65,4,FALSE), VLOOKUP(U18&amp;T18,$N$66:$Q$70,4,FALSE))</f>
        <v>0</v>
      </c>
      <c r="X18" s="563">
        <f t="shared" si="1"/>
        <v>12</v>
      </c>
      <c r="Y18" s="563">
        <f>IF(AND(V81=1,'Sys Admin Calculation'!X67=0, 'Sys Admin Calculation Y2'!V79=0),  VLOOKUP(T18,$P$71:$Q$74,2,FALSE), IF(AND(V81=1, OR('Sys Admin Calculation'!X67=1, 'Sys Admin Calculation Y2'!V79=1)), 0,IF(U18&lt;&gt;"Active", 0, W18*X18)))</f>
        <v>0</v>
      </c>
      <c r="Z18" s="50">
        <f t="shared" si="2"/>
        <v>0</v>
      </c>
      <c r="AA18" s="50">
        <f t="shared" si="3"/>
        <v>0</v>
      </c>
      <c r="AB18" s="50">
        <f t="shared" si="4"/>
        <v>82315.851839999988</v>
      </c>
      <c r="AC18" s="490">
        <f t="shared" si="5"/>
        <v>26000</v>
      </c>
      <c r="AD18" s="50">
        <f t="shared" si="0"/>
        <v>16876.889952000005</v>
      </c>
      <c r="AE18" s="564">
        <f t="shared" si="6"/>
        <v>125192.74179199999</v>
      </c>
    </row>
    <row r="19" spans="1:89">
      <c r="A19" s="15" t="str">
        <f>Inputs!A28</f>
        <v>Smart Columbus Evaluation</v>
      </c>
      <c r="B19" s="15">
        <f>Inputs!B28</f>
        <v>12</v>
      </c>
      <c r="C19" s="15" t="s">
        <v>33</v>
      </c>
      <c r="D19" s="15" t="str">
        <f>Inputs!C28</f>
        <v>Planning/Discovery</v>
      </c>
      <c r="E19" s="136">
        <f>'Sys Admin Calculation Y2'!E19</f>
        <v>0</v>
      </c>
      <c r="F19" s="136">
        <f>'Sys Admin Calculation Y2'!F19*(1+('Sys Admin'!$U$21/100))</f>
        <v>0</v>
      </c>
      <c r="G19" s="136">
        <f>'Sys Admin Calculation Y2'!G19*(1+('Sys Admin'!$U$21/100))</f>
        <v>0</v>
      </c>
      <c r="H19" s="136">
        <f>'Sys Admin Calculation Y2'!H19</f>
        <v>1348.2025000000001</v>
      </c>
      <c r="I19" s="136">
        <f>'Sys Admin Calculation Y2'!I19</f>
        <v>169.03936250000001</v>
      </c>
      <c r="J19" s="136">
        <f>Inputs!I28</f>
        <v>0</v>
      </c>
      <c r="K19" s="136">
        <f>Inputs!J28</f>
        <v>0</v>
      </c>
      <c r="L19" s="136">
        <f>Inputs!K28</f>
        <v>0</v>
      </c>
      <c r="M19" s="136">
        <f>Inputs!L28</f>
        <v>0</v>
      </c>
      <c r="N19" s="136">
        <f>Inputs!M28</f>
        <v>0</v>
      </c>
      <c r="O19" s="136">
        <f>Inputs!N28</f>
        <v>0</v>
      </c>
      <c r="P19" s="136">
        <f>Inputs!O28</f>
        <v>0</v>
      </c>
      <c r="Q19" s="136" t="str">
        <f>Inputs!P28</f>
        <v>None</v>
      </c>
      <c r="R19" s="136">
        <f>Inputs!Q28</f>
        <v>0</v>
      </c>
      <c r="S19" s="136">
        <f>Inputs!R28</f>
        <v>18206.90235</v>
      </c>
      <c r="T19" s="563" t="str">
        <f>'Sys Admin'!S38</f>
        <v>None</v>
      </c>
      <c r="U19" s="563" t="str">
        <f>'Sys Admin'!U38</f>
        <v>Prospective</v>
      </c>
      <c r="V19" s="563">
        <f>'Sys Admin'!W38</f>
        <v>0</v>
      </c>
      <c r="W19" s="576">
        <f>IF(AND(V82=1,'Sys Admin Calculation'!X68=0, 'Sys Admin Calculation Y2'!V80=0), VLOOKUP(U19&amp;T19,$N$48:$Q$65,4,FALSE), VLOOKUP(U19&amp;T19,$N$66:$Q$70,4,FALSE))</f>
        <v>0</v>
      </c>
      <c r="X19" s="563">
        <f t="shared" si="1"/>
        <v>0</v>
      </c>
      <c r="Y19" s="563">
        <f>IF(AND(V82=1,'Sys Admin Calculation'!X68=0, 'Sys Admin Calculation Y2'!V80=0),  VLOOKUP(T19,$P$71:$Q$74,2,FALSE), IF(AND(V82=1, OR('Sys Admin Calculation'!X68=1, 'Sys Admin Calculation Y2'!V80=1)), 0,IF(U19&lt;&gt;"Active", 0, W19*X19)))</f>
        <v>0</v>
      </c>
      <c r="Z19" s="50">
        <f t="shared" si="2"/>
        <v>0</v>
      </c>
      <c r="AA19" s="50">
        <f t="shared" si="3"/>
        <v>0</v>
      </c>
      <c r="AB19" s="50">
        <f t="shared" si="4"/>
        <v>0</v>
      </c>
      <c r="AC19" s="490">
        <f t="shared" si="5"/>
        <v>0</v>
      </c>
      <c r="AD19" s="50">
        <f t="shared" si="0"/>
        <v>0</v>
      </c>
      <c r="AE19" s="564">
        <f t="shared" si="6"/>
        <v>0</v>
      </c>
    </row>
    <row r="20" spans="1:89">
      <c r="A20" s="15" t="str">
        <f>Inputs!A29</f>
        <v>STAR</v>
      </c>
      <c r="B20" s="15">
        <f>Inputs!B29</f>
        <v>12</v>
      </c>
      <c r="C20" s="15" t="s">
        <v>33</v>
      </c>
      <c r="D20" s="15" t="str">
        <f>Inputs!C29</f>
        <v>Prospective</v>
      </c>
      <c r="E20" s="136">
        <f>'Sys Admin Calculation Y2'!E20</f>
        <v>0</v>
      </c>
      <c r="F20" s="136">
        <f>'Sys Admin Calculation Y2'!F20*(1+('Sys Admin'!$U$21/100))</f>
        <v>0</v>
      </c>
      <c r="G20" s="136">
        <f>'Sys Admin Calculation Y2'!G20*(1+('Sys Admin'!$U$21/100))</f>
        <v>0</v>
      </c>
      <c r="H20" s="136">
        <f>'Sys Admin Calculation Y2'!H20</f>
        <v>0</v>
      </c>
      <c r="I20" s="136">
        <f>'Sys Admin Calculation Y2'!I20</f>
        <v>0</v>
      </c>
      <c r="J20" s="136">
        <f>Inputs!I29</f>
        <v>0</v>
      </c>
      <c r="K20" s="136">
        <f>Inputs!J29</f>
        <v>0</v>
      </c>
      <c r="L20" s="136">
        <f>Inputs!K29</f>
        <v>0</v>
      </c>
      <c r="M20" s="136">
        <f>Inputs!L29</f>
        <v>0</v>
      </c>
      <c r="N20" s="136">
        <f>Inputs!M29</f>
        <v>0</v>
      </c>
      <c r="O20" s="136">
        <f>Inputs!N29</f>
        <v>0</v>
      </c>
      <c r="P20" s="136">
        <f>Inputs!O29</f>
        <v>0</v>
      </c>
      <c r="Q20" s="136" t="str">
        <f>Inputs!P29</f>
        <v>None</v>
      </c>
      <c r="R20" s="136">
        <f>Inputs!Q29</f>
        <v>0</v>
      </c>
      <c r="S20" s="136">
        <f>Inputs!R29</f>
        <v>0</v>
      </c>
      <c r="T20" s="563" t="str">
        <f>'Sys Admin'!S39</f>
        <v>None</v>
      </c>
      <c r="U20" s="563" t="str">
        <f>'Sys Admin'!U39</f>
        <v>Prospective</v>
      </c>
      <c r="V20" s="563">
        <f>'Sys Admin'!W39</f>
        <v>0</v>
      </c>
      <c r="W20" s="576">
        <f>IF(AND(V83=1,'Sys Admin Calculation'!X69=0, 'Sys Admin Calculation Y2'!V81=0), VLOOKUP(U20&amp;T20,$N$48:$Q$65,4,FALSE), VLOOKUP(U20&amp;T20,$N$66:$Q$70,4,FALSE))</f>
        <v>0</v>
      </c>
      <c r="X20" s="563">
        <f t="shared" si="1"/>
        <v>0</v>
      </c>
      <c r="Y20" s="563">
        <f>IF(AND(V83=1,'Sys Admin Calculation'!X69=0, 'Sys Admin Calculation Y2'!V81=0),  VLOOKUP(T20,$P$71:$Q$74,2,FALSE), IF(AND(V83=1, OR('Sys Admin Calculation'!X69=1, 'Sys Admin Calculation Y2'!V81=1)), 0,IF(U20&lt;&gt;"Active", 0, W20*X20)))</f>
        <v>0</v>
      </c>
      <c r="Z20" s="50">
        <f t="shared" si="2"/>
        <v>0</v>
      </c>
      <c r="AA20" s="50">
        <f t="shared" si="3"/>
        <v>0</v>
      </c>
      <c r="AB20" s="50">
        <f t="shared" si="4"/>
        <v>0</v>
      </c>
      <c r="AC20" s="490">
        <f t="shared" si="5"/>
        <v>0</v>
      </c>
      <c r="AD20" s="50">
        <f t="shared" si="0"/>
        <v>0</v>
      </c>
      <c r="AE20" s="564">
        <f t="shared" si="6"/>
        <v>0</v>
      </c>
    </row>
    <row r="21" spans="1:89" ht="14.65" thickBot="1">
      <c r="A21" s="29" t="str">
        <f>Inputs!A30</f>
        <v>T-PLAT</v>
      </c>
      <c r="B21" s="29">
        <f>Inputs!B30</f>
        <v>12</v>
      </c>
      <c r="C21" s="29" t="s">
        <v>33</v>
      </c>
      <c r="D21" s="29" t="str">
        <f>Inputs!C30</f>
        <v>Prospective</v>
      </c>
      <c r="E21" s="538">
        <f>'Sys Admin Calculation Y2'!E21</f>
        <v>0</v>
      </c>
      <c r="F21" s="136">
        <f>'Sys Admin Calculation Y2'!F21*(1+('Sys Admin'!$U$21/100))</f>
        <v>0</v>
      </c>
      <c r="G21" s="136">
        <f>'Sys Admin Calculation Y2'!G21*(1+('Sys Admin'!$U$21/100))</f>
        <v>0</v>
      </c>
      <c r="H21" s="538">
        <f>'Sys Admin Calculation Y2'!H21</f>
        <v>0</v>
      </c>
      <c r="I21" s="538">
        <f>'Sys Admin Calculation Y2'!I21</f>
        <v>0</v>
      </c>
      <c r="J21" s="538">
        <f>Inputs!I30</f>
        <v>0</v>
      </c>
      <c r="K21" s="538">
        <f>Inputs!J30</f>
        <v>0</v>
      </c>
      <c r="L21" s="538">
        <f>Inputs!K30</f>
        <v>0</v>
      </c>
      <c r="M21" s="538">
        <f>Inputs!L30</f>
        <v>0</v>
      </c>
      <c r="N21" s="538">
        <f>Inputs!M30</f>
        <v>0</v>
      </c>
      <c r="O21" s="538">
        <f>Inputs!N30</f>
        <v>0</v>
      </c>
      <c r="P21" s="538">
        <f>Inputs!O30</f>
        <v>0</v>
      </c>
      <c r="Q21" s="538" t="str">
        <f>Inputs!P30</f>
        <v>None</v>
      </c>
      <c r="R21" s="538">
        <f>Inputs!Q30</f>
        <v>0</v>
      </c>
      <c r="S21" s="538">
        <f>Inputs!R30</f>
        <v>0</v>
      </c>
      <c r="T21" s="563" t="str">
        <f>'Sys Admin'!S40</f>
        <v>None</v>
      </c>
      <c r="U21" s="563" t="str">
        <f>'Sys Admin'!U40</f>
        <v>Prospective</v>
      </c>
      <c r="V21" s="563">
        <f>'Sys Admin'!W40</f>
        <v>0</v>
      </c>
      <c r="W21" s="576">
        <f>IF(AND(V84=1,'Sys Admin Calculation'!X70=0, 'Sys Admin Calculation Y2'!V82=0), VLOOKUP(U21&amp;T21,$N$48:$Q$65,4,FALSE), VLOOKUP(U21&amp;T21,$N$66:$Q$70,4,FALSE))</f>
        <v>0</v>
      </c>
      <c r="X21" s="563">
        <f t="shared" si="1"/>
        <v>0</v>
      </c>
      <c r="Y21" s="563">
        <f>IF(AND(V84=1,'Sys Admin Calculation'!X70=0, 'Sys Admin Calculation Y2'!V82=0),  VLOOKUP(T21,$P$71:$Q$74,2,FALSE), IF(AND(V84=1, OR('Sys Admin Calculation'!X70=1, 'Sys Admin Calculation Y2'!V82=1)), 0,IF(U21&lt;&gt;"Active", 0, W21*X21)))</f>
        <v>0</v>
      </c>
      <c r="Z21" s="50">
        <f t="shared" si="2"/>
        <v>0</v>
      </c>
      <c r="AA21" s="50">
        <f t="shared" si="3"/>
        <v>0</v>
      </c>
      <c r="AB21" s="50">
        <f t="shared" si="4"/>
        <v>0</v>
      </c>
      <c r="AC21" s="490">
        <f t="shared" si="5"/>
        <v>0</v>
      </c>
      <c r="AD21" s="50">
        <f t="shared" si="0"/>
        <v>0</v>
      </c>
      <c r="AE21" s="564">
        <f t="shared" si="6"/>
        <v>0</v>
      </c>
    </row>
    <row r="22" spans="1:89" s="543" customFormat="1" ht="14.65" thickBot="1">
      <c r="A22" s="586" t="str">
        <f>Inputs!A31</f>
        <v>New Project 1</v>
      </c>
      <c r="B22" s="568">
        <f>Inputs!B31</f>
        <v>12</v>
      </c>
      <c r="C22" s="569" t="str">
        <f>'Sys Admin'!F43</f>
        <v>Low</v>
      </c>
      <c r="D22" s="569" t="str">
        <f>'Sys Admin'!O43</f>
        <v>Prospective</v>
      </c>
      <c r="E22" s="570">
        <f>'Sys Admin Calculation Y2'!E22</f>
        <v>0</v>
      </c>
      <c r="F22" s="570">
        <f>'Sys Admin Calculation Y2'!Z22*(1+('Sys Admin'!$U$21/100))</f>
        <v>0</v>
      </c>
      <c r="G22" s="570">
        <f>'Sys Admin Calculation Y2'!AA22*(1+('Sys Admin'!$U$21/100))</f>
        <v>0</v>
      </c>
      <c r="H22" s="598"/>
      <c r="I22" s="598"/>
      <c r="J22" s="598"/>
      <c r="K22" s="598"/>
      <c r="L22" s="598"/>
      <c r="M22" s="598"/>
      <c r="N22" s="598"/>
      <c r="O22" s="598"/>
      <c r="P22" s="598"/>
      <c r="Q22" s="598"/>
      <c r="R22" s="598"/>
      <c r="S22" s="598"/>
      <c r="T22" s="571" t="str">
        <f>'Sys Admin'!S43</f>
        <v>None</v>
      </c>
      <c r="U22" s="571" t="str">
        <f>'Sys Admin'!U43</f>
        <v>Prospective</v>
      </c>
      <c r="V22" s="571">
        <f>'Sys Admin'!W43</f>
        <v>0</v>
      </c>
      <c r="W22" s="572">
        <f>IF(AND(V85=1,'Sys Admin Calculation'!X71=0, 'Sys Admin Calculation Y2'!V83=0), VLOOKUP(U22&amp;T22,$N$48:$Q$65,4,FALSE), VLOOKUP(U22&amp;T22,$N$66:$Q$70,4,FALSE))</f>
        <v>0</v>
      </c>
      <c r="X22" s="563">
        <f t="shared" si="1"/>
        <v>0</v>
      </c>
      <c r="Y22" s="571">
        <f>IF(AND(V85=1,'Sys Admin Calculation'!X71=0, 'Sys Admin Calculation Y2'!V83=0),  VLOOKUP(T22,$P$71:$Q$74,2,FALSE), IF(AND(V85=1, OR('Sys Admin Calculation'!X71=1, 'Sys Admin Calculation Y2'!V83=1)), 0, IF(U22&lt;&gt;"Active", 0, W22*X22)))</f>
        <v>0</v>
      </c>
      <c r="Z22" s="569">
        <f>IF(U22=D22,F22,IF(U22="Prospective",0,IF(U22="Onboarding",$J$85,IF(U22="Planning/Discovery",$J$84,IF(U22="Export/Retirement",$J$89,IF(AND(U22="Active",C22="Low"),$J$88,IF(AND(U22="Active",C22="High"),$J$86,$J$87))))))*(12-V22))</f>
        <v>0</v>
      </c>
      <c r="AA22" s="569">
        <f>IF(U22=D22,G22,IF(U22="Prospective",0,IF(U22="Onboarding",$K$85,IF(U22="Planning/Discovery",$K$84,IF(U22="Export/Retirement",$K$89,IF(AND(U22="Active",C22="Low"),$K$88,IF(AND(U22="Active",C22="High"),$K$86,$K$87))))))*(12-V22))</f>
        <v>0</v>
      </c>
      <c r="AB22" s="569">
        <f>IF(U22="Prospective",0,IF(U22="Onboarding",$L$85,IF(U22="Planning/Discovery",$L$84,IF(U22="Export/Retirement",$L$89,IF(AND(U22="Active",C22="Low"),$L$88*(12-V22),IF(AND(U22="Active",C22="High"),$L$86*(12-V22),$L$87*(12-V22)))))))</f>
        <v>0</v>
      </c>
      <c r="AC22" s="572">
        <f t="shared" si="5"/>
        <v>0</v>
      </c>
      <c r="AD22" s="569">
        <f>IF(U22="Prospective",0,IF(U22="Onboarding",$M$85,IF(U22="Planning/Discovery",$M$84,IF(U22="Export/Retirement",$M$89,IF(AND(U22="Active",C22="Low"),$M$88*(12-V22),IF(AND(U22="Active",C22="High"),$M$86*(12-V22),$M$87*(12-V22)))))))</f>
        <v>0</v>
      </c>
      <c r="AE22" s="573">
        <f t="shared" si="6"/>
        <v>0</v>
      </c>
      <c r="AF22" s="449"/>
      <c r="AG22" s="449"/>
      <c r="AH22" s="449"/>
      <c r="AI22" s="449"/>
      <c r="AJ22" s="449"/>
      <c r="AK22" s="449"/>
      <c r="AL22" s="449"/>
      <c r="AM22" s="449"/>
      <c r="AN22" s="449"/>
      <c r="AO22" s="449"/>
      <c r="AP22" s="449"/>
      <c r="AQ22" s="449"/>
      <c r="AR22" s="449"/>
      <c r="AS22" s="449"/>
      <c r="AT22" s="449"/>
      <c r="AU22" s="449"/>
      <c r="AV22" s="449"/>
      <c r="AW22" s="449"/>
      <c r="AX22" s="449"/>
      <c r="AY22" s="449"/>
      <c r="AZ22" s="449"/>
      <c r="BA22" s="449"/>
      <c r="BB22" s="449"/>
      <c r="BC22" s="449"/>
      <c r="BD22" s="449"/>
      <c r="BE22" s="449"/>
      <c r="BF22" s="449"/>
      <c r="BG22" s="449"/>
      <c r="BH22" s="449"/>
      <c r="BI22" s="449"/>
      <c r="BJ22" s="449"/>
      <c r="BK22" s="449"/>
      <c r="BL22" s="449"/>
      <c r="BM22" s="449"/>
      <c r="BN22" s="449"/>
      <c r="BO22" s="449"/>
      <c r="BP22" s="449"/>
      <c r="BQ22" s="449"/>
      <c r="BR22" s="449"/>
      <c r="BS22" s="449"/>
      <c r="BT22" s="449"/>
      <c r="BU22" s="449"/>
      <c r="BV22" s="449"/>
      <c r="BW22" s="449"/>
      <c r="BX22" s="449"/>
      <c r="BY22" s="449"/>
      <c r="BZ22" s="449"/>
      <c r="CA22" s="449"/>
      <c r="CB22" s="449"/>
      <c r="CC22" s="449"/>
      <c r="CD22" s="449"/>
      <c r="CE22" s="449"/>
      <c r="CF22" s="449"/>
      <c r="CG22" s="449"/>
      <c r="CH22" s="449"/>
      <c r="CI22" s="449"/>
      <c r="CJ22" s="449"/>
      <c r="CK22" s="449"/>
    </row>
    <row r="23" spans="1:89" ht="14.65" thickBot="1">
      <c r="A23" s="587" t="str">
        <f>Inputs!A32</f>
        <v>New Project 2</v>
      </c>
      <c r="B23" s="79">
        <f>Inputs!B32</f>
        <v>12</v>
      </c>
      <c r="C23" s="65" t="str">
        <f>'Sys Admin'!F44</f>
        <v>Low</v>
      </c>
      <c r="D23" s="65" t="str">
        <f>'Sys Admin'!O44</f>
        <v>Prospective</v>
      </c>
      <c r="E23" s="574">
        <f>'Sys Admin Calculation Y2'!E23</f>
        <v>0</v>
      </c>
      <c r="F23" s="570">
        <f>'Sys Admin Calculation Y2'!Z23*(1+('Sys Admin'!$U$21/100))</f>
        <v>0</v>
      </c>
      <c r="G23" s="570">
        <f>'Sys Admin Calculation Y2'!AA23*(1+('Sys Admin'!$U$21/100))</f>
        <v>0</v>
      </c>
      <c r="H23" s="506"/>
      <c r="I23" s="506"/>
      <c r="J23" s="506"/>
      <c r="K23" s="506"/>
      <c r="L23" s="506"/>
      <c r="M23" s="506"/>
      <c r="N23" s="506"/>
      <c r="O23" s="506"/>
      <c r="P23" s="506"/>
      <c r="Q23" s="506"/>
      <c r="R23" s="506"/>
      <c r="S23" s="506"/>
      <c r="T23" s="575" t="str">
        <f>'Sys Admin'!S44</f>
        <v>None</v>
      </c>
      <c r="U23" s="575" t="str">
        <f>'Sys Admin'!U44</f>
        <v>Prospective</v>
      </c>
      <c r="V23" s="575">
        <f>'Sys Admin'!W44</f>
        <v>0</v>
      </c>
      <c r="W23" s="576">
        <f>IF(AND(V86=1,'Sys Admin Calculation'!X72=0, 'Sys Admin Calculation Y2'!V84=0), VLOOKUP(U23&amp;T23,$N$48:$Q$65,4,FALSE), VLOOKUP(U23&amp;T23,$N$66:$Q$70,4,FALSE))</f>
        <v>0</v>
      </c>
      <c r="X23" s="563">
        <f t="shared" si="1"/>
        <v>0</v>
      </c>
      <c r="Y23" s="575">
        <f>IF(AND(V86=1,'Sys Admin Calculation'!X72=0, 'Sys Admin Calculation Y2'!V84=0),  VLOOKUP(T23,$P$71:$Q$74,2,FALSE), IF(AND(V86=1, OR('Sys Admin Calculation'!X72=1, 'Sys Admin Calculation Y2'!V84=1)), 0, IF(U23&lt;&gt;"Active", 0, W23*X23)))</f>
        <v>0</v>
      </c>
      <c r="Z23" s="65">
        <f t="shared" ref="Z23:Z36" si="7">IF(U23=D23,F23,IF(U23="Prospective",0,IF(U23="Onboarding",$J$85,IF(U23="Planning/Discovery",$J$84,IF(U23="Export/Retirement",$J$89,IF(AND(U23="Active",C23="Low"),$J$88,IF(AND(U23="Active",C23="High"),$J$86,$J$87))))))*(12-V23))</f>
        <v>0</v>
      </c>
      <c r="AA23" s="65">
        <f t="shared" ref="AA23:AA36" si="8">IF(U23=D23,G23,IF(U23="Prospective",0,IF(U23="Onboarding",$K$85,IF(U23="Planning/Discovery",$K$84,IF(U23="Export/Retirement",$K$89,IF(AND(U23="Active",C23="Low"),$K$88,IF(AND(U23="Active",C23="High"),$K$86,$K$87))))))*(12-V23))</f>
        <v>0</v>
      </c>
      <c r="AB23" s="65">
        <f t="shared" ref="AB23:AB36" si="9">IF(U23="Prospective",0,IF(U23="Onboarding",$L$85,IF(U23="Planning/Discovery",$L$84,IF(U23="Export/Retirement",$L$89,IF(AND(U23="Active",C23="Low"),$L$88*(12-V23),IF(AND(U23="Active",C23="High"),$L$86*(12-V23),$L$87*(12-V23)))))))</f>
        <v>0</v>
      </c>
      <c r="AC23" s="576">
        <f t="shared" si="5"/>
        <v>0</v>
      </c>
      <c r="AD23" s="65">
        <f t="shared" ref="AD23:AD36" si="10">IF(U23="Prospective",0,IF(U23="Onboarding",$M$85,IF(U23="Planning/Discovery",$M$84,IF(U23="Export/Retirement",$M$89,IF(AND(U23="Active",C23="Low"),$M$88*(12-V23),IF(AND(U23="Active",C23="High"),$M$86*(12-V23),$M$87*(12-V23)))))))</f>
        <v>0</v>
      </c>
      <c r="AE23" s="577">
        <f t="shared" si="6"/>
        <v>0</v>
      </c>
    </row>
    <row r="24" spans="1:89" ht="14.65" thickBot="1">
      <c r="A24" s="587" t="str">
        <f>Inputs!A33</f>
        <v>New Project 3</v>
      </c>
      <c r="B24" s="79">
        <f>Inputs!B33</f>
        <v>12</v>
      </c>
      <c r="C24" s="65" t="str">
        <f>'Sys Admin'!F45</f>
        <v>Low</v>
      </c>
      <c r="D24" s="65" t="str">
        <f>'Sys Admin'!O45</f>
        <v>Prospective</v>
      </c>
      <c r="E24" s="574">
        <f>'Sys Admin Calculation Y2'!E24</f>
        <v>0</v>
      </c>
      <c r="F24" s="570">
        <f>'Sys Admin Calculation Y2'!Z24*(1+('Sys Admin'!$U$21/100))</f>
        <v>0</v>
      </c>
      <c r="G24" s="570">
        <f>'Sys Admin Calculation Y2'!AA24*(1+('Sys Admin'!$U$21/100))</f>
        <v>0</v>
      </c>
      <c r="H24" s="506"/>
      <c r="I24" s="506"/>
      <c r="J24" s="506"/>
      <c r="K24" s="506"/>
      <c r="L24" s="506"/>
      <c r="M24" s="506"/>
      <c r="N24" s="506"/>
      <c r="O24" s="506"/>
      <c r="P24" s="506"/>
      <c r="Q24" s="506"/>
      <c r="R24" s="506"/>
      <c r="S24" s="506"/>
      <c r="T24" s="575" t="str">
        <f>'Sys Admin'!S45</f>
        <v>None</v>
      </c>
      <c r="U24" s="575" t="str">
        <f>'Sys Admin'!U45</f>
        <v>Prospective</v>
      </c>
      <c r="V24" s="575">
        <f>'Sys Admin'!W45</f>
        <v>0</v>
      </c>
      <c r="W24" s="576">
        <f>IF(AND(V87=1,'Sys Admin Calculation'!X73=0, 'Sys Admin Calculation Y2'!V85=0), VLOOKUP(U24&amp;T24,$N$48:$Q$65,4,FALSE), VLOOKUP(U24&amp;T24,$N$66:$Q$70,4,FALSE))</f>
        <v>0</v>
      </c>
      <c r="X24" s="563">
        <f t="shared" si="1"/>
        <v>0</v>
      </c>
      <c r="Y24" s="575">
        <f>IF(AND(V87=1,'Sys Admin Calculation'!X73=0, 'Sys Admin Calculation Y2'!V85=0),  VLOOKUP(T24,$P$71:$Q$74,2,FALSE), IF(AND(V87=1, OR('Sys Admin Calculation'!X73=1, 'Sys Admin Calculation Y2'!V85=1)), 0, IF(U24&lt;&gt;"Active", 0, W24*X24)))</f>
        <v>0</v>
      </c>
      <c r="Z24" s="65">
        <f t="shared" si="7"/>
        <v>0</v>
      </c>
      <c r="AA24" s="65">
        <f t="shared" si="8"/>
        <v>0</v>
      </c>
      <c r="AB24" s="65">
        <f t="shared" si="9"/>
        <v>0</v>
      </c>
      <c r="AC24" s="576">
        <f t="shared" si="5"/>
        <v>0</v>
      </c>
      <c r="AD24" s="65">
        <f t="shared" si="10"/>
        <v>0</v>
      </c>
      <c r="AE24" s="577">
        <f t="shared" si="6"/>
        <v>0</v>
      </c>
    </row>
    <row r="25" spans="1:89" ht="14.65" thickBot="1">
      <c r="A25" s="587" t="str">
        <f>Inputs!A34</f>
        <v>New Project 4</v>
      </c>
      <c r="B25" s="79">
        <f>Inputs!B34</f>
        <v>12</v>
      </c>
      <c r="C25" s="65" t="str">
        <f>'Sys Admin'!F46</f>
        <v>Low</v>
      </c>
      <c r="D25" s="65" t="str">
        <f>'Sys Admin'!O46</f>
        <v>Prospective</v>
      </c>
      <c r="E25" s="574">
        <f>'Sys Admin Calculation Y2'!E25</f>
        <v>0</v>
      </c>
      <c r="F25" s="570">
        <f>'Sys Admin Calculation Y2'!Z25*(1+('Sys Admin'!$U$21/100))</f>
        <v>0</v>
      </c>
      <c r="G25" s="570">
        <f>'Sys Admin Calculation Y2'!AA25*(1+('Sys Admin'!$U$21/100))</f>
        <v>0</v>
      </c>
      <c r="H25" s="506"/>
      <c r="I25" s="506"/>
      <c r="J25" s="506"/>
      <c r="K25" s="506"/>
      <c r="L25" s="506"/>
      <c r="M25" s="506"/>
      <c r="N25" s="506"/>
      <c r="O25" s="506"/>
      <c r="P25" s="506"/>
      <c r="Q25" s="506"/>
      <c r="R25" s="506"/>
      <c r="S25" s="506"/>
      <c r="T25" s="575" t="str">
        <f>'Sys Admin'!S46</f>
        <v>None</v>
      </c>
      <c r="U25" s="575" t="str">
        <f>'Sys Admin'!U46</f>
        <v>Prospective</v>
      </c>
      <c r="V25" s="575">
        <f>'Sys Admin'!W46</f>
        <v>0</v>
      </c>
      <c r="W25" s="576">
        <f>IF(AND(V88=1,'Sys Admin Calculation'!X74=0, 'Sys Admin Calculation Y2'!V86=0), VLOOKUP(U25&amp;T25,$N$48:$Q$65,4,FALSE), VLOOKUP(U25&amp;T25,$N$66:$Q$70,4,FALSE))</f>
        <v>0</v>
      </c>
      <c r="X25" s="563">
        <f t="shared" si="1"/>
        <v>0</v>
      </c>
      <c r="Y25" s="575">
        <f>IF(AND(V88=1,'Sys Admin Calculation'!X74=0, 'Sys Admin Calculation Y2'!V86=0),  VLOOKUP(T25,$P$71:$Q$74,2,FALSE), IF(AND(V88=1, OR('Sys Admin Calculation'!X74=1, 'Sys Admin Calculation Y2'!V86=1)), 0, IF(U25&lt;&gt;"Active", 0, W25*X25)))</f>
        <v>0</v>
      </c>
      <c r="Z25" s="65">
        <f t="shared" si="7"/>
        <v>0</v>
      </c>
      <c r="AA25" s="65">
        <f t="shared" si="8"/>
        <v>0</v>
      </c>
      <c r="AB25" s="65">
        <f t="shared" si="9"/>
        <v>0</v>
      </c>
      <c r="AC25" s="576">
        <f t="shared" si="5"/>
        <v>0</v>
      </c>
      <c r="AD25" s="65">
        <f t="shared" si="10"/>
        <v>0</v>
      </c>
      <c r="AE25" s="577">
        <f t="shared" si="6"/>
        <v>0</v>
      </c>
    </row>
    <row r="26" spans="1:89" ht="14.65" thickBot="1">
      <c r="A26" s="587" t="str">
        <f>Inputs!A35</f>
        <v>New Project 5</v>
      </c>
      <c r="B26" s="79">
        <f>Inputs!B35</f>
        <v>12</v>
      </c>
      <c r="C26" s="65" t="str">
        <f>'Sys Admin'!F47</f>
        <v>Low</v>
      </c>
      <c r="D26" s="65" t="str">
        <f>'Sys Admin'!O47</f>
        <v>Prospective</v>
      </c>
      <c r="E26" s="574">
        <f>'Sys Admin Calculation Y2'!E26</f>
        <v>0</v>
      </c>
      <c r="F26" s="570">
        <f>'Sys Admin Calculation Y2'!Z26*(1+('Sys Admin'!$U$21/100))</f>
        <v>0</v>
      </c>
      <c r="G26" s="570">
        <f>'Sys Admin Calculation Y2'!AA26*(1+('Sys Admin'!$U$21/100))</f>
        <v>0</v>
      </c>
      <c r="H26" s="506"/>
      <c r="I26" s="506"/>
      <c r="J26" s="506"/>
      <c r="K26" s="506"/>
      <c r="L26" s="506"/>
      <c r="M26" s="506"/>
      <c r="N26" s="506"/>
      <c r="O26" s="506"/>
      <c r="P26" s="506"/>
      <c r="Q26" s="506"/>
      <c r="R26" s="506"/>
      <c r="S26" s="506"/>
      <c r="T26" s="575" t="str">
        <f>'Sys Admin'!S47</f>
        <v>None</v>
      </c>
      <c r="U26" s="575" t="str">
        <f>'Sys Admin'!U47</f>
        <v>Prospective</v>
      </c>
      <c r="V26" s="575">
        <f>'Sys Admin'!W47</f>
        <v>0</v>
      </c>
      <c r="W26" s="576">
        <f>IF(AND(V89=1,'Sys Admin Calculation'!X75=0, 'Sys Admin Calculation Y2'!V87=0), VLOOKUP(U26&amp;T26,$N$48:$Q$65,4,FALSE), VLOOKUP(U26&amp;T26,$N$66:$Q$70,4,FALSE))</f>
        <v>0</v>
      </c>
      <c r="X26" s="563">
        <f t="shared" si="1"/>
        <v>0</v>
      </c>
      <c r="Y26" s="575">
        <f>IF(AND(V89=1,'Sys Admin Calculation'!X75=0, 'Sys Admin Calculation Y2'!V87=0),  VLOOKUP(T26,$P$71:$Q$74,2,FALSE), IF(AND(V89=1, OR('Sys Admin Calculation'!X75=1, 'Sys Admin Calculation Y2'!V87=1)), 0, IF(U26&lt;&gt;"Active", 0, W26*X26)))</f>
        <v>0</v>
      </c>
      <c r="Z26" s="65">
        <f t="shared" si="7"/>
        <v>0</v>
      </c>
      <c r="AA26" s="65">
        <f t="shared" si="8"/>
        <v>0</v>
      </c>
      <c r="AB26" s="65">
        <f t="shared" si="9"/>
        <v>0</v>
      </c>
      <c r="AC26" s="576">
        <f t="shared" si="5"/>
        <v>0</v>
      </c>
      <c r="AD26" s="65">
        <f t="shared" si="10"/>
        <v>0</v>
      </c>
      <c r="AE26" s="577">
        <f t="shared" si="6"/>
        <v>0</v>
      </c>
    </row>
    <row r="27" spans="1:89" ht="14.65" thickBot="1">
      <c r="A27" s="587" t="str">
        <f>Inputs!A36</f>
        <v>New Project 6</v>
      </c>
      <c r="B27" s="79">
        <f>Inputs!B36</f>
        <v>12</v>
      </c>
      <c r="C27" s="65" t="str">
        <f>'Sys Admin'!F48</f>
        <v>Low</v>
      </c>
      <c r="D27" s="65" t="str">
        <f>'Sys Admin'!O48</f>
        <v>Prospective</v>
      </c>
      <c r="E27" s="574">
        <f>'Sys Admin Calculation Y2'!E27</f>
        <v>0</v>
      </c>
      <c r="F27" s="570">
        <f>'Sys Admin Calculation Y2'!Z27*(1+('Sys Admin'!$U$21/100))</f>
        <v>0</v>
      </c>
      <c r="G27" s="570">
        <f>'Sys Admin Calculation Y2'!AA27*(1+('Sys Admin'!$U$21/100))</f>
        <v>0</v>
      </c>
      <c r="H27" s="506"/>
      <c r="I27" s="506"/>
      <c r="J27" s="506"/>
      <c r="K27" s="506"/>
      <c r="L27" s="506"/>
      <c r="M27" s="506"/>
      <c r="N27" s="506"/>
      <c r="O27" s="506"/>
      <c r="P27" s="506"/>
      <c r="Q27" s="506"/>
      <c r="R27" s="506"/>
      <c r="S27" s="506"/>
      <c r="T27" s="575" t="str">
        <f>'Sys Admin'!S48</f>
        <v>None</v>
      </c>
      <c r="U27" s="575" t="str">
        <f>'Sys Admin'!U48</f>
        <v>Prospective</v>
      </c>
      <c r="V27" s="575">
        <f>'Sys Admin'!W48</f>
        <v>0</v>
      </c>
      <c r="W27" s="576">
        <f>IF(AND(V90=1,'Sys Admin Calculation'!X76=0, 'Sys Admin Calculation Y2'!V88=0), VLOOKUP(U27&amp;T27,$N$48:$Q$65,4,FALSE), VLOOKUP(U27&amp;T27,$N$66:$Q$70,4,FALSE))</f>
        <v>0</v>
      </c>
      <c r="X27" s="563">
        <f t="shared" si="1"/>
        <v>0</v>
      </c>
      <c r="Y27" s="575">
        <f>IF(AND(V90=1,'Sys Admin Calculation'!X76=0, 'Sys Admin Calculation Y2'!V88=0),  VLOOKUP(T27,$P$71:$Q$74,2,FALSE), IF(AND(V90=1, OR('Sys Admin Calculation'!X76=1, 'Sys Admin Calculation Y2'!V88=1)), 0, IF(U27&lt;&gt;"Active", 0, W27*X27)))</f>
        <v>0</v>
      </c>
      <c r="Z27" s="65">
        <f t="shared" si="7"/>
        <v>0</v>
      </c>
      <c r="AA27" s="65">
        <f t="shared" si="8"/>
        <v>0</v>
      </c>
      <c r="AB27" s="65">
        <f t="shared" si="9"/>
        <v>0</v>
      </c>
      <c r="AC27" s="576">
        <f t="shared" si="5"/>
        <v>0</v>
      </c>
      <c r="AD27" s="65">
        <f t="shared" si="10"/>
        <v>0</v>
      </c>
      <c r="AE27" s="577">
        <f t="shared" si="6"/>
        <v>0</v>
      </c>
    </row>
    <row r="28" spans="1:89" ht="14.65" thickBot="1">
      <c r="A28" s="587" t="str">
        <f>Inputs!A37</f>
        <v>New Project 7</v>
      </c>
      <c r="B28" s="79">
        <f>Inputs!B37</f>
        <v>12</v>
      </c>
      <c r="C28" s="65" t="str">
        <f>'Sys Admin'!F49</f>
        <v>Low</v>
      </c>
      <c r="D28" s="65" t="str">
        <f>'Sys Admin'!O49</f>
        <v>Prospective</v>
      </c>
      <c r="E28" s="574">
        <f>'Sys Admin Calculation Y2'!E28</f>
        <v>0</v>
      </c>
      <c r="F28" s="570">
        <f>'Sys Admin Calculation Y2'!Z28*(1+('Sys Admin'!$U$21/100))</f>
        <v>0</v>
      </c>
      <c r="G28" s="570">
        <f>'Sys Admin Calculation Y2'!AA28*(1+('Sys Admin'!$U$21/100))</f>
        <v>0</v>
      </c>
      <c r="H28" s="506"/>
      <c r="I28" s="506"/>
      <c r="J28" s="506"/>
      <c r="K28" s="506"/>
      <c r="L28" s="506"/>
      <c r="M28" s="506"/>
      <c r="N28" s="506"/>
      <c r="O28" s="506"/>
      <c r="P28" s="506"/>
      <c r="Q28" s="506"/>
      <c r="R28" s="506"/>
      <c r="S28" s="506"/>
      <c r="T28" s="575" t="str">
        <f>'Sys Admin'!S49</f>
        <v>None</v>
      </c>
      <c r="U28" s="575" t="str">
        <f>'Sys Admin'!U49</f>
        <v>Prospective</v>
      </c>
      <c r="V28" s="575">
        <f>'Sys Admin'!W49</f>
        <v>0</v>
      </c>
      <c r="W28" s="576">
        <f>IF(AND(V91=1,'Sys Admin Calculation'!X77=0, 'Sys Admin Calculation Y2'!V89=0), VLOOKUP(U28&amp;T28,$N$48:$Q$65,4,FALSE), VLOOKUP(U28&amp;T28,$N$66:$Q$70,4,FALSE))</f>
        <v>0</v>
      </c>
      <c r="X28" s="563">
        <f t="shared" si="1"/>
        <v>0</v>
      </c>
      <c r="Y28" s="575">
        <f>IF(AND(V91=1,'Sys Admin Calculation'!X77=0, 'Sys Admin Calculation Y2'!V89=0),  VLOOKUP(T28,$P$71:$Q$74,2,FALSE), IF(AND(V91=1, OR('Sys Admin Calculation'!X77=1, 'Sys Admin Calculation Y2'!V89=1)), 0, IF(U28&lt;&gt;"Active", 0, W28*X28)))</f>
        <v>0</v>
      </c>
      <c r="Z28" s="65">
        <f t="shared" si="7"/>
        <v>0</v>
      </c>
      <c r="AA28" s="65">
        <f t="shared" si="8"/>
        <v>0</v>
      </c>
      <c r="AB28" s="65">
        <f t="shared" si="9"/>
        <v>0</v>
      </c>
      <c r="AC28" s="576">
        <f t="shared" si="5"/>
        <v>0</v>
      </c>
      <c r="AD28" s="65">
        <f t="shared" si="10"/>
        <v>0</v>
      </c>
      <c r="AE28" s="577">
        <f t="shared" si="6"/>
        <v>0</v>
      </c>
    </row>
    <row r="29" spans="1:89" ht="14.65" thickBot="1">
      <c r="A29" s="587" t="str">
        <f>Inputs!A38</f>
        <v>New Project 8</v>
      </c>
      <c r="B29" s="79">
        <f>Inputs!B38</f>
        <v>12</v>
      </c>
      <c r="C29" s="65" t="str">
        <f>'Sys Admin'!F50</f>
        <v>Low</v>
      </c>
      <c r="D29" s="65" t="str">
        <f>'Sys Admin'!O50</f>
        <v>Prospective</v>
      </c>
      <c r="E29" s="574">
        <f>'Sys Admin Calculation Y2'!E29</f>
        <v>0</v>
      </c>
      <c r="F29" s="570">
        <f>'Sys Admin Calculation Y2'!Z29*(1+('Sys Admin'!$U$21/100))</f>
        <v>0</v>
      </c>
      <c r="G29" s="570">
        <f>'Sys Admin Calculation Y2'!AA29*(1+('Sys Admin'!$U$21/100))</f>
        <v>0</v>
      </c>
      <c r="H29" s="506"/>
      <c r="I29" s="506"/>
      <c r="J29" s="506"/>
      <c r="K29" s="506"/>
      <c r="L29" s="506"/>
      <c r="M29" s="506"/>
      <c r="N29" s="506"/>
      <c r="O29" s="506"/>
      <c r="P29" s="506"/>
      <c r="Q29" s="506"/>
      <c r="R29" s="506"/>
      <c r="S29" s="506"/>
      <c r="T29" s="575" t="str">
        <f>'Sys Admin'!S50</f>
        <v>None</v>
      </c>
      <c r="U29" s="575" t="str">
        <f>'Sys Admin'!U50</f>
        <v>Prospective</v>
      </c>
      <c r="V29" s="575">
        <f>'Sys Admin'!W50</f>
        <v>0</v>
      </c>
      <c r="W29" s="576">
        <f>IF(AND(V92=1,'Sys Admin Calculation'!X78=0, 'Sys Admin Calculation Y2'!V90=0), VLOOKUP(U29&amp;T29,$N$48:$Q$65,4,FALSE), VLOOKUP(U29&amp;T29,$N$66:$Q$70,4,FALSE))</f>
        <v>0</v>
      </c>
      <c r="X29" s="563">
        <f t="shared" si="1"/>
        <v>0</v>
      </c>
      <c r="Y29" s="575">
        <f>IF(AND(V92=1,'Sys Admin Calculation'!X78=0, 'Sys Admin Calculation Y2'!V90=0),  VLOOKUP(T29,$P$71:$Q$74,2,FALSE), IF(AND(V92=1, OR('Sys Admin Calculation'!X78=1, 'Sys Admin Calculation Y2'!V90=1)), 0, IF(U29&lt;&gt;"Active", 0, W29*X29)))</f>
        <v>0</v>
      </c>
      <c r="Z29" s="65">
        <f t="shared" si="7"/>
        <v>0</v>
      </c>
      <c r="AA29" s="65">
        <f t="shared" si="8"/>
        <v>0</v>
      </c>
      <c r="AB29" s="65">
        <f t="shared" si="9"/>
        <v>0</v>
      </c>
      <c r="AC29" s="576">
        <f t="shared" si="5"/>
        <v>0</v>
      </c>
      <c r="AD29" s="65">
        <f t="shared" si="10"/>
        <v>0</v>
      </c>
      <c r="AE29" s="577">
        <f t="shared" si="6"/>
        <v>0</v>
      </c>
    </row>
    <row r="30" spans="1:89" ht="14.65" thickBot="1">
      <c r="A30" s="587" t="str">
        <f>Inputs!A39</f>
        <v>New Project 9</v>
      </c>
      <c r="B30" s="79">
        <f>Inputs!B39</f>
        <v>12</v>
      </c>
      <c r="C30" s="65" t="str">
        <f>'Sys Admin'!F51</f>
        <v>Low</v>
      </c>
      <c r="D30" s="65" t="str">
        <f>'Sys Admin'!O51</f>
        <v>Prospective</v>
      </c>
      <c r="E30" s="574">
        <f>'Sys Admin Calculation Y2'!E30</f>
        <v>0</v>
      </c>
      <c r="F30" s="570">
        <f>'Sys Admin Calculation Y2'!Z30*(1+('Sys Admin'!$U$21/100))</f>
        <v>0</v>
      </c>
      <c r="G30" s="570">
        <f>'Sys Admin Calculation Y2'!AA30*(1+('Sys Admin'!$U$21/100))</f>
        <v>0</v>
      </c>
      <c r="H30" s="506"/>
      <c r="I30" s="506"/>
      <c r="J30" s="506"/>
      <c r="K30" s="506"/>
      <c r="L30" s="506"/>
      <c r="M30" s="506"/>
      <c r="N30" s="506"/>
      <c r="O30" s="506"/>
      <c r="P30" s="506"/>
      <c r="Q30" s="506"/>
      <c r="R30" s="506"/>
      <c r="S30" s="506"/>
      <c r="T30" s="575" t="str">
        <f>'Sys Admin'!S51</f>
        <v>None</v>
      </c>
      <c r="U30" s="575" t="str">
        <f>'Sys Admin'!U51</f>
        <v>Prospective</v>
      </c>
      <c r="V30" s="575">
        <f>'Sys Admin'!W51</f>
        <v>0</v>
      </c>
      <c r="W30" s="576">
        <f>IF(AND(V93=1,'Sys Admin Calculation'!X79=0, 'Sys Admin Calculation Y2'!V91=0), VLOOKUP(U30&amp;T30,$N$48:$Q$65,4,FALSE), VLOOKUP(U30&amp;T30,$N$66:$Q$70,4,FALSE))</f>
        <v>0</v>
      </c>
      <c r="X30" s="563">
        <f t="shared" si="1"/>
        <v>0</v>
      </c>
      <c r="Y30" s="575">
        <f>IF(AND(V93=1,'Sys Admin Calculation'!X79=0, 'Sys Admin Calculation Y2'!V91=0),  VLOOKUP(T30,$P$71:$Q$74,2,FALSE), IF(AND(V93=1, OR('Sys Admin Calculation'!X79=1, 'Sys Admin Calculation Y2'!V91=1)), 0, IF(U30&lt;&gt;"Active", 0, W30*X30)))</f>
        <v>0</v>
      </c>
      <c r="Z30" s="65">
        <f t="shared" si="7"/>
        <v>0</v>
      </c>
      <c r="AA30" s="65">
        <f t="shared" si="8"/>
        <v>0</v>
      </c>
      <c r="AB30" s="65">
        <f t="shared" si="9"/>
        <v>0</v>
      </c>
      <c r="AC30" s="576">
        <f t="shared" si="5"/>
        <v>0</v>
      </c>
      <c r="AD30" s="65">
        <f t="shared" si="10"/>
        <v>0</v>
      </c>
      <c r="AE30" s="577">
        <f t="shared" si="6"/>
        <v>0</v>
      </c>
    </row>
    <row r="31" spans="1:89" ht="14.65" thickBot="1">
      <c r="A31" s="587" t="str">
        <f>Inputs!A40</f>
        <v>New Project 10</v>
      </c>
      <c r="B31" s="79">
        <f>Inputs!B40</f>
        <v>12</v>
      </c>
      <c r="C31" s="65" t="str">
        <f>'Sys Admin'!F52</f>
        <v>Low</v>
      </c>
      <c r="D31" s="65" t="str">
        <f>'Sys Admin'!O52</f>
        <v>Prospective</v>
      </c>
      <c r="E31" s="574">
        <f>'Sys Admin Calculation Y2'!E31</f>
        <v>0</v>
      </c>
      <c r="F31" s="570">
        <f>'Sys Admin Calculation Y2'!Z31*(1+('Sys Admin'!$U$21/100))</f>
        <v>0</v>
      </c>
      <c r="G31" s="570">
        <f>'Sys Admin Calculation Y2'!AA31*(1+('Sys Admin'!$U$21/100))</f>
        <v>0</v>
      </c>
      <c r="H31" s="506"/>
      <c r="I31" s="506"/>
      <c r="J31" s="506"/>
      <c r="K31" s="506"/>
      <c r="L31" s="506"/>
      <c r="M31" s="506"/>
      <c r="N31" s="506"/>
      <c r="O31" s="506"/>
      <c r="P31" s="506"/>
      <c r="Q31" s="506"/>
      <c r="R31" s="506"/>
      <c r="S31" s="506"/>
      <c r="T31" s="575" t="str">
        <f>'Sys Admin'!S52</f>
        <v>None</v>
      </c>
      <c r="U31" s="575" t="str">
        <f>'Sys Admin'!U52</f>
        <v>Prospective</v>
      </c>
      <c r="V31" s="575">
        <f>'Sys Admin'!W52</f>
        <v>0</v>
      </c>
      <c r="W31" s="576">
        <f>IF(AND(V94=1,'Sys Admin Calculation'!X80=0, 'Sys Admin Calculation Y2'!V92=0), VLOOKUP(U31&amp;T31,$N$48:$Q$65,4,FALSE), VLOOKUP(U31&amp;T31,$N$66:$Q$70,4,FALSE))</f>
        <v>0</v>
      </c>
      <c r="X31" s="563">
        <f t="shared" si="1"/>
        <v>0</v>
      </c>
      <c r="Y31" s="575">
        <f>IF(AND(V94=1,'Sys Admin Calculation'!X80=0, 'Sys Admin Calculation Y2'!V92=0),  VLOOKUP(T31,$P$71:$Q$74,2,FALSE), IF(AND(V94=1, OR('Sys Admin Calculation'!X80=1, 'Sys Admin Calculation Y2'!V92=1)), 0, IF(U31&lt;&gt;"Active", 0, W31*X31)))</f>
        <v>0</v>
      </c>
      <c r="Z31" s="65">
        <f t="shared" si="7"/>
        <v>0</v>
      </c>
      <c r="AA31" s="65">
        <f t="shared" si="8"/>
        <v>0</v>
      </c>
      <c r="AB31" s="65">
        <f t="shared" si="9"/>
        <v>0</v>
      </c>
      <c r="AC31" s="576">
        <f t="shared" si="5"/>
        <v>0</v>
      </c>
      <c r="AD31" s="65">
        <f t="shared" si="10"/>
        <v>0</v>
      </c>
      <c r="AE31" s="577">
        <f t="shared" si="6"/>
        <v>0</v>
      </c>
    </row>
    <row r="32" spans="1:89" ht="14.65" thickBot="1">
      <c r="A32" s="587" t="str">
        <f>Inputs!A41</f>
        <v>New Project 11</v>
      </c>
      <c r="B32" s="79">
        <f>Inputs!B41</f>
        <v>12</v>
      </c>
      <c r="C32" s="65" t="str">
        <f>'Sys Admin'!F53</f>
        <v>Low</v>
      </c>
      <c r="D32" s="65" t="str">
        <f>'Sys Admin'!O53</f>
        <v>Prospective</v>
      </c>
      <c r="E32" s="574">
        <f>'Sys Admin Calculation Y2'!E32</f>
        <v>0</v>
      </c>
      <c r="F32" s="570">
        <f>'Sys Admin Calculation Y2'!Z32*(1+('Sys Admin'!$U$21/100))</f>
        <v>0</v>
      </c>
      <c r="G32" s="570">
        <f>'Sys Admin Calculation Y2'!AA32*(1+('Sys Admin'!$U$21/100))</f>
        <v>0</v>
      </c>
      <c r="H32" s="506"/>
      <c r="I32" s="506"/>
      <c r="J32" s="506"/>
      <c r="K32" s="506"/>
      <c r="L32" s="506"/>
      <c r="M32" s="506"/>
      <c r="N32" s="506"/>
      <c r="O32" s="506"/>
      <c r="P32" s="506"/>
      <c r="Q32" s="506"/>
      <c r="R32" s="506"/>
      <c r="S32" s="506"/>
      <c r="T32" s="575" t="str">
        <f>'Sys Admin'!S53</f>
        <v>None</v>
      </c>
      <c r="U32" s="575" t="str">
        <f>'Sys Admin'!U53</f>
        <v>Prospective</v>
      </c>
      <c r="V32" s="575">
        <f>'Sys Admin'!W53</f>
        <v>0</v>
      </c>
      <c r="W32" s="576">
        <f>IF(AND(V95=1,'Sys Admin Calculation'!X81=0, 'Sys Admin Calculation Y2'!V93=0), VLOOKUP(U32&amp;T32,$N$48:$Q$65,4,FALSE), VLOOKUP(U32&amp;T32,$N$66:$Q$70,4,FALSE))</f>
        <v>0</v>
      </c>
      <c r="X32" s="563">
        <f t="shared" si="1"/>
        <v>0</v>
      </c>
      <c r="Y32" s="575">
        <f>IF(AND(V95=1,'Sys Admin Calculation'!X81=0, 'Sys Admin Calculation Y2'!V93=0),  VLOOKUP(T32,$P$71:$Q$74,2,FALSE), IF(AND(V95=1, OR('Sys Admin Calculation'!X81=1, 'Sys Admin Calculation Y2'!V93=1)), 0, IF(U32&lt;&gt;"Active", 0, W32*X32)))</f>
        <v>0</v>
      </c>
      <c r="Z32" s="65">
        <f t="shared" si="7"/>
        <v>0</v>
      </c>
      <c r="AA32" s="65">
        <f t="shared" si="8"/>
        <v>0</v>
      </c>
      <c r="AB32" s="65">
        <f t="shared" si="9"/>
        <v>0</v>
      </c>
      <c r="AC32" s="576">
        <f t="shared" si="5"/>
        <v>0</v>
      </c>
      <c r="AD32" s="65">
        <f t="shared" si="10"/>
        <v>0</v>
      </c>
      <c r="AE32" s="577">
        <f t="shared" si="6"/>
        <v>0</v>
      </c>
    </row>
    <row r="33" spans="1:31" ht="14.65" thickBot="1">
      <c r="A33" s="587" t="str">
        <f>Inputs!A42</f>
        <v>New Project 12</v>
      </c>
      <c r="B33" s="79">
        <f>Inputs!B42</f>
        <v>12</v>
      </c>
      <c r="C33" s="65" t="str">
        <f>'Sys Admin'!F54</f>
        <v>Low</v>
      </c>
      <c r="D33" s="65" t="str">
        <f>'Sys Admin'!O54</f>
        <v>Prospective</v>
      </c>
      <c r="E33" s="574">
        <f>'Sys Admin Calculation Y2'!E33</f>
        <v>0</v>
      </c>
      <c r="F33" s="570">
        <f>'Sys Admin Calculation Y2'!Z33*(1+('Sys Admin'!$U$21/100))</f>
        <v>0</v>
      </c>
      <c r="G33" s="570">
        <f>'Sys Admin Calculation Y2'!AA33*(1+('Sys Admin'!$U$21/100))</f>
        <v>0</v>
      </c>
      <c r="H33" s="506"/>
      <c r="I33" s="506"/>
      <c r="J33" s="506"/>
      <c r="K33" s="506"/>
      <c r="L33" s="506"/>
      <c r="M33" s="506"/>
      <c r="N33" s="506"/>
      <c r="O33" s="506"/>
      <c r="P33" s="506"/>
      <c r="Q33" s="506"/>
      <c r="R33" s="506"/>
      <c r="S33" s="506"/>
      <c r="T33" s="575" t="str">
        <f>'Sys Admin'!S54</f>
        <v>None</v>
      </c>
      <c r="U33" s="575" t="str">
        <f>'Sys Admin'!U54</f>
        <v>Prospective</v>
      </c>
      <c r="V33" s="575">
        <f>'Sys Admin'!W54</f>
        <v>0</v>
      </c>
      <c r="W33" s="576">
        <f>IF(AND(V96=1,'Sys Admin Calculation'!X82=0, 'Sys Admin Calculation Y2'!V94=0), VLOOKUP(U33&amp;T33,$N$48:$Q$65,4,FALSE), VLOOKUP(U33&amp;T33,$N$66:$Q$70,4,FALSE))</f>
        <v>0</v>
      </c>
      <c r="X33" s="563">
        <f t="shared" si="1"/>
        <v>0</v>
      </c>
      <c r="Y33" s="575">
        <f>IF(AND(V96=1,'Sys Admin Calculation'!X82=0, 'Sys Admin Calculation Y2'!V94=0),  VLOOKUP(T33,$P$71:$Q$74,2,FALSE), IF(AND(V96=1, OR('Sys Admin Calculation'!X82=1, 'Sys Admin Calculation Y2'!V94=1)), 0, IF(U33&lt;&gt;"Active", 0, W33*X33)))</f>
        <v>0</v>
      </c>
      <c r="Z33" s="65">
        <f t="shared" si="7"/>
        <v>0</v>
      </c>
      <c r="AA33" s="65">
        <f t="shared" si="8"/>
        <v>0</v>
      </c>
      <c r="AB33" s="65">
        <f t="shared" si="9"/>
        <v>0</v>
      </c>
      <c r="AC33" s="576">
        <f t="shared" si="5"/>
        <v>0</v>
      </c>
      <c r="AD33" s="65">
        <f t="shared" si="10"/>
        <v>0</v>
      </c>
      <c r="AE33" s="577">
        <f t="shared" si="6"/>
        <v>0</v>
      </c>
    </row>
    <row r="34" spans="1:31" ht="14.65" thickBot="1">
      <c r="A34" s="587" t="str">
        <f>Inputs!A43</f>
        <v>New Project 13</v>
      </c>
      <c r="B34" s="79">
        <f>Inputs!B43</f>
        <v>12</v>
      </c>
      <c r="C34" s="65" t="str">
        <f>'Sys Admin'!F55</f>
        <v>Low</v>
      </c>
      <c r="D34" s="65" t="str">
        <f>'Sys Admin'!O55</f>
        <v>Prospective</v>
      </c>
      <c r="E34" s="574">
        <f>'Sys Admin Calculation Y2'!E34</f>
        <v>0</v>
      </c>
      <c r="F34" s="570">
        <f>'Sys Admin Calculation Y2'!Z34*(1+('Sys Admin'!$U$21/100))</f>
        <v>0</v>
      </c>
      <c r="G34" s="570">
        <f>'Sys Admin Calculation Y2'!AA34*(1+('Sys Admin'!$U$21/100))</f>
        <v>0</v>
      </c>
      <c r="H34" s="506"/>
      <c r="I34" s="506"/>
      <c r="J34" s="506"/>
      <c r="K34" s="506"/>
      <c r="L34" s="506"/>
      <c r="M34" s="506"/>
      <c r="N34" s="506"/>
      <c r="O34" s="506"/>
      <c r="P34" s="506"/>
      <c r="Q34" s="506"/>
      <c r="R34" s="506"/>
      <c r="S34" s="506"/>
      <c r="T34" s="575" t="str">
        <f>'Sys Admin'!S55</f>
        <v>None</v>
      </c>
      <c r="U34" s="575" t="str">
        <f>'Sys Admin'!U55</f>
        <v>Prospective</v>
      </c>
      <c r="V34" s="575">
        <f>'Sys Admin'!W55</f>
        <v>0</v>
      </c>
      <c r="W34" s="576">
        <f>IF(AND(V97=1,'Sys Admin Calculation'!X83=0, 'Sys Admin Calculation Y2'!V95=0), VLOOKUP(U34&amp;T34,$N$48:$Q$65,4,FALSE), VLOOKUP(U34&amp;T34,$N$66:$Q$70,4,FALSE))</f>
        <v>0</v>
      </c>
      <c r="X34" s="563">
        <f t="shared" si="1"/>
        <v>0</v>
      </c>
      <c r="Y34" s="575">
        <f>IF(AND(V97=1,'Sys Admin Calculation'!X83=0, 'Sys Admin Calculation Y2'!V95=0),  VLOOKUP(T34,$P$71:$Q$74,2,FALSE), IF(AND(V97=1, OR('Sys Admin Calculation'!X83=1, 'Sys Admin Calculation Y2'!V95=1)), 0, IF(U34&lt;&gt;"Active", 0, W34*X34)))</f>
        <v>0</v>
      </c>
      <c r="Z34" s="65">
        <f t="shared" si="7"/>
        <v>0</v>
      </c>
      <c r="AA34" s="65">
        <f t="shared" si="8"/>
        <v>0</v>
      </c>
      <c r="AB34" s="65">
        <f t="shared" si="9"/>
        <v>0</v>
      </c>
      <c r="AC34" s="576">
        <f t="shared" si="5"/>
        <v>0</v>
      </c>
      <c r="AD34" s="65">
        <f t="shared" si="10"/>
        <v>0</v>
      </c>
      <c r="AE34" s="577">
        <f t="shared" si="6"/>
        <v>0</v>
      </c>
    </row>
    <row r="35" spans="1:31" ht="14.65" thickBot="1">
      <c r="A35" s="587" t="str">
        <f>Inputs!A44</f>
        <v>New Project 14</v>
      </c>
      <c r="B35" s="79">
        <f>Inputs!B44</f>
        <v>12</v>
      </c>
      <c r="C35" s="65" t="str">
        <f>'Sys Admin'!F56</f>
        <v>Low</v>
      </c>
      <c r="D35" s="65" t="str">
        <f>'Sys Admin'!O56</f>
        <v>Prospective</v>
      </c>
      <c r="E35" s="574">
        <f>'Sys Admin Calculation Y2'!E35</f>
        <v>0</v>
      </c>
      <c r="F35" s="570">
        <f>'Sys Admin Calculation Y2'!Z35*(1+('Sys Admin'!$U$21/100))</f>
        <v>0</v>
      </c>
      <c r="G35" s="570">
        <f>'Sys Admin Calculation Y2'!AA35*(1+('Sys Admin'!$U$21/100))</f>
        <v>0</v>
      </c>
      <c r="H35" s="506"/>
      <c r="I35" s="506"/>
      <c r="J35" s="506"/>
      <c r="K35" s="506"/>
      <c r="L35" s="506"/>
      <c r="M35" s="506"/>
      <c r="N35" s="506"/>
      <c r="O35" s="506"/>
      <c r="P35" s="506"/>
      <c r="Q35" s="506"/>
      <c r="R35" s="506"/>
      <c r="S35" s="506"/>
      <c r="T35" s="575" t="str">
        <f>'Sys Admin'!S56</f>
        <v>None</v>
      </c>
      <c r="U35" s="575" t="str">
        <f>'Sys Admin'!U56</f>
        <v>Prospective</v>
      </c>
      <c r="V35" s="575">
        <f>'Sys Admin'!W56</f>
        <v>0</v>
      </c>
      <c r="W35" s="576">
        <f>IF(AND(V98=1,'Sys Admin Calculation'!X84=0, 'Sys Admin Calculation Y2'!V96=0), VLOOKUP(U35&amp;T35,$N$48:$Q$65,4,FALSE), VLOOKUP(U35&amp;T35,$N$66:$Q$70,4,FALSE))</f>
        <v>0</v>
      </c>
      <c r="X35" s="563">
        <f t="shared" si="1"/>
        <v>0</v>
      </c>
      <c r="Y35" s="575">
        <f>IF(AND(V98=1,'Sys Admin Calculation'!X84=0, 'Sys Admin Calculation Y2'!V96=0),  VLOOKUP(T35,$P$71:$Q$74,2,FALSE), IF(AND(V98=1, OR('Sys Admin Calculation'!X84=1, 'Sys Admin Calculation Y2'!V96=1)), 0, IF(U35&lt;&gt;"Active", 0, W35*X35)))</f>
        <v>0</v>
      </c>
      <c r="Z35" s="65">
        <f t="shared" si="7"/>
        <v>0</v>
      </c>
      <c r="AA35" s="65">
        <f t="shared" si="8"/>
        <v>0</v>
      </c>
      <c r="AB35" s="65">
        <f t="shared" si="9"/>
        <v>0</v>
      </c>
      <c r="AC35" s="576">
        <f t="shared" si="5"/>
        <v>0</v>
      </c>
      <c r="AD35" s="65">
        <f t="shared" si="10"/>
        <v>0</v>
      </c>
      <c r="AE35" s="577">
        <f t="shared" si="6"/>
        <v>0</v>
      </c>
    </row>
    <row r="36" spans="1:31" ht="14.65" thickBot="1">
      <c r="A36" s="546" t="str">
        <f>Inputs!A45</f>
        <v>New Project 15</v>
      </c>
      <c r="B36" s="578">
        <f>Inputs!B45</f>
        <v>12</v>
      </c>
      <c r="C36" s="547" t="str">
        <f>'Sys Admin'!F57</f>
        <v>Low</v>
      </c>
      <c r="D36" s="547" t="str">
        <f>'Sys Admin'!O57</f>
        <v>Prospective</v>
      </c>
      <c r="E36" s="579">
        <f>'Sys Admin Calculation Y2'!E36</f>
        <v>0</v>
      </c>
      <c r="F36" s="570">
        <f>'Sys Admin Calculation Y2'!Z36*(1+('Sys Admin'!$U$21/100))</f>
        <v>0</v>
      </c>
      <c r="G36" s="570">
        <f>'Sys Admin Calculation Y2'!AA36*(1+('Sys Admin'!$U$21/100))</f>
        <v>0</v>
      </c>
      <c r="H36" s="565"/>
      <c r="I36" s="565"/>
      <c r="J36" s="565"/>
      <c r="K36" s="565"/>
      <c r="L36" s="565"/>
      <c r="M36" s="565"/>
      <c r="N36" s="565"/>
      <c r="O36" s="565"/>
      <c r="P36" s="565"/>
      <c r="Q36" s="565"/>
      <c r="R36" s="565"/>
      <c r="S36" s="565"/>
      <c r="T36" s="580" t="str">
        <f>'Sys Admin'!S57</f>
        <v>None</v>
      </c>
      <c r="U36" s="580" t="str">
        <f>'Sys Admin'!U57</f>
        <v>Prospective</v>
      </c>
      <c r="V36" s="580">
        <f>'Sys Admin'!W57</f>
        <v>0</v>
      </c>
      <c r="W36" s="581">
        <f>IF(AND(V99=1,'Sys Admin Calculation'!X85=0, 'Sys Admin Calculation Y2'!V97=0), VLOOKUP(U36&amp;T36,$N$48:$Q$65,4,FALSE), VLOOKUP(U36&amp;T36,$N$66:$Q$70,4,FALSE))</f>
        <v>0</v>
      </c>
      <c r="X36" s="563">
        <f t="shared" si="1"/>
        <v>0</v>
      </c>
      <c r="Y36" s="580">
        <f>IF(AND(V99=1,'Sys Admin Calculation'!X85=0, 'Sys Admin Calculation Y2'!V97=0),  VLOOKUP(T36,$P$71:$Q$74,2,FALSE), IF(AND(V99=1, OR('Sys Admin Calculation'!X85=1, 'Sys Admin Calculation Y2'!V97=1)), 0, IF(U36&lt;&gt;"Active", 0, W36*X36)))</f>
        <v>0</v>
      </c>
      <c r="Z36" s="547">
        <f t="shared" si="7"/>
        <v>0</v>
      </c>
      <c r="AA36" s="547">
        <f t="shared" si="8"/>
        <v>0</v>
      </c>
      <c r="AB36" s="547">
        <f t="shared" si="9"/>
        <v>0</v>
      </c>
      <c r="AC36" s="581">
        <f t="shared" si="5"/>
        <v>0</v>
      </c>
      <c r="AD36" s="547">
        <f t="shared" si="10"/>
        <v>0</v>
      </c>
      <c r="AE36" s="582">
        <f t="shared" si="6"/>
        <v>0</v>
      </c>
    </row>
    <row r="37" spans="1:31">
      <c r="W37" s="137"/>
      <c r="Y37" s="137">
        <f t="shared" ref="Y37:AE37" si="11">SUM(Y5:Y36)</f>
        <v>0</v>
      </c>
      <c r="Z37" s="137">
        <f t="shared" si="11"/>
        <v>41926.420800000007</v>
      </c>
      <c r="AA37" s="137">
        <f>SUM(AA5:AA36)</f>
        <v>21759.460800000004</v>
      </c>
      <c r="AB37" s="137">
        <f t="shared" si="11"/>
        <v>823158.51840000006</v>
      </c>
      <c r="AC37" s="145">
        <f t="shared" si="11"/>
        <v>260000</v>
      </c>
      <c r="AD37" s="137">
        <f t="shared" si="11"/>
        <v>168768.89952000001</v>
      </c>
      <c r="AE37" s="72">
        <f t="shared" si="11"/>
        <v>1315613.2995199999</v>
      </c>
    </row>
    <row r="38" spans="1:31">
      <c r="E38" s="824" t="s">
        <v>68</v>
      </c>
      <c r="F38" s="824"/>
      <c r="G38" s="824"/>
      <c r="H38" s="824"/>
      <c r="I38" s="824"/>
    </row>
    <row r="39" spans="1:31">
      <c r="A39" t="s">
        <v>310</v>
      </c>
      <c r="B39" t="s">
        <v>301</v>
      </c>
      <c r="E39" t="str">
        <f>E4</f>
        <v>Enablement Cost</v>
      </c>
      <c r="F39" t="str">
        <f>F4</f>
        <v>Data Related Cost</v>
      </c>
      <c r="G39" t="str">
        <f>G4</f>
        <v>Analysts Cost</v>
      </c>
      <c r="H39" t="str">
        <f>H4</f>
        <v>Overhead Costs</v>
      </c>
      <c r="I39" t="str">
        <f>I4</f>
        <v>Platform Services</v>
      </c>
      <c r="J39" t="s">
        <v>340</v>
      </c>
      <c r="K39" t="s">
        <v>341</v>
      </c>
      <c r="L39" t="s">
        <v>342</v>
      </c>
      <c r="M39" t="s">
        <v>12</v>
      </c>
      <c r="N39" t="s">
        <v>185</v>
      </c>
      <c r="O39" t="s">
        <v>40</v>
      </c>
      <c r="P39" t="s">
        <v>312</v>
      </c>
      <c r="Q39" t="s">
        <v>275</v>
      </c>
      <c r="R39" t="s">
        <v>184</v>
      </c>
      <c r="S39" t="s">
        <v>198</v>
      </c>
      <c r="T39" t="s">
        <v>199</v>
      </c>
      <c r="U39" t="s">
        <v>200</v>
      </c>
      <c r="V39" t="s">
        <v>192</v>
      </c>
    </row>
    <row r="40" spans="1:31">
      <c r="A40" t="e">
        <f>'Sys Admin'!#REF!</f>
        <v>#REF!</v>
      </c>
      <c r="B40" t="e">
        <f>'Sys Admin'!#REF!</f>
        <v>#REF!</v>
      </c>
      <c r="D40" t="s">
        <v>83</v>
      </c>
      <c r="E40" s="144">
        <f>'Enablement Services '!E22</f>
        <v>18000</v>
      </c>
      <c r="F40" s="144">
        <v>0</v>
      </c>
      <c r="G40" s="144">
        <v>0</v>
      </c>
      <c r="H40" s="144">
        <f>L49</f>
        <v>1</v>
      </c>
      <c r="I40" s="144">
        <f>L56</f>
        <v>1</v>
      </c>
      <c r="J40" s="145" t="e">
        <f>B40*Q40*E40</f>
        <v>#REF!</v>
      </c>
      <c r="K40" t="e">
        <f>F40*B40*(12-A40)</f>
        <v>#REF!</v>
      </c>
      <c r="L40" t="e">
        <f>G40*B40*(12-A40)</f>
        <v>#REF!</v>
      </c>
      <c r="M40" s="72" t="e">
        <f>H40*Q40*B40</f>
        <v>#REF!</v>
      </c>
      <c r="N40" s="72" t="e">
        <f>I40*B40*Q40</f>
        <v>#REF!</v>
      </c>
      <c r="O40" s="144" t="e">
        <f>SUM(J40:N40)</f>
        <v>#REF!</v>
      </c>
      <c r="P40" s="145" t="e">
        <f>O40</f>
        <v>#REF!</v>
      </c>
      <c r="Q40">
        <v>1</v>
      </c>
      <c r="R40" t="s">
        <v>83</v>
      </c>
      <c r="S40" s="145"/>
    </row>
    <row r="41" spans="1:31">
      <c r="A41" t="e">
        <f>'Sys Admin'!#REF!</f>
        <v>#REF!</v>
      </c>
      <c r="B41" t="e">
        <f>'Sys Admin'!#REF!</f>
        <v>#REF!</v>
      </c>
      <c r="D41" t="s">
        <v>30</v>
      </c>
      <c r="E41" s="144">
        <f>'Enablement Services '!E23+'Enablement Services '!E24</f>
        <v>40000</v>
      </c>
      <c r="F41" s="144">
        <v>0</v>
      </c>
      <c r="G41" s="144">
        <v>0</v>
      </c>
      <c r="H41" s="144">
        <f>L50</f>
        <v>1</v>
      </c>
      <c r="I41" s="144">
        <f>L57</f>
        <v>1</v>
      </c>
      <c r="J41" s="145" t="e">
        <f>B41*Q41*E41</f>
        <v>#REF!</v>
      </c>
      <c r="K41" t="e">
        <f>F41*B41*(12-A41)</f>
        <v>#REF!</v>
      </c>
      <c r="L41" t="e">
        <f>G41*B41*(12-A41)</f>
        <v>#REF!</v>
      </c>
      <c r="M41" s="72" t="e">
        <f>H41*Q41*B41</f>
        <v>#REF!</v>
      </c>
      <c r="N41" s="72" t="e">
        <f>I41*B41*Q41</f>
        <v>#REF!</v>
      </c>
      <c r="O41" s="144">
        <f>E41*Q41+F41+G41+H41+I41</f>
        <v>40002</v>
      </c>
      <c r="P41" t="e">
        <f>'Sys Admin Calculation Y3'!O41*B41</f>
        <v>#REF!</v>
      </c>
      <c r="Q41">
        <v>1</v>
      </c>
      <c r="R41" t="s">
        <v>30</v>
      </c>
      <c r="S41" s="145"/>
      <c r="V41" s="146">
        <v>5000</v>
      </c>
    </row>
    <row r="42" spans="1:31">
      <c r="A42" t="e">
        <f>'Sys Admin'!#REF!</f>
        <v>#REF!</v>
      </c>
      <c r="B42" t="e">
        <f>'Sys Admin'!#REF!</f>
        <v>#REF!</v>
      </c>
      <c r="D42" t="s">
        <v>313</v>
      </c>
      <c r="E42" s="144">
        <f>'Prospective Project Calculation'!X2</f>
        <v>4600</v>
      </c>
      <c r="F42" s="144">
        <f>'Prospective Project Calculation'!S2</f>
        <v>2056.34</v>
      </c>
      <c r="G42" s="144">
        <f>'Prospective Project Calculation'!P2</f>
        <v>375.76</v>
      </c>
      <c r="H42" s="144">
        <f>$L$51</f>
        <v>6859.6543199999996</v>
      </c>
      <c r="I42" s="144">
        <f>$L$58</f>
        <v>1406.4074960000003</v>
      </c>
      <c r="J42" t="e">
        <f>E42*MIN(6,(12-A42))*B42</f>
        <v>#REF!</v>
      </c>
      <c r="K42" t="e">
        <f>(F42*(1+0.05)^(12-A42))*B42</f>
        <v>#REF!</v>
      </c>
      <c r="L42" t="e">
        <f>(G42*(1+0.05)^(12-A42))*B42</f>
        <v>#REF!</v>
      </c>
      <c r="M42" t="e">
        <f>H42*(12-A42)*B42</f>
        <v>#REF!</v>
      </c>
      <c r="N42" t="e">
        <f>I42*(12-A42)*B42</f>
        <v>#REF!</v>
      </c>
      <c r="O42" s="144" t="e">
        <f>SUM(J42:N42)</f>
        <v>#REF!</v>
      </c>
      <c r="P42" s="145" t="e">
        <f>O42</f>
        <v>#REF!</v>
      </c>
      <c r="Q42" t="e">
        <f>'Sys Admin'!#REF!</f>
        <v>#REF!</v>
      </c>
      <c r="R42" t="s">
        <v>8</v>
      </c>
      <c r="S42" s="145">
        <f>E42</f>
        <v>4600</v>
      </c>
      <c r="T42" s="145">
        <f>E43</f>
        <v>4600</v>
      </c>
      <c r="U42" s="145">
        <f>E44</f>
        <v>0</v>
      </c>
    </row>
    <row r="43" spans="1:31">
      <c r="A43" t="e">
        <f>'Sys Admin'!#REF!</f>
        <v>#REF!</v>
      </c>
      <c r="B43" t="e">
        <f>'Sys Admin'!#REF!</f>
        <v>#REF!</v>
      </c>
      <c r="D43" t="s">
        <v>314</v>
      </c>
      <c r="E43" s="144">
        <f>'Prospective Project Calculation'!W2</f>
        <v>4600</v>
      </c>
      <c r="F43" s="144">
        <f>'Prospective Project Calculation'!R2</f>
        <v>853.07416666666666</v>
      </c>
      <c r="G43" s="144">
        <f>'Prospective Project Calculation'!O2</f>
        <v>250.50666666666666</v>
      </c>
      <c r="H43" s="144">
        <f>$L$51</f>
        <v>6859.6543199999996</v>
      </c>
      <c r="I43" s="144">
        <f>$L$58</f>
        <v>1406.4074960000003</v>
      </c>
      <c r="J43" t="e">
        <f>E43*MIN(4,(12-A43))*B43</f>
        <v>#REF!</v>
      </c>
      <c r="K43" t="e">
        <f>(F43*(1+0.05)^(12-A43))*B43</f>
        <v>#REF!</v>
      </c>
      <c r="L43" t="e">
        <f>(G43*(1+0.05)^(12-A43))*B43</f>
        <v>#REF!</v>
      </c>
      <c r="M43" t="e">
        <f>H43*(12-A43)*B43</f>
        <v>#REF!</v>
      </c>
      <c r="N43" t="e">
        <f>I43*(12-A43)*B43</f>
        <v>#REF!</v>
      </c>
      <c r="O43" s="144" t="e">
        <f>SUM(J43:N43)</f>
        <v>#REF!</v>
      </c>
      <c r="P43" s="145" t="e">
        <f>O43</f>
        <v>#REF!</v>
      </c>
      <c r="Q43" t="e">
        <f>'Sys Admin'!#REF!</f>
        <v>#REF!</v>
      </c>
    </row>
    <row r="44" spans="1:31">
      <c r="A44" t="e">
        <f>'Sys Admin'!#REF!</f>
        <v>#REF!</v>
      </c>
      <c r="B44" t="e">
        <f>'Sys Admin'!#REF!</f>
        <v>#REF!</v>
      </c>
      <c r="D44" t="s">
        <v>315</v>
      </c>
      <c r="E44" s="144">
        <f>'Prospective Project Calculation'!V2</f>
        <v>0</v>
      </c>
      <c r="F44" s="144">
        <f>'Prospective Project Calculation'!Q2</f>
        <v>435.04333333333335</v>
      </c>
      <c r="G44" s="144">
        <f>'Prospective Project Calculation'!N2</f>
        <v>125.25333333333333</v>
      </c>
      <c r="H44" s="144">
        <f>$L$51</f>
        <v>6859.6543199999996</v>
      </c>
      <c r="I44" s="144">
        <f>$L$58</f>
        <v>1406.4074960000003</v>
      </c>
      <c r="J44" t="e">
        <f>E44*MIN(2,(12-A44))*B44</f>
        <v>#REF!</v>
      </c>
      <c r="K44" t="e">
        <f>(F44*(1+0.05)^(12-A44))*B44</f>
        <v>#REF!</v>
      </c>
      <c r="L44" t="e">
        <f>(G44*(1+0.05)^(12-A44))*B44</f>
        <v>#REF!</v>
      </c>
      <c r="M44" t="e">
        <f>H44*(12-A44)*B44</f>
        <v>#REF!</v>
      </c>
      <c r="N44" t="e">
        <f>I44*(12-A44)*B44</f>
        <v>#REF!</v>
      </c>
      <c r="O44" s="144" t="e">
        <f>SUM(J44:N44)</f>
        <v>#REF!</v>
      </c>
      <c r="P44" s="145" t="e">
        <f>O44</f>
        <v>#REF!</v>
      </c>
      <c r="Q44" t="e">
        <f>'Sys Admin'!#REF!</f>
        <v>#REF!</v>
      </c>
    </row>
    <row r="45" spans="1:31">
      <c r="J45" s="145" t="e">
        <f>SUM(J40:J44)</f>
        <v>#REF!</v>
      </c>
      <c r="K45" s="145" t="e">
        <f>SUM(K40:K44)</f>
        <v>#REF!</v>
      </c>
      <c r="L45" s="145" t="e">
        <f>SUM(L40:L44)</f>
        <v>#REF!</v>
      </c>
      <c r="M45" s="145" t="e">
        <f>SUM(M40:M44)</f>
        <v>#REF!</v>
      </c>
      <c r="N45" s="145" t="e">
        <f>SUM(N40:N44)</f>
        <v>#REF!</v>
      </c>
    </row>
    <row r="46" spans="1:31">
      <c r="F46" t="s">
        <v>325</v>
      </c>
      <c r="G46" t="s">
        <v>326</v>
      </c>
      <c r="H46" t="s">
        <v>230</v>
      </c>
      <c r="T46" t="s">
        <v>8</v>
      </c>
      <c r="U46" t="s">
        <v>31</v>
      </c>
      <c r="V46" t="str">
        <f>T46&amp;U46</f>
        <v>ActiveHigh</v>
      </c>
      <c r="W46">
        <v>6</v>
      </c>
      <c r="X46" s="145">
        <f>F42</f>
        <v>2056.34</v>
      </c>
      <c r="Y46" s="145">
        <f t="shared" ref="X46:Y48" si="12">G42</f>
        <v>375.76</v>
      </c>
    </row>
    <row r="47" spans="1:31" ht="14.65" thickBot="1">
      <c r="A47" s="448" t="s">
        <v>316</v>
      </c>
      <c r="B47" s="448"/>
      <c r="C47" s="448"/>
      <c r="D47" s="448" t="s">
        <v>295</v>
      </c>
      <c r="E47" s="448" t="s">
        <v>307</v>
      </c>
      <c r="F47" s="448" t="s">
        <v>40</v>
      </c>
      <c r="H47" t="s">
        <v>12</v>
      </c>
      <c r="T47" t="s">
        <v>8</v>
      </c>
      <c r="U47" t="s">
        <v>32</v>
      </c>
      <c r="V47" t="str">
        <f>T47&amp;U47</f>
        <v>ActiveMedium</v>
      </c>
      <c r="W47">
        <v>4</v>
      </c>
      <c r="X47" s="145">
        <f t="shared" si="12"/>
        <v>853.07416666666666</v>
      </c>
      <c r="Y47" s="145">
        <f t="shared" si="12"/>
        <v>250.50666666666666</v>
      </c>
    </row>
    <row r="48" spans="1:31">
      <c r="A48" s="448" t="str">
        <f>'Platform Overhead C '!A24</f>
        <v>Platform DevOps (including testing, features)</v>
      </c>
      <c r="B48" s="448"/>
      <c r="C48" s="448"/>
      <c r="D48" s="448">
        <f>'Sys Admin'!U19</f>
        <v>1.5</v>
      </c>
      <c r="E48" s="487">
        <f>D48*'Rate Sheet'!B4*'Rate Sheet'!B9</f>
        <v>36720</v>
      </c>
      <c r="F48" s="487">
        <f>E48*12</f>
        <v>440640</v>
      </c>
      <c r="H48" s="44" t="s">
        <v>66</v>
      </c>
      <c r="I48" s="45" t="s">
        <v>69</v>
      </c>
      <c r="J48" s="45" t="s">
        <v>68</v>
      </c>
      <c r="K48" s="45" t="s">
        <v>101</v>
      </c>
      <c r="L48" s="46" t="s">
        <v>70</v>
      </c>
      <c r="N48" t="s">
        <v>332</v>
      </c>
      <c r="O48" t="s">
        <v>330</v>
      </c>
      <c r="P48" t="s">
        <v>331</v>
      </c>
      <c r="Q48" t="s">
        <v>307</v>
      </c>
      <c r="T48" t="s">
        <v>8</v>
      </c>
      <c r="U48" t="s">
        <v>33</v>
      </c>
      <c r="V48" t="str">
        <f>T48&amp;U48</f>
        <v>ActiveLow</v>
      </c>
      <c r="W48">
        <v>2</v>
      </c>
      <c r="X48" s="145">
        <f t="shared" si="12"/>
        <v>435.04333333333335</v>
      </c>
      <c r="Y48" s="145">
        <f t="shared" si="12"/>
        <v>125.25333333333333</v>
      </c>
    </row>
    <row r="49" spans="1:28">
      <c r="A49" s="448" t="str">
        <f>'Platform Overhead C '!A25</f>
        <v>Standard O&amp;M/Support</v>
      </c>
      <c r="B49" s="448"/>
      <c r="C49" s="448"/>
      <c r="D49" s="448">
        <f>'Sys Admin'!U20</f>
        <v>1.5</v>
      </c>
      <c r="E49" s="487">
        <f>D49*'Rate Sheet'!B5*'Rate Sheet'!B9</f>
        <v>34320</v>
      </c>
      <c r="F49" s="487">
        <f>E49*12</f>
        <v>411840</v>
      </c>
      <c r="H49" s="15" t="s">
        <v>228</v>
      </c>
      <c r="I49" s="43">
        <f>'Platform Overhead C '!J21</f>
        <v>0.05</v>
      </c>
      <c r="J49" s="11">
        <f>$G$50*I49</f>
        <v>5716.3786</v>
      </c>
      <c r="K49" s="27">
        <f>'Sys Admin'!U10</f>
        <v>0</v>
      </c>
      <c r="L49" s="17">
        <f>IF(K49&lt;&gt;0, J49/K49,1)</f>
        <v>1</v>
      </c>
      <c r="N49" s="492" t="str">
        <f t="shared" ref="N49:N62" si="13">O49&amp;P49</f>
        <v>Planning/DiscoveryGold</v>
      </c>
      <c r="O49" s="492" t="s">
        <v>83</v>
      </c>
      <c r="P49" s="492" t="s">
        <v>198</v>
      </c>
      <c r="Q49" s="493">
        <f>'ESPO Calculator'!D73</f>
        <v>4600</v>
      </c>
      <c r="AA49">
        <f>Z5-'Sys Admin Calculation Y2'!Z5</f>
        <v>0</v>
      </c>
      <c r="AB49">
        <f>AA5-'Sys Admin Calculation Y2'!AA5</f>
        <v>0</v>
      </c>
    </row>
    <row r="50" spans="1:28">
      <c r="A50" s="448" t="s">
        <v>323</v>
      </c>
      <c r="B50" s="448"/>
      <c r="C50" s="448"/>
      <c r="D50" s="448"/>
      <c r="E50" s="487">
        <f>'Platform Overhead C '!F20</f>
        <v>272976</v>
      </c>
      <c r="F50" s="487">
        <f>SUM(F48:F49,E50)*(1+(2* (3/100)))</f>
        <v>1192983.3600000001</v>
      </c>
      <c r="G50" s="72">
        <f>F50/12* (1+'Rate Sheet'!B8)</f>
        <v>114327.572</v>
      </c>
      <c r="H50" s="15" t="s">
        <v>30</v>
      </c>
      <c r="I50" s="43">
        <f>'Platform Overhead C '!J22</f>
        <v>0.3</v>
      </c>
      <c r="J50" s="11">
        <f>$G$50*I50</f>
        <v>34298.2716</v>
      </c>
      <c r="K50" s="27">
        <f>'Sys Admin'!U12</f>
        <v>0</v>
      </c>
      <c r="L50" s="17">
        <f>IF(K50=0,1,J50/K50)</f>
        <v>1</v>
      </c>
      <c r="N50" s="492" t="str">
        <f t="shared" si="13"/>
        <v>Planning/DiscoverySilver</v>
      </c>
      <c r="O50" s="492" t="s">
        <v>83</v>
      </c>
      <c r="P50" s="492" t="s">
        <v>199</v>
      </c>
      <c r="Q50" s="493">
        <f>'ESPO Calculator'!D56</f>
        <v>4600</v>
      </c>
      <c r="AA50">
        <f>Z6-'Sys Admin Calculation Y2'!Z6</f>
        <v>27.667200000000037</v>
      </c>
      <c r="AB50">
        <f>AA6-'Sys Admin Calculation Y2'!AA6</f>
        <v>27.667200000000037</v>
      </c>
    </row>
    <row r="51" spans="1:28">
      <c r="A51" s="448" t="s">
        <v>324</v>
      </c>
      <c r="B51" s="448"/>
      <c r="C51" s="448"/>
      <c r="D51" s="448"/>
      <c r="E51" s="448">
        <f>'Platform Overhead C '!M32*(1+((3*'Sys Admin'!$U$21)/100))</f>
        <v>17580.093700000001</v>
      </c>
      <c r="F51" s="448"/>
      <c r="H51" s="15" t="s">
        <v>8</v>
      </c>
      <c r="I51" s="43">
        <f>'Platform Overhead C '!J23</f>
        <v>0.6</v>
      </c>
      <c r="J51" s="11">
        <f>$G$50*I51</f>
        <v>68596.5432</v>
      </c>
      <c r="K51" s="27">
        <f>'Sys Admin'!U14</f>
        <v>10</v>
      </c>
      <c r="L51" s="17">
        <f>J51/K51</f>
        <v>6859.6543199999996</v>
      </c>
      <c r="N51" s="492" t="str">
        <f t="shared" si="13"/>
        <v>Planning/DiscoveryCustome</v>
      </c>
      <c r="O51" s="492" t="s">
        <v>83</v>
      </c>
      <c r="P51" s="492" t="s">
        <v>602</v>
      </c>
      <c r="Q51" s="493">
        <f>'Custom ESPO Selection'!D30</f>
        <v>0</v>
      </c>
      <c r="AA51">
        <f>Z7-'Sys Admin Calculation Y2'!Z7</f>
        <v>81.879599999999982</v>
      </c>
      <c r="AB51">
        <f>AA7-'Sys Admin Calculation Y2'!AA7</f>
        <v>81.879599999999982</v>
      </c>
    </row>
    <row r="52" spans="1:28">
      <c r="A52" s="448" t="s">
        <v>604</v>
      </c>
      <c r="B52" s="448"/>
      <c r="C52" s="448"/>
      <c r="D52" s="448"/>
      <c r="E52" s="448"/>
      <c r="F52" s="489">
        <f>Y100</f>
        <v>260000</v>
      </c>
      <c r="H52" s="15" t="s">
        <v>84</v>
      </c>
      <c r="I52" s="43">
        <f>'Platform Overhead C '!J24</f>
        <v>0.05</v>
      </c>
      <c r="J52" s="11">
        <f>$G$50*I52</f>
        <v>5716.3786</v>
      </c>
      <c r="K52" s="27">
        <f>'Sys Admin'!U16</f>
        <v>0</v>
      </c>
      <c r="L52" s="17">
        <f>IF(K52=0,1,J52/K52)</f>
        <v>1</v>
      </c>
      <c r="N52" s="492" t="str">
        <f t="shared" si="13"/>
        <v>Planning/DiscoveryNone</v>
      </c>
      <c r="O52" s="492" t="s">
        <v>83</v>
      </c>
      <c r="P52" s="492" t="s">
        <v>192</v>
      </c>
      <c r="Q52" s="493">
        <f>'Enablement Services '!C64</f>
        <v>0</v>
      </c>
      <c r="AA52">
        <f>Z8-'Sys Admin Calculation Y2'!Z8</f>
        <v>0</v>
      </c>
      <c r="AB52">
        <f>AA8-'Sys Admin Calculation Y2'!AA8</f>
        <v>0</v>
      </c>
    </row>
    <row r="53" spans="1:28">
      <c r="N53" s="492" t="str">
        <f t="shared" si="13"/>
        <v>OnboardingGold</v>
      </c>
      <c r="O53" s="492" t="s">
        <v>30</v>
      </c>
      <c r="P53" s="492" t="s">
        <v>198</v>
      </c>
      <c r="Q53" s="493">
        <f>'ESPO Calculator'!D74</f>
        <v>60075</v>
      </c>
      <c r="AA53">
        <f>Z9-'Sys Admin Calculation Y2'!Z9</f>
        <v>0</v>
      </c>
      <c r="AB53">
        <f>AA9-'Sys Admin Calculation Y2'!AA9</f>
        <v>0</v>
      </c>
    </row>
    <row r="54" spans="1:28" ht="14.65" thickBot="1">
      <c r="H54" t="s">
        <v>185</v>
      </c>
      <c r="N54" s="492" t="str">
        <f t="shared" si="13"/>
        <v>OnboardingSilver</v>
      </c>
      <c r="O54" s="492" t="s">
        <v>30</v>
      </c>
      <c r="P54" s="492" t="s">
        <v>199</v>
      </c>
      <c r="Q54" s="493">
        <f>'ESPO Calculator'!D57</f>
        <v>33125</v>
      </c>
      <c r="AA54">
        <f>Z10-'Sys Admin Calculation Y2'!Z10</f>
        <v>0</v>
      </c>
      <c r="AB54">
        <f>AA10-'Sys Admin Calculation Y2'!AA10</f>
        <v>0</v>
      </c>
    </row>
    <row r="55" spans="1:28">
      <c r="H55" s="44" t="s">
        <v>66</v>
      </c>
      <c r="I55" s="45" t="s">
        <v>69</v>
      </c>
      <c r="J55" s="45" t="s">
        <v>68</v>
      </c>
      <c r="K55" s="45" t="s">
        <v>101</v>
      </c>
      <c r="L55" s="46" t="s">
        <v>70</v>
      </c>
      <c r="N55" s="492" t="str">
        <f t="shared" si="13"/>
        <v>OnboardingCustome</v>
      </c>
      <c r="O55" s="492" t="s">
        <v>30</v>
      </c>
      <c r="P55" s="492" t="s">
        <v>602</v>
      </c>
      <c r="Q55" s="493">
        <f>'Custom ESPO Selection'!D31</f>
        <v>0</v>
      </c>
      <c r="AA55">
        <f>Z11-'Sys Admin Calculation Y2'!Z11</f>
        <v>0</v>
      </c>
      <c r="AB55">
        <f>AA11-'Sys Admin Calculation Y2'!AA11</f>
        <v>0</v>
      </c>
    </row>
    <row r="56" spans="1:28">
      <c r="H56" s="15" t="s">
        <v>228</v>
      </c>
      <c r="I56" s="43">
        <f>'Platform Overhead C '!J36</f>
        <v>0.05</v>
      </c>
      <c r="J56" s="11">
        <f>$E$51*I56</f>
        <v>879.00468500000011</v>
      </c>
      <c r="K56" s="27">
        <f>'Sys Admin'!U10</f>
        <v>0</v>
      </c>
      <c r="L56" s="17">
        <f>IF(K56&lt;&gt;0,J56/K56,1)</f>
        <v>1</v>
      </c>
      <c r="N56" s="492" t="str">
        <f t="shared" si="13"/>
        <v>OnboardingNone</v>
      </c>
      <c r="O56" s="492" t="s">
        <v>30</v>
      </c>
      <c r="P56" s="492" t="s">
        <v>192</v>
      </c>
      <c r="Q56" s="493">
        <f>'Enablement Services '!C68</f>
        <v>0</v>
      </c>
      <c r="AA56">
        <f>Z12-'Sys Admin Calculation Y2'!Z12</f>
        <v>173.38200000000029</v>
      </c>
      <c r="AB56">
        <f>AA12-'Sys Admin Calculation Y2'!AA12</f>
        <v>173.38200000000029</v>
      </c>
    </row>
    <row r="57" spans="1:28">
      <c r="H57" s="15" t="s">
        <v>30</v>
      </c>
      <c r="I57" s="43">
        <f>'Platform Overhead C '!J37</f>
        <v>0.15</v>
      </c>
      <c r="J57" s="11">
        <f>$E$51*I57</f>
        <v>2637.0140550000001</v>
      </c>
      <c r="K57" s="27">
        <f>'Sys Admin'!U12</f>
        <v>0</v>
      </c>
      <c r="L57" s="17">
        <f>IF(K57=0,1,J57/K57)</f>
        <v>1</v>
      </c>
      <c r="N57" s="492" t="str">
        <f t="shared" si="13"/>
        <v>ActiveGold</v>
      </c>
      <c r="O57" s="492" t="s">
        <v>8</v>
      </c>
      <c r="P57" s="492" t="s">
        <v>198</v>
      </c>
      <c r="Q57" s="493">
        <f>'ESPO Calculator'!D84</f>
        <v>49008.333333333336</v>
      </c>
      <c r="AA57">
        <f>Z13-'Sys Admin Calculation Y2'!Z13</f>
        <v>0</v>
      </c>
      <c r="AB57">
        <f>AA13-'Sys Admin Calculation Y2'!AA13</f>
        <v>0</v>
      </c>
    </row>
    <row r="58" spans="1:28">
      <c r="H58" s="15" t="s">
        <v>8</v>
      </c>
      <c r="I58" s="43">
        <f>'Platform Overhead C '!J38</f>
        <v>0.8</v>
      </c>
      <c r="J58" s="11">
        <f>$E$51*I58</f>
        <v>14064.074960000002</v>
      </c>
      <c r="K58" s="27">
        <f>'Sys Admin'!U14</f>
        <v>10</v>
      </c>
      <c r="L58" s="17">
        <f>J58/K58</f>
        <v>1406.4074960000003</v>
      </c>
      <c r="N58" s="492" t="str">
        <f t="shared" si="13"/>
        <v>ActiveSilver</v>
      </c>
      <c r="O58" s="492" t="s">
        <v>8</v>
      </c>
      <c r="P58" s="492" t="s">
        <v>199</v>
      </c>
      <c r="Q58" s="493">
        <f>'ESPO Calculator'!D67</f>
        <v>15250</v>
      </c>
      <c r="AA58">
        <f>Z14-'Sys Admin Calculation Y2'!Z14</f>
        <v>0</v>
      </c>
      <c r="AB58">
        <f>AA14-'Sys Admin Calculation Y2'!AA14</f>
        <v>0</v>
      </c>
    </row>
    <row r="59" spans="1:28">
      <c r="H59" s="15" t="s">
        <v>84</v>
      </c>
      <c r="I59" s="43">
        <f>'Platform Overhead C '!J39</f>
        <v>0.05</v>
      </c>
      <c r="J59" s="11">
        <f>$E$51*I59</f>
        <v>879.00468500000011</v>
      </c>
      <c r="K59" s="27">
        <f>'Sys Admin'!U16</f>
        <v>0</v>
      </c>
      <c r="L59" s="17">
        <f>IF(K59=0,1,J59/K59)</f>
        <v>1</v>
      </c>
      <c r="N59" s="492" t="str">
        <f t="shared" si="13"/>
        <v>ActiveCustome</v>
      </c>
      <c r="O59" s="492" t="s">
        <v>8</v>
      </c>
      <c r="P59" s="492" t="s">
        <v>602</v>
      </c>
      <c r="Q59" s="493">
        <f>'Custom ESPO Selection'!D41</f>
        <v>0</v>
      </c>
      <c r="AA59">
        <f>Z15-'Sys Admin Calculation Y2'!Z15</f>
        <v>0</v>
      </c>
      <c r="AB59">
        <f>AA15-'Sys Admin Calculation Y2'!AA15</f>
        <v>0</v>
      </c>
    </row>
    <row r="60" spans="1:28">
      <c r="N60" s="492" t="str">
        <f t="shared" si="13"/>
        <v>ActiveNone</v>
      </c>
      <c r="O60" s="492" t="s">
        <v>8</v>
      </c>
      <c r="P60" s="492" t="s">
        <v>192</v>
      </c>
      <c r="Q60" s="493">
        <f>'Enablement Services '!C72</f>
        <v>0</v>
      </c>
      <c r="AA60">
        <f>Z16-'Sys Admin Calculation Y2'!Z16</f>
        <v>0</v>
      </c>
      <c r="AB60">
        <f>AA16-'Sys Admin Calculation Y2'!AA16</f>
        <v>0</v>
      </c>
    </row>
    <row r="61" spans="1:28">
      <c r="N61" s="492" t="str">
        <f t="shared" si="13"/>
        <v>ProspectiveNone</v>
      </c>
      <c r="O61" s="492" t="s">
        <v>67</v>
      </c>
      <c r="P61" s="492" t="s">
        <v>192</v>
      </c>
      <c r="Q61" s="494">
        <v>0</v>
      </c>
      <c r="AA61">
        <f>Z17-'Sys Admin Calculation Y2'!Z17</f>
        <v>1285.2840000000015</v>
      </c>
      <c r="AB61">
        <f>AA17-'Sys Admin Calculation Y2'!AA17</f>
        <v>1285.2840000000015</v>
      </c>
    </row>
    <row r="62" spans="1:28">
      <c r="B62" t="s">
        <v>334</v>
      </c>
      <c r="N62" s="492" t="str">
        <f t="shared" si="13"/>
        <v>Export/RetirementGold</v>
      </c>
      <c r="O62" s="492" t="s">
        <v>84</v>
      </c>
      <c r="P62" s="492" t="s">
        <v>198</v>
      </c>
      <c r="Q62" s="492">
        <f>'ESPO Calculator'!D76</f>
        <v>2550</v>
      </c>
      <c r="AA62">
        <f>Z18-'Sys Admin Calculation Y2'!Z18</f>
        <v>0</v>
      </c>
      <c r="AB62">
        <f>AA18-'Sys Admin Calculation Y2'!AA18</f>
        <v>0</v>
      </c>
    </row>
    <row r="63" spans="1:28">
      <c r="C63" t="s">
        <v>301</v>
      </c>
      <c r="D63" t="s">
        <v>337</v>
      </c>
      <c r="E63" t="s">
        <v>338</v>
      </c>
      <c r="F63" t="s">
        <v>339</v>
      </c>
      <c r="N63" s="492" t="str">
        <f>O63&amp;P63</f>
        <v>Export/RetirementSilver</v>
      </c>
      <c r="O63" s="492" t="s">
        <v>84</v>
      </c>
      <c r="P63" s="492" t="s">
        <v>199</v>
      </c>
      <c r="Q63" s="492">
        <f>'ESPO Calculator'!D59</f>
        <v>2550</v>
      </c>
      <c r="AA63">
        <f>Z19-'Sys Admin Calculation Y2'!Z19</f>
        <v>0</v>
      </c>
      <c r="AB63">
        <f>AA19-'Sys Admin Calculation Y2'!AA19</f>
        <v>0</v>
      </c>
    </row>
    <row r="64" spans="1:28">
      <c r="B64" t="s">
        <v>184</v>
      </c>
      <c r="C64" s="145" t="e">
        <f>J45</f>
        <v>#REF!</v>
      </c>
      <c r="D64">
        <f>Y37</f>
        <v>0</v>
      </c>
      <c r="E64" s="145" t="e">
        <f>SUM(C64:D64)</f>
        <v>#REF!</v>
      </c>
      <c r="N64" s="492" t="str">
        <f>O64&amp;P64</f>
        <v>Export/RetirementCustome</v>
      </c>
      <c r="O64" s="492" t="s">
        <v>84</v>
      </c>
      <c r="P64" s="492" t="s">
        <v>602</v>
      </c>
      <c r="Q64" s="492">
        <f>'Custom ESPO Selection'!D33</f>
        <v>0</v>
      </c>
      <c r="AA64">
        <f>Z20-'Sys Admin Calculation Y2'!Z20</f>
        <v>0</v>
      </c>
      <c r="AB64">
        <f>AA20-'Sys Admin Calculation Y2'!AA20</f>
        <v>0</v>
      </c>
    </row>
    <row r="65" spans="2:28">
      <c r="B65" t="s">
        <v>252</v>
      </c>
      <c r="C65" s="145" t="e">
        <f>K45</f>
        <v>#REF!</v>
      </c>
      <c r="D65">
        <f>Z37</f>
        <v>41926.420800000007</v>
      </c>
      <c r="N65" s="492" t="str">
        <f>O65&amp;P65</f>
        <v>Export/RetirementNone</v>
      </c>
      <c r="O65" s="492" t="s">
        <v>84</v>
      </c>
      <c r="P65" s="492" t="s">
        <v>192</v>
      </c>
      <c r="Q65" s="492">
        <v>0</v>
      </c>
      <c r="AA65">
        <f>Z21-'Sys Admin Calculation Y2'!Z21</f>
        <v>0</v>
      </c>
      <c r="AB65">
        <f>AA21-'Sys Admin Calculation Y2'!AA21</f>
        <v>0</v>
      </c>
    </row>
    <row r="66" spans="2:28">
      <c r="B66" t="s">
        <v>335</v>
      </c>
      <c r="C66" s="145" t="e">
        <f>L45</f>
        <v>#REF!</v>
      </c>
      <c r="D66">
        <f>AA37</f>
        <v>21759.460800000004</v>
      </c>
      <c r="E66" s="145" t="e">
        <f>SUM(C65:D66)</f>
        <v>#REF!</v>
      </c>
      <c r="N66" s="448" t="str">
        <f t="shared" ref="N66:N70" si="14">O66&amp;P66</f>
        <v>ActiveGold</v>
      </c>
      <c r="O66" s="448" t="s">
        <v>8</v>
      </c>
      <c r="P66" s="448" t="s">
        <v>198</v>
      </c>
      <c r="Q66" s="477">
        <f>'ESPO Calculator'!D84</f>
        <v>49008.333333333336</v>
      </c>
    </row>
    <row r="67" spans="2:28" ht="42.75">
      <c r="B67" t="s">
        <v>12</v>
      </c>
      <c r="C67" s="145" t="e">
        <f>M45</f>
        <v>#REF!</v>
      </c>
      <c r="D67">
        <f>AB37</f>
        <v>823158.51840000006</v>
      </c>
      <c r="E67" s="145" t="e">
        <f>SUM(C67:D67)</f>
        <v>#REF!</v>
      </c>
      <c r="N67" s="448" t="str">
        <f t="shared" si="14"/>
        <v>ActiveSilver</v>
      </c>
      <c r="O67" s="448" t="s">
        <v>8</v>
      </c>
      <c r="P67" s="448" t="s">
        <v>199</v>
      </c>
      <c r="Q67" s="477">
        <f>'ESPO Calculator'!D67</f>
        <v>15250</v>
      </c>
      <c r="S67" s="9" t="s">
        <v>187</v>
      </c>
      <c r="T67" s="104" t="s">
        <v>633</v>
      </c>
      <c r="U67" s="104" t="s">
        <v>634</v>
      </c>
      <c r="V67" s="591" t="s">
        <v>603</v>
      </c>
      <c r="W67" s="592" t="s">
        <v>607</v>
      </c>
      <c r="X67" s="592" t="s">
        <v>606</v>
      </c>
      <c r="Y67" s="592" t="s">
        <v>608</v>
      </c>
    </row>
    <row r="68" spans="2:28">
      <c r="B68" t="s">
        <v>336</v>
      </c>
      <c r="C68" s="145" t="e">
        <f>N45</f>
        <v>#REF!</v>
      </c>
      <c r="D68">
        <f>AD37</f>
        <v>168768.89952000001</v>
      </c>
      <c r="E68" s="145" t="e">
        <f>SUM(C68:D68)</f>
        <v>#REF!</v>
      </c>
      <c r="N68" s="448" t="str">
        <f t="shared" si="14"/>
        <v>ActiveCustom</v>
      </c>
      <c r="O68" s="448" t="s">
        <v>8</v>
      </c>
      <c r="P68" s="448" t="s">
        <v>575</v>
      </c>
      <c r="Q68" s="477">
        <f>'Custom ESPO Selection'!D41</f>
        <v>0</v>
      </c>
      <c r="S68" s="9" t="s">
        <v>147</v>
      </c>
      <c r="T68" s="486" t="str">
        <f>'Sys Admin'!O24</f>
        <v>Active</v>
      </c>
      <c r="U68" s="9" t="str">
        <f>'Sys Admin'!U24</f>
        <v>Active</v>
      </c>
      <c r="V68" s="593">
        <f>IF(AND(T68="Active",U68="Export/Retirement"),1,IF(T68="Export/Retirement",1,IF(AND(T68="Prospective",U68&lt;&gt;"Prospective"),1,IF(AND(OR(T68="Planning/Discovery",T68="Onboarding"),OR(U68="Planning/Discovery",U68="Onboarding",U68="Export/Retirement")),1,IF(OR(U68="Prospective",T68="Active"),0,0)))))</f>
        <v>0</v>
      </c>
      <c r="W68" s="507">
        <f>IF(U68="Prospective",0, IF(OR('Sys Admin Calculation'!Y54&lt;&gt;0,'Sys Admin Calculation Y2'!W66&lt;&gt;0),0,'ESPO Calculator'!$B$41))</f>
        <v>0</v>
      </c>
      <c r="X68" s="507">
        <f>IF(OR(V68=1, U68="Prospective"), 0, 'ESPO Calculator'!$D$48)</f>
        <v>2166.6666666666665</v>
      </c>
      <c r="Y68" s="507">
        <f>W68+X68*IF('Sys Admin'!W24 &lt;&gt; 0, (12 - 'Sys Admin'!W24), 12)</f>
        <v>26000</v>
      </c>
    </row>
    <row r="69" spans="2:28">
      <c r="N69" s="448" t="str">
        <f t="shared" si="14"/>
        <v>ActiveNone</v>
      </c>
      <c r="O69" s="448" t="s">
        <v>8</v>
      </c>
      <c r="P69" s="448" t="s">
        <v>192</v>
      </c>
      <c r="Q69" s="477">
        <f>'Enablement Services '!C72</f>
        <v>0</v>
      </c>
      <c r="S69" s="9" t="s">
        <v>146</v>
      </c>
      <c r="T69" s="486" t="str">
        <f>'Sys Admin'!O25</f>
        <v>Active</v>
      </c>
      <c r="U69" s="9" t="str">
        <f>'Sys Admin'!U25</f>
        <v>Active</v>
      </c>
      <c r="V69" s="593">
        <f t="shared" ref="V69:V99" si="15">IF(AND(T69="Active",U69="Export/Retirement"),1,IF(T69="Export/Retirement",1,IF(AND(T69="Prospective",U69&lt;&gt;"Prospective"),1,IF(AND(OR(T69="Planning/Discovery",T69="Onboarding"),OR(U69="Planning/Discovery",U69="Onboarding",U69="Export/Retirement")),1,IF(OR(U69="Prospective",T69="Active"),0,0)))))</f>
        <v>0</v>
      </c>
      <c r="W69" s="507">
        <f>IF(U69="Prospective",0, IF(OR('Sys Admin Calculation'!Y55&lt;&gt;0,'Sys Admin Calculation Y2'!W67&lt;&gt;0),0,'ESPO Calculator'!$B$41))</f>
        <v>0</v>
      </c>
      <c r="X69" s="507">
        <f>IF(OR(V69=1, U69="Prospective"), 0, 'ESPO Calculator'!$D$48)</f>
        <v>2166.6666666666665</v>
      </c>
      <c r="Y69" s="507">
        <f>W69+X69*IF('Sys Admin'!W25 &lt;&gt; 0, (12 - 'Sys Admin'!W25), 12)</f>
        <v>26000</v>
      </c>
    </row>
    <row r="70" spans="2:28" ht="14.65" thickBot="1">
      <c r="N70" s="448" t="str">
        <f t="shared" si="14"/>
        <v>ProspectiveNone</v>
      </c>
      <c r="O70" s="448" t="s">
        <v>67</v>
      </c>
      <c r="P70" s="448" t="s">
        <v>192</v>
      </c>
      <c r="Q70" s="488">
        <v>0</v>
      </c>
      <c r="S70" s="9" t="s">
        <v>145</v>
      </c>
      <c r="T70" s="486" t="str">
        <f>'Sys Admin'!O26</f>
        <v>Active</v>
      </c>
      <c r="U70" s="9" t="str">
        <f>'Sys Admin'!U26</f>
        <v>Active</v>
      </c>
      <c r="V70" s="593">
        <f t="shared" si="15"/>
        <v>0</v>
      </c>
      <c r="W70" s="507">
        <f>IF(U70="Prospective",0, IF(OR('Sys Admin Calculation'!Y56&lt;&gt;0,'Sys Admin Calculation Y2'!W68&lt;&gt;0),0,'ESPO Calculator'!$B$41))</f>
        <v>0</v>
      </c>
      <c r="X70" s="507">
        <f>IF(OR(V70=1, U70="Prospective"), 0, 'ESPO Calculator'!$D$48)</f>
        <v>2166.6666666666665</v>
      </c>
      <c r="Y70" s="507">
        <f>W70+X70*IF('Sys Admin'!W26 &lt;&gt; 0, (12 - 'Sys Admin'!W26), 12)</f>
        <v>26000</v>
      </c>
    </row>
    <row r="71" spans="2:28">
      <c r="N71" s="516"/>
      <c r="O71" s="517"/>
      <c r="P71" s="517" t="s">
        <v>198</v>
      </c>
      <c r="Q71" s="518">
        <f>'ESPO Calculator'!B77</f>
        <v>720000</v>
      </c>
      <c r="S71" s="9" t="s">
        <v>203</v>
      </c>
      <c r="T71" s="486" t="str">
        <f>'Sys Admin'!O27</f>
        <v>Active</v>
      </c>
      <c r="U71" s="9" t="str">
        <f>'Sys Admin'!U27</f>
        <v>Active</v>
      </c>
      <c r="V71" s="593">
        <f t="shared" si="15"/>
        <v>0</v>
      </c>
      <c r="W71" s="507">
        <f>IF(U71="Prospective",0, IF(OR('Sys Admin Calculation'!Y57&lt;&gt;0,'Sys Admin Calculation Y2'!W69&lt;&gt;0),0,'ESPO Calculator'!$B$41))</f>
        <v>0</v>
      </c>
      <c r="X71" s="507">
        <f>IF(OR(V71=1, U71="Prospective"), 0, 'ESPO Calculator'!$D$48)</f>
        <v>2166.6666666666665</v>
      </c>
      <c r="Y71" s="507">
        <f>W71+X71*IF('Sys Admin'!W27 &lt;&gt; 0, (12 - 'Sys Admin'!W27), 12)</f>
        <v>26000</v>
      </c>
    </row>
    <row r="72" spans="2:28">
      <c r="N72" s="519"/>
      <c r="O72" s="515"/>
      <c r="P72" s="515" t="s">
        <v>199</v>
      </c>
      <c r="Q72" s="520">
        <f>'ESPO Calculator'!B60</f>
        <v>261000</v>
      </c>
      <c r="S72" s="9" t="s">
        <v>159</v>
      </c>
      <c r="T72" s="486" t="str">
        <f>'Sys Admin'!O28</f>
        <v>Active</v>
      </c>
      <c r="U72" s="9" t="str">
        <f>'Sys Admin'!U28</f>
        <v>Active</v>
      </c>
      <c r="V72" s="593">
        <f t="shared" si="15"/>
        <v>0</v>
      </c>
      <c r="W72" s="507">
        <f>IF(U72="Prospective",0, IF(OR('Sys Admin Calculation'!Y58&lt;&gt;0,'Sys Admin Calculation Y2'!W70&lt;&gt;0),0,'ESPO Calculator'!$B$41))</f>
        <v>0</v>
      </c>
      <c r="X72" s="507">
        <f>IF(OR(V72=1, U72="Prospective"), 0, 'ESPO Calculator'!$D$48)</f>
        <v>2166.6666666666665</v>
      </c>
      <c r="Y72" s="507">
        <f>W72+X72*IF('Sys Admin'!W28 &lt;&gt; 0, (12 - 'Sys Admin'!W28), 12)</f>
        <v>26000</v>
      </c>
    </row>
    <row r="73" spans="2:28">
      <c r="N73" s="519"/>
      <c r="O73" s="515"/>
      <c r="P73" s="515" t="s">
        <v>575</v>
      </c>
      <c r="Q73" s="520">
        <f>'Custom ESPO Selection'!B34</f>
        <v>0</v>
      </c>
      <c r="S73" s="9" t="s">
        <v>204</v>
      </c>
      <c r="T73" s="486" t="str">
        <f>'Sys Admin'!O29</f>
        <v>Prospective</v>
      </c>
      <c r="U73" s="9" t="str">
        <f>'Sys Admin'!U29</f>
        <v>Prospective</v>
      </c>
      <c r="V73" s="593">
        <f t="shared" si="15"/>
        <v>0</v>
      </c>
      <c r="W73" s="507">
        <f>IF(U73="Prospective",0, IF(OR('Sys Admin Calculation'!Y59&lt;&gt;0,'Sys Admin Calculation Y2'!W71&lt;&gt;0),0,'ESPO Calculator'!$B$41))</f>
        <v>0</v>
      </c>
      <c r="X73" s="507">
        <f>IF(OR(V73=1, U73="Prospective"), 0, 'ESPO Calculator'!$D$48)</f>
        <v>0</v>
      </c>
      <c r="Y73" s="507">
        <f>W73+X73*IF('Sys Admin'!W29 &lt;&gt; 0, (12 - 'Sys Admin'!W29), 12)</f>
        <v>0</v>
      </c>
    </row>
    <row r="74" spans="2:28" ht="14.65" thickBot="1">
      <c r="N74" s="521"/>
      <c r="O74" s="522"/>
      <c r="P74" s="522" t="s">
        <v>192</v>
      </c>
      <c r="Q74" s="523">
        <v>0</v>
      </c>
      <c r="S74" s="9" t="s">
        <v>205</v>
      </c>
      <c r="T74" s="486" t="str">
        <f>'Sys Admin'!O30</f>
        <v>Prospective</v>
      </c>
      <c r="U74" s="9" t="str">
        <f>'Sys Admin'!U30</f>
        <v>Prospective</v>
      </c>
      <c r="V74" s="593">
        <f t="shared" si="15"/>
        <v>0</v>
      </c>
      <c r="W74" s="507">
        <f>IF(U74="Prospective",0, IF(OR('Sys Admin Calculation'!Y60&lt;&gt;0,'Sys Admin Calculation Y2'!W72&lt;&gt;0),0,'ESPO Calculator'!$B$41))</f>
        <v>0</v>
      </c>
      <c r="X74" s="507">
        <f>IF(OR(V74=1, U74="Prospective"), 0, 'ESPO Calculator'!$D$48)</f>
        <v>0</v>
      </c>
      <c r="Y74" s="507">
        <f>W74+X74*IF('Sys Admin'!W30 &lt;&gt; 0, (12 - 'Sys Admin'!W30), 12)</f>
        <v>0</v>
      </c>
    </row>
    <row r="75" spans="2:28">
      <c r="S75" s="9" t="s">
        <v>148</v>
      </c>
      <c r="T75" s="486" t="str">
        <f>'Sys Admin'!O31</f>
        <v>Active</v>
      </c>
      <c r="U75" s="9" t="str">
        <f>'Sys Admin'!U31</f>
        <v>Active</v>
      </c>
      <c r="V75" s="593">
        <f t="shared" si="15"/>
        <v>0</v>
      </c>
      <c r="W75" s="507">
        <f>IF(U75="Prospective",0, IF(OR('Sys Admin Calculation'!Y61&lt;&gt;0,'Sys Admin Calculation Y2'!W73&lt;&gt;0),0,'ESPO Calculator'!$B$41))</f>
        <v>0</v>
      </c>
      <c r="X75" s="507">
        <f>IF(OR(V75=1, U75="Prospective"), 0, 'ESPO Calculator'!$D$48)</f>
        <v>2166.6666666666665</v>
      </c>
      <c r="Y75" s="507">
        <f>W75+X75*IF('Sys Admin'!W31 &lt;&gt; 0, (12 - 'Sys Admin'!W31), 12)</f>
        <v>26000</v>
      </c>
    </row>
    <row r="76" spans="2:28">
      <c r="S76" s="9" t="s">
        <v>206</v>
      </c>
      <c r="T76" s="486" t="str">
        <f>'Sys Admin'!O32</f>
        <v>Active</v>
      </c>
      <c r="U76" s="9" t="str">
        <f>'Sys Admin'!U32</f>
        <v>Active</v>
      </c>
      <c r="V76" s="593">
        <f t="shared" si="15"/>
        <v>0</v>
      </c>
      <c r="W76" s="507">
        <f>IF(U76="Prospective",0, IF(OR('Sys Admin Calculation'!Y62&lt;&gt;0,'Sys Admin Calculation Y2'!W74&lt;&gt;0),0,'ESPO Calculator'!$B$41))</f>
        <v>0</v>
      </c>
      <c r="X76" s="507">
        <f>IF(OR(V76=1, U76="Prospective"), 0, 'ESPO Calculator'!$D$48)</f>
        <v>2166.6666666666665</v>
      </c>
      <c r="Y76" s="507">
        <f>W76+X76*IF('Sys Admin'!W32 &lt;&gt; 0, (12 - 'Sys Admin'!W32), 12)</f>
        <v>26000</v>
      </c>
    </row>
    <row r="77" spans="2:28">
      <c r="S77" s="9" t="s">
        <v>207</v>
      </c>
      <c r="T77" s="486" t="str">
        <f>'Sys Admin'!O33</f>
        <v>Active</v>
      </c>
      <c r="U77" s="9" t="str">
        <f>'Sys Admin'!U33</f>
        <v>Active</v>
      </c>
      <c r="V77" s="593">
        <f t="shared" si="15"/>
        <v>0</v>
      </c>
      <c r="W77" s="507">
        <f>IF(U77="Prospective",0, IF(OR('Sys Admin Calculation'!Y63&lt;&gt;0,'Sys Admin Calculation Y2'!W75&lt;&gt;0),0,'ESPO Calculator'!$B$41))</f>
        <v>0</v>
      </c>
      <c r="X77" s="507">
        <f>IF(OR(V77=1, U77="Prospective"), 0, 'ESPO Calculator'!$D$48)</f>
        <v>2166.6666666666665</v>
      </c>
      <c r="Y77" s="507">
        <f>W77+X77*IF('Sys Admin'!W33 &lt;&gt; 0, (12 - 'Sys Admin'!W33), 12)</f>
        <v>26000</v>
      </c>
    </row>
    <row r="78" spans="2:28">
      <c r="S78" s="9" t="s">
        <v>208</v>
      </c>
      <c r="T78" s="486" t="str">
        <f>'Sys Admin'!O34</f>
        <v>Prospective</v>
      </c>
      <c r="U78" s="9" t="str">
        <f>'Sys Admin'!U34</f>
        <v>Prospective</v>
      </c>
      <c r="V78" s="593">
        <f t="shared" si="15"/>
        <v>0</v>
      </c>
      <c r="W78" s="507">
        <f>IF(U78="Prospective",0, IF(OR('Sys Admin Calculation'!Y64&lt;&gt;0,'Sys Admin Calculation Y2'!W76&lt;&gt;0),0,'ESPO Calculator'!$B$41))</f>
        <v>0</v>
      </c>
      <c r="X78" s="507">
        <f>IF(OR(V78=1, U78="Prospective"), 0, 'ESPO Calculator'!$D$48)</f>
        <v>0</v>
      </c>
      <c r="Y78" s="507">
        <f>W78+X78*IF('Sys Admin'!W34 &lt;&gt; 0, (12 - 'Sys Admin'!W34), 12)</f>
        <v>0</v>
      </c>
    </row>
    <row r="79" spans="2:28">
      <c r="S79" s="9" t="s">
        <v>209</v>
      </c>
      <c r="T79" s="486" t="str">
        <f>'Sys Admin'!O35</f>
        <v>Prospective</v>
      </c>
      <c r="U79" s="9" t="str">
        <f>'Sys Admin'!U35</f>
        <v>Prospective</v>
      </c>
      <c r="V79" s="593">
        <f t="shared" si="15"/>
        <v>0</v>
      </c>
      <c r="W79" s="507">
        <f>IF(U79="Prospective",0, IF(OR('Sys Admin Calculation'!Y65&lt;&gt;0,'Sys Admin Calculation Y2'!W77&lt;&gt;0),0,'ESPO Calculator'!$B$41))</f>
        <v>0</v>
      </c>
      <c r="X79" s="507">
        <f>IF(OR(V79=1, U79="Prospective"), 0, 'ESPO Calculator'!$D$48)</f>
        <v>0</v>
      </c>
      <c r="Y79" s="507">
        <f>W79+X79*IF('Sys Admin'!W35 &lt;&gt; 0, (12 - 'Sys Admin'!W35), 12)</f>
        <v>0</v>
      </c>
    </row>
    <row r="80" spans="2:28">
      <c r="S80" s="9" t="s">
        <v>144</v>
      </c>
      <c r="T80" s="486" t="str">
        <f>'Sys Admin'!O36</f>
        <v>Active</v>
      </c>
      <c r="U80" s="9" t="str">
        <f>'Sys Admin'!U36</f>
        <v>Active</v>
      </c>
      <c r="V80" s="593">
        <f t="shared" si="15"/>
        <v>0</v>
      </c>
      <c r="W80" s="507">
        <f>IF(U80="Prospective",0, IF(OR('Sys Admin Calculation'!Y66&lt;&gt;0,'Sys Admin Calculation Y2'!W78&lt;&gt;0),0,'ESPO Calculator'!$B$41))</f>
        <v>0</v>
      </c>
      <c r="X80" s="507">
        <f>IF(OR(V80=1, U80="Prospective"), 0, 'ESPO Calculator'!$D$48)</f>
        <v>2166.6666666666665</v>
      </c>
      <c r="Y80" s="507">
        <f>W80+X80*IF('Sys Admin'!W36 &lt;&gt; 0, (12 - 'Sys Admin'!W36), 12)</f>
        <v>26000</v>
      </c>
    </row>
    <row r="81" spans="7:25">
      <c r="S81" s="9" t="s">
        <v>157</v>
      </c>
      <c r="T81" s="486" t="str">
        <f>'Sys Admin'!O37</f>
        <v>Active</v>
      </c>
      <c r="U81" s="9" t="str">
        <f>'Sys Admin'!U37</f>
        <v>Active</v>
      </c>
      <c r="V81" s="593">
        <f t="shared" si="15"/>
        <v>0</v>
      </c>
      <c r="W81" s="507">
        <f>IF(U81="Prospective",0, IF(OR('Sys Admin Calculation'!Y67&lt;&gt;0,'Sys Admin Calculation Y2'!W79&lt;&gt;0),0,'ESPO Calculator'!$B$41))</f>
        <v>0</v>
      </c>
      <c r="X81" s="507">
        <f>IF(OR(V81=1, U81="Prospective"), 0, 'ESPO Calculator'!$D$48)</f>
        <v>2166.6666666666665</v>
      </c>
      <c r="Y81" s="507">
        <f>W81+X81*IF('Sys Admin'!W37 &lt;&gt; 0, (12 - 'Sys Admin'!W37), 12)</f>
        <v>26000</v>
      </c>
    </row>
    <row r="82" spans="7:25" ht="14.65" thickBot="1">
      <c r="S82" s="9" t="s">
        <v>210</v>
      </c>
      <c r="T82" s="486" t="str">
        <f>'Sys Admin'!O38</f>
        <v>Prospective</v>
      </c>
      <c r="U82" s="9" t="str">
        <f>'Sys Admin'!U38</f>
        <v>Prospective</v>
      </c>
      <c r="V82" s="593">
        <f t="shared" si="15"/>
        <v>0</v>
      </c>
      <c r="W82" s="507">
        <f>IF(U82="Prospective",0, IF(OR('Sys Admin Calculation'!Y68&lt;&gt;0,'Sys Admin Calculation Y2'!W80&lt;&gt;0),0,'ESPO Calculator'!$B$41))</f>
        <v>0</v>
      </c>
      <c r="X82" s="507">
        <f>IF(OR(V82=1, U82="Prospective"), 0, 'ESPO Calculator'!$D$48)</f>
        <v>0</v>
      </c>
      <c r="Y82" s="507">
        <f>W82+X82*IF('Sys Admin'!W38 &lt;&gt; 0, (12 - 'Sys Admin'!W38), 12)</f>
        <v>0</v>
      </c>
    </row>
    <row r="83" spans="7:25">
      <c r="G83" s="528" t="s">
        <v>332</v>
      </c>
      <c r="H83" s="529" t="s">
        <v>330</v>
      </c>
      <c r="I83" s="529" t="s">
        <v>331</v>
      </c>
      <c r="J83" s="529" t="s">
        <v>252</v>
      </c>
      <c r="K83" s="529" t="s">
        <v>335</v>
      </c>
      <c r="L83" s="529" t="s">
        <v>12</v>
      </c>
      <c r="M83" s="530" t="s">
        <v>336</v>
      </c>
      <c r="S83" s="9" t="s">
        <v>201</v>
      </c>
      <c r="T83" s="486" t="str">
        <f>'Sys Admin'!O39</f>
        <v>Prospective</v>
      </c>
      <c r="U83" s="9" t="str">
        <f>'Sys Admin'!U39</f>
        <v>Prospective</v>
      </c>
      <c r="V83" s="593">
        <f t="shared" si="15"/>
        <v>0</v>
      </c>
      <c r="W83" s="507">
        <f>IF(U83="Prospective",0, IF(OR('Sys Admin Calculation'!Y69&lt;&gt;0,'Sys Admin Calculation Y2'!W81&lt;&gt;0),0,'ESPO Calculator'!$B$41))</f>
        <v>0</v>
      </c>
      <c r="X83" s="507">
        <f>IF(OR(V83=1, U83="Prospective"), 0, 'ESPO Calculator'!$D$48)</f>
        <v>0</v>
      </c>
      <c r="Y83" s="507">
        <f>W83+X83*IF('Sys Admin'!W39 &lt;&gt; 0, (12 - 'Sys Admin'!W39), 12)</f>
        <v>0</v>
      </c>
    </row>
    <row r="84" spans="7:25">
      <c r="G84" s="531" t="s">
        <v>83</v>
      </c>
      <c r="H84" s="532" t="s">
        <v>83</v>
      </c>
      <c r="I84" s="532"/>
      <c r="J84" s="533">
        <v>0</v>
      </c>
      <c r="K84" s="533">
        <v>0</v>
      </c>
      <c r="L84" s="533">
        <f>L49</f>
        <v>1</v>
      </c>
      <c r="M84" s="534">
        <f>L56</f>
        <v>1</v>
      </c>
      <c r="S84" s="9" t="s">
        <v>202</v>
      </c>
      <c r="T84" s="486" t="str">
        <f>'Sys Admin'!O40</f>
        <v>Prospective</v>
      </c>
      <c r="U84" s="9" t="str">
        <f>'Sys Admin'!U40</f>
        <v>Prospective</v>
      </c>
      <c r="V84" s="593">
        <f t="shared" si="15"/>
        <v>0</v>
      </c>
      <c r="W84" s="507">
        <f>IF(U84="Prospective",0, IF(OR('Sys Admin Calculation'!Y70&lt;&gt;0,'Sys Admin Calculation Y2'!W82&lt;&gt;0),0,'ESPO Calculator'!$B$41))</f>
        <v>0</v>
      </c>
      <c r="X84" s="507">
        <f>IF(OR(V84=1, U84="Prospective"), 0, 'ESPO Calculator'!$D$48)</f>
        <v>0</v>
      </c>
      <c r="Y84" s="507">
        <f>W84+X84*IF('Sys Admin'!W40 &lt;&gt; 0, (12 - 'Sys Admin'!W40), 12)</f>
        <v>0</v>
      </c>
    </row>
    <row r="85" spans="7:25">
      <c r="G85" s="531" t="s">
        <v>30</v>
      </c>
      <c r="H85" s="532" t="s">
        <v>30</v>
      </c>
      <c r="I85" s="532"/>
      <c r="J85" s="533">
        <v>0</v>
      </c>
      <c r="K85" s="533">
        <v>0</v>
      </c>
      <c r="L85" s="533">
        <f>L50</f>
        <v>1</v>
      </c>
      <c r="M85" s="534">
        <f>L57</f>
        <v>1</v>
      </c>
      <c r="S85" s="600" t="str">
        <f>A22</f>
        <v>New Project 1</v>
      </c>
      <c r="T85" s="600" t="str">
        <f>'Sys Admin'!O43</f>
        <v>Prospective</v>
      </c>
      <c r="U85" s="600" t="str">
        <f>'Sys Admin'!U43</f>
        <v>Prospective</v>
      </c>
      <c r="V85" s="601">
        <f t="shared" si="15"/>
        <v>0</v>
      </c>
      <c r="W85" s="602">
        <f>IF(U85="Prospective",0, IF(OR('Sys Admin Calculation'!Y71&lt;&gt;0,'Sys Admin Calculation Y2'!W83&lt;&gt;0),0,'ESPO Calculator'!$B$41))</f>
        <v>0</v>
      </c>
      <c r="X85" s="602">
        <f>IF(OR(V85=1, U85="Prospective"), 0, 'ESPO Calculator'!$D$48)</f>
        <v>0</v>
      </c>
      <c r="Y85" s="602">
        <f>W85+X85*IF('Sys Admin'!W43 &lt;&gt; 0, (12 - 'Sys Admin'!W43), 12)</f>
        <v>0</v>
      </c>
    </row>
    <row r="86" spans="7:25">
      <c r="G86" s="531" t="s">
        <v>628</v>
      </c>
      <c r="H86" s="532" t="s">
        <v>8</v>
      </c>
      <c r="I86" s="532" t="s">
        <v>31</v>
      </c>
      <c r="J86" s="533">
        <v>3038.1507272812009</v>
      </c>
      <c r="K86" s="533">
        <v>555.1686575581781</v>
      </c>
      <c r="L86" s="533">
        <f>L51</f>
        <v>6859.6543199999996</v>
      </c>
      <c r="M86" s="534">
        <f>L58</f>
        <v>1406.4074960000003</v>
      </c>
      <c r="S86" s="600" t="str">
        <f t="shared" ref="S86:S99" si="16">A23</f>
        <v>New Project 2</v>
      </c>
      <c r="T86" s="600" t="str">
        <f>'Sys Admin'!O44</f>
        <v>Prospective</v>
      </c>
      <c r="U86" s="600" t="str">
        <f>'Sys Admin'!U44</f>
        <v>Prospective</v>
      </c>
      <c r="V86" s="601">
        <f t="shared" si="15"/>
        <v>0</v>
      </c>
      <c r="W86" s="602">
        <f>IF(U86="Prospective",0, IF(OR('Sys Admin Calculation'!Y72&lt;&gt;0,'Sys Admin Calculation Y2'!W84&lt;&gt;0),0,'ESPO Calculator'!$B$41))</f>
        <v>0</v>
      </c>
      <c r="X86" s="602">
        <f>IF(OR(V86=1, U86="Prospective"), 0, 'ESPO Calculator'!$D$48)</f>
        <v>0</v>
      </c>
      <c r="Y86" s="602">
        <f>W86+X86*IF('Sys Admin'!W44 &lt;&gt; 0, (12 - 'Sys Admin'!W44), 12)</f>
        <v>0</v>
      </c>
    </row>
    <row r="87" spans="7:25">
      <c r="G87" s="531" t="s">
        <v>629</v>
      </c>
      <c r="H87" s="532" t="s">
        <v>8</v>
      </c>
      <c r="I87" s="532" t="s">
        <v>32</v>
      </c>
      <c r="J87" s="533">
        <v>1323.3980250723589</v>
      </c>
      <c r="K87" s="533">
        <v>388.61806029072471</v>
      </c>
      <c r="L87" s="533">
        <f>L51</f>
        <v>6859.6543199999996</v>
      </c>
      <c r="M87" s="534">
        <f>L58</f>
        <v>1406.4074960000003</v>
      </c>
      <c r="S87" s="600" t="str">
        <f t="shared" si="16"/>
        <v>New Project 3</v>
      </c>
      <c r="T87" s="600" t="str">
        <f>'Sys Admin'!O45</f>
        <v>Prospective</v>
      </c>
      <c r="U87" s="600" t="str">
        <f>'Sys Admin'!U45</f>
        <v>Prospective</v>
      </c>
      <c r="V87" s="601">
        <f t="shared" si="15"/>
        <v>0</v>
      </c>
      <c r="W87" s="602">
        <f>IF(U87="Prospective",0, IF(OR('Sys Admin Calculation'!Y73&lt;&gt;0,'Sys Admin Calculation Y2'!W85&lt;&gt;0),0,'ESPO Calculator'!$B$41))</f>
        <v>0</v>
      </c>
      <c r="X87" s="602">
        <f>IF(OR(V87=1, U87="Prospective"), 0, 'ESPO Calculator'!$D$48)</f>
        <v>0</v>
      </c>
      <c r="Y87" s="602">
        <f>W87+X87*IF('Sys Admin'!W45 &lt;&gt; 0, (12 - 'Sys Admin'!W45), 12)</f>
        <v>0</v>
      </c>
    </row>
    <row r="88" spans="7:25">
      <c r="G88" s="531" t="s">
        <v>630</v>
      </c>
      <c r="H88" s="532" t="s">
        <v>8</v>
      </c>
      <c r="I88" s="532" t="s">
        <v>33</v>
      </c>
      <c r="J88" s="533">
        <v>708.63974808201408</v>
      </c>
      <c r="K88" s="533">
        <v>204.02448165263047</v>
      </c>
      <c r="L88" s="533">
        <f>L51</f>
        <v>6859.6543199999996</v>
      </c>
      <c r="M88" s="534">
        <f>L58</f>
        <v>1406.4074960000003</v>
      </c>
      <c r="S88" s="600" t="str">
        <f t="shared" si="16"/>
        <v>New Project 4</v>
      </c>
      <c r="T88" s="600" t="str">
        <f>'Sys Admin'!O46</f>
        <v>Prospective</v>
      </c>
      <c r="U88" s="600" t="str">
        <f>'Sys Admin'!U46</f>
        <v>Prospective</v>
      </c>
      <c r="V88" s="601">
        <f t="shared" si="15"/>
        <v>0</v>
      </c>
      <c r="W88" s="602">
        <f>IF(U88="Prospective",0, IF(OR('Sys Admin Calculation'!Y74&lt;&gt;0,'Sys Admin Calculation Y2'!W86&lt;&gt;0),0,'ESPO Calculator'!$B$41))</f>
        <v>0</v>
      </c>
      <c r="X88" s="602">
        <f>IF(OR(V88=1, U88="Prospective"), 0, 'ESPO Calculator'!$D$48)</f>
        <v>0</v>
      </c>
      <c r="Y88" s="602">
        <f>W88+X88*IF('Sys Admin'!W46 &lt;&gt; 0, (12 - 'Sys Admin'!W46), 12)</f>
        <v>0</v>
      </c>
    </row>
    <row r="89" spans="7:25" ht="14.65" thickBot="1">
      <c r="G89" s="535" t="s">
        <v>84</v>
      </c>
      <c r="H89" s="536"/>
      <c r="I89" s="536"/>
      <c r="J89" s="537">
        <v>0</v>
      </c>
      <c r="K89" s="537">
        <v>0</v>
      </c>
      <c r="L89" s="595">
        <f>L52</f>
        <v>1</v>
      </c>
      <c r="M89" s="596">
        <f>L59</f>
        <v>1</v>
      </c>
      <c r="S89" s="600" t="str">
        <f t="shared" si="16"/>
        <v>New Project 5</v>
      </c>
      <c r="T89" s="600" t="str">
        <f>'Sys Admin'!O47</f>
        <v>Prospective</v>
      </c>
      <c r="U89" s="600" t="str">
        <f>'Sys Admin'!U47</f>
        <v>Prospective</v>
      </c>
      <c r="V89" s="601">
        <f t="shared" si="15"/>
        <v>0</v>
      </c>
      <c r="W89" s="602">
        <f>IF(U89="Prospective",0, IF(OR('Sys Admin Calculation'!Y75&lt;&gt;0,'Sys Admin Calculation Y2'!W87&lt;&gt;0),0,'ESPO Calculator'!$B$41))</f>
        <v>0</v>
      </c>
      <c r="X89" s="602">
        <f>IF(OR(V89=1, U89="Prospective"), 0, 'ESPO Calculator'!$D$48)</f>
        <v>0</v>
      </c>
      <c r="Y89" s="602">
        <f>W89+X89*IF('Sys Admin'!W47 &lt;&gt; 0, (12 - 'Sys Admin'!W47), 12)</f>
        <v>0</v>
      </c>
    </row>
    <row r="90" spans="7:25">
      <c r="S90" s="600" t="str">
        <f t="shared" si="16"/>
        <v>New Project 6</v>
      </c>
      <c r="T90" s="600" t="str">
        <f>'Sys Admin'!O48</f>
        <v>Prospective</v>
      </c>
      <c r="U90" s="600" t="str">
        <f>'Sys Admin'!U48</f>
        <v>Prospective</v>
      </c>
      <c r="V90" s="601">
        <f t="shared" si="15"/>
        <v>0</v>
      </c>
      <c r="W90" s="602">
        <f>IF(U90="Prospective",0, IF(OR('Sys Admin Calculation'!Y76&lt;&gt;0,'Sys Admin Calculation Y2'!W88&lt;&gt;0),0,'ESPO Calculator'!$B$41))</f>
        <v>0</v>
      </c>
      <c r="X90" s="602">
        <f>IF(OR(V90=1, U90="Prospective"), 0, 'ESPO Calculator'!$D$48)</f>
        <v>0</v>
      </c>
      <c r="Y90" s="602">
        <f>W90+X90*IF('Sys Admin'!W48 &lt;&gt; 0, (12 - 'Sys Admin'!W48), 12)</f>
        <v>0</v>
      </c>
    </row>
    <row r="91" spans="7:25">
      <c r="S91" s="600" t="str">
        <f t="shared" si="16"/>
        <v>New Project 7</v>
      </c>
      <c r="T91" s="600" t="str">
        <f>'Sys Admin'!O49</f>
        <v>Prospective</v>
      </c>
      <c r="U91" s="600" t="str">
        <f>'Sys Admin'!U49</f>
        <v>Prospective</v>
      </c>
      <c r="V91" s="601">
        <f t="shared" si="15"/>
        <v>0</v>
      </c>
      <c r="W91" s="602">
        <f>IF(U91="Prospective",0, IF(OR('Sys Admin Calculation'!Y77&lt;&gt;0,'Sys Admin Calculation Y2'!W89&lt;&gt;0),0,'ESPO Calculator'!$B$41))</f>
        <v>0</v>
      </c>
      <c r="X91" s="602">
        <f>IF(OR(V91=1, U91="Prospective"), 0, 'ESPO Calculator'!$D$48)</f>
        <v>0</v>
      </c>
      <c r="Y91" s="602">
        <f>W91+X91*IF('Sys Admin'!W49 &lt;&gt; 0, (12 - 'Sys Admin'!W49), 12)</f>
        <v>0</v>
      </c>
    </row>
    <row r="92" spans="7:25">
      <c r="S92" s="600" t="str">
        <f t="shared" si="16"/>
        <v>New Project 8</v>
      </c>
      <c r="T92" s="600" t="str">
        <f>'Sys Admin'!O50</f>
        <v>Prospective</v>
      </c>
      <c r="U92" s="600" t="str">
        <f>'Sys Admin'!U50</f>
        <v>Prospective</v>
      </c>
      <c r="V92" s="601">
        <f t="shared" si="15"/>
        <v>0</v>
      </c>
      <c r="W92" s="602">
        <f>IF(U92="Prospective",0, IF(OR('Sys Admin Calculation'!Y78&lt;&gt;0,'Sys Admin Calculation Y2'!W90&lt;&gt;0),0,'ESPO Calculator'!$B$41))</f>
        <v>0</v>
      </c>
      <c r="X92" s="602">
        <f>IF(OR(V92=1, U92="Prospective"), 0, 'ESPO Calculator'!$D$48)</f>
        <v>0</v>
      </c>
      <c r="Y92" s="602">
        <f>W92+X92*IF('Sys Admin'!W50 &lt;&gt; 0, (12 - 'Sys Admin'!W50), 12)</f>
        <v>0</v>
      </c>
    </row>
    <row r="93" spans="7:25">
      <c r="S93" s="600" t="str">
        <f t="shared" si="16"/>
        <v>New Project 9</v>
      </c>
      <c r="T93" s="600" t="str">
        <f>'Sys Admin'!O51</f>
        <v>Prospective</v>
      </c>
      <c r="U93" s="600" t="str">
        <f>'Sys Admin'!U51</f>
        <v>Prospective</v>
      </c>
      <c r="V93" s="601">
        <f t="shared" si="15"/>
        <v>0</v>
      </c>
      <c r="W93" s="602">
        <f>IF(U93="Prospective",0, IF(OR('Sys Admin Calculation'!Y79&lt;&gt;0,'Sys Admin Calculation Y2'!W91&lt;&gt;0),0,'ESPO Calculator'!$B$41))</f>
        <v>0</v>
      </c>
      <c r="X93" s="602">
        <f>IF(OR(V93=1, U93="Prospective"), 0, 'ESPO Calculator'!$D$48)</f>
        <v>0</v>
      </c>
      <c r="Y93" s="602">
        <f>W93+X93*IF('Sys Admin'!W51 &lt;&gt; 0, (12 - 'Sys Admin'!W51), 12)</f>
        <v>0</v>
      </c>
    </row>
    <row r="94" spans="7:25">
      <c r="S94" s="600" t="str">
        <f t="shared" si="16"/>
        <v>New Project 10</v>
      </c>
      <c r="T94" s="600" t="str">
        <f>'Sys Admin'!O52</f>
        <v>Prospective</v>
      </c>
      <c r="U94" s="600" t="str">
        <f>'Sys Admin'!U52</f>
        <v>Prospective</v>
      </c>
      <c r="V94" s="601">
        <f t="shared" si="15"/>
        <v>0</v>
      </c>
      <c r="W94" s="602">
        <f>IF(U94="Prospective",0, IF(OR('Sys Admin Calculation'!Y80&lt;&gt;0,'Sys Admin Calculation Y2'!W92&lt;&gt;0),0,'ESPO Calculator'!$B$41))</f>
        <v>0</v>
      </c>
      <c r="X94" s="602">
        <f>IF(OR(V94=1, U94="Prospective"), 0, 'ESPO Calculator'!$D$48)</f>
        <v>0</v>
      </c>
      <c r="Y94" s="602">
        <f>W94+X94*IF('Sys Admin'!W52 &lt;&gt; 0, (12 - 'Sys Admin'!W52), 12)</f>
        <v>0</v>
      </c>
    </row>
    <row r="95" spans="7:25">
      <c r="S95" s="600" t="str">
        <f t="shared" si="16"/>
        <v>New Project 11</v>
      </c>
      <c r="T95" s="600" t="str">
        <f>'Sys Admin'!O53</f>
        <v>Prospective</v>
      </c>
      <c r="U95" s="600" t="str">
        <f>'Sys Admin'!U53</f>
        <v>Prospective</v>
      </c>
      <c r="V95" s="601">
        <f t="shared" si="15"/>
        <v>0</v>
      </c>
      <c r="W95" s="602">
        <f>IF(U95="Prospective",0, IF(OR('Sys Admin Calculation'!Y81&lt;&gt;0,'Sys Admin Calculation Y2'!W93&lt;&gt;0),0,'ESPO Calculator'!$B$41))</f>
        <v>0</v>
      </c>
      <c r="X95" s="602">
        <f>IF(OR(V95=1, U95="Prospective"), 0, 'ESPO Calculator'!$D$48)</f>
        <v>0</v>
      </c>
      <c r="Y95" s="602">
        <f>W95+X95*IF('Sys Admin'!W53 &lt;&gt; 0, (12 - 'Sys Admin'!W53), 12)</f>
        <v>0</v>
      </c>
    </row>
    <row r="96" spans="7:25">
      <c r="S96" s="600" t="str">
        <f t="shared" si="16"/>
        <v>New Project 12</v>
      </c>
      <c r="T96" s="600" t="str">
        <f>'Sys Admin'!O54</f>
        <v>Prospective</v>
      </c>
      <c r="U96" s="600" t="str">
        <f>'Sys Admin'!U54</f>
        <v>Prospective</v>
      </c>
      <c r="V96" s="601">
        <f t="shared" si="15"/>
        <v>0</v>
      </c>
      <c r="W96" s="602">
        <f>IF(U96="Prospective",0, IF(OR('Sys Admin Calculation'!Y82&lt;&gt;0,'Sys Admin Calculation Y2'!W94&lt;&gt;0),0,'ESPO Calculator'!$B$41))</f>
        <v>0</v>
      </c>
      <c r="X96" s="602">
        <f>IF(OR(V96=1, U96="Prospective"), 0, 'ESPO Calculator'!$D$48)</f>
        <v>0</v>
      </c>
      <c r="Y96" s="602">
        <f>W96+X96*IF('Sys Admin'!W54 &lt;&gt; 0, (12 - 'Sys Admin'!W54), 12)</f>
        <v>0</v>
      </c>
    </row>
    <row r="97" spans="19:25">
      <c r="S97" s="600" t="str">
        <f t="shared" si="16"/>
        <v>New Project 13</v>
      </c>
      <c r="T97" s="600" t="str">
        <f>'Sys Admin'!O55</f>
        <v>Prospective</v>
      </c>
      <c r="U97" s="600" t="str">
        <f>'Sys Admin'!U55</f>
        <v>Prospective</v>
      </c>
      <c r="V97" s="601">
        <f t="shared" si="15"/>
        <v>0</v>
      </c>
      <c r="W97" s="602">
        <f>IF(U97="Prospective",0, IF(OR('Sys Admin Calculation'!Y83&lt;&gt;0,'Sys Admin Calculation Y2'!W95&lt;&gt;0),0,'ESPO Calculator'!$B$41))</f>
        <v>0</v>
      </c>
      <c r="X97" s="602">
        <f>IF(OR(V97=1, U97="Prospective"), 0, 'ESPO Calculator'!$D$48)</f>
        <v>0</v>
      </c>
      <c r="Y97" s="602">
        <f>W97+X97*IF('Sys Admin'!W55 &lt;&gt; 0, (12 - 'Sys Admin'!W55), 12)</f>
        <v>0</v>
      </c>
    </row>
    <row r="98" spans="19:25">
      <c r="S98" s="600" t="str">
        <f>A35</f>
        <v>New Project 14</v>
      </c>
      <c r="T98" s="600" t="str">
        <f>'Sys Admin'!O56</f>
        <v>Prospective</v>
      </c>
      <c r="U98" s="600" t="str">
        <f>'Sys Admin'!U56</f>
        <v>Prospective</v>
      </c>
      <c r="V98" s="601">
        <f t="shared" si="15"/>
        <v>0</v>
      </c>
      <c r="W98" s="602">
        <f>IF(U98="Prospective",0, IF(OR('Sys Admin Calculation'!Y84&lt;&gt;0,'Sys Admin Calculation Y2'!W96&lt;&gt;0),0,'ESPO Calculator'!$B$41))</f>
        <v>0</v>
      </c>
      <c r="X98" s="602">
        <f>IF(OR(V98=1, U98="Prospective"), 0, 'ESPO Calculator'!$D$48)</f>
        <v>0</v>
      </c>
      <c r="Y98" s="602">
        <f>W98+X98*IF('Sys Admin'!W56 &lt;&gt; 0, (12 - 'Sys Admin'!W56), 12)</f>
        <v>0</v>
      </c>
    </row>
    <row r="99" spans="19:25">
      <c r="S99" s="600" t="str">
        <f t="shared" si="16"/>
        <v>New Project 15</v>
      </c>
      <c r="T99" s="600" t="str">
        <f>'Sys Admin'!O57</f>
        <v>Prospective</v>
      </c>
      <c r="U99" s="600" t="str">
        <f>'Sys Admin'!U57</f>
        <v>Prospective</v>
      </c>
      <c r="V99" s="601">
        <f t="shared" si="15"/>
        <v>0</v>
      </c>
      <c r="W99" s="602">
        <f>IF(U99="Prospective",0, IF(OR('Sys Admin Calculation'!Y85&lt;&gt;0,'Sys Admin Calculation Y2'!W97&lt;&gt;0),0,'ESPO Calculator'!$B$41))</f>
        <v>0</v>
      </c>
      <c r="X99" s="602">
        <f>IF(OR(V99=1, U99="Prospective"), 0, 'ESPO Calculator'!$D$48)</f>
        <v>0</v>
      </c>
      <c r="Y99" s="602">
        <f>W99+X99*IF('Sys Admin'!W57 &lt;&gt; 0, (12 - 'Sys Admin'!W57), 12)</f>
        <v>0</v>
      </c>
    </row>
    <row r="100" spans="19:25">
      <c r="Y100" s="145">
        <f>SUM(Y68:Y99)</f>
        <v>260000</v>
      </c>
    </row>
  </sheetData>
  <sheetProtection algorithmName="SHA-512" hashValue="93enpWTsRHXdzJ3R40Qq/meEdvwlbDa1oBSAqku3WcqpNxuKbBfblB9+ssAafLKzetzP4kvzkHBOxkHB+bc1WQ==" saltValue="watdhvrQHx6T4y3pObk1Mg==" spinCount="100000" sheet="1" objects="1" scenarios="1" selectLockedCells="1" selectUnlockedCells="1"/>
  <mergeCells count="5">
    <mergeCell ref="Z2:AD2"/>
    <mergeCell ref="A3:D3"/>
    <mergeCell ref="E3:I3"/>
    <mergeCell ref="J3:N3"/>
    <mergeCell ref="E38:I38"/>
  </mergeCells>
  <pageMargins left="0.7" right="0.7" top="0.75" bottom="0.75" header="0.3" footer="0.3"/>
  <pageSetup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AF100"/>
  <sheetViews>
    <sheetView topLeftCell="A22" zoomScale="70" zoomScaleNormal="70" workbookViewId="0">
      <selection activeCell="F55" sqref="F55"/>
    </sheetView>
  </sheetViews>
  <sheetFormatPr defaultRowHeight="14.25"/>
  <cols>
    <col min="1" max="1" width="25.73046875" bestFit="1" customWidth="1"/>
    <col min="2" max="2" width="18.86328125" bestFit="1" customWidth="1"/>
    <col min="3" max="3" width="18.86328125" customWidth="1"/>
    <col min="4" max="4" width="18.3984375" bestFit="1" customWidth="1"/>
    <col min="5" max="5" width="16.265625" bestFit="1" customWidth="1"/>
    <col min="6" max="6" width="16.86328125" bestFit="1" customWidth="1"/>
    <col min="7" max="7" width="12.86328125" bestFit="1" customWidth="1"/>
    <col min="8" max="8" width="15.1328125" bestFit="1" customWidth="1"/>
    <col min="9" max="9" width="16.73046875" bestFit="1" customWidth="1"/>
    <col min="10" max="10" width="16.265625" bestFit="1" customWidth="1"/>
    <col min="11" max="11" width="16.86328125" bestFit="1" customWidth="1"/>
    <col min="12" max="12" width="12.86328125" bestFit="1" customWidth="1"/>
    <col min="13" max="13" width="12.1328125" bestFit="1" customWidth="1"/>
    <col min="14" max="14" width="29.73046875" customWidth="1"/>
    <col min="15" max="15" width="18.73046875" bestFit="1" customWidth="1"/>
    <col min="16" max="16" width="15.73046875" customWidth="1"/>
    <col min="17" max="17" width="26.86328125" bestFit="1" customWidth="1"/>
    <col min="18" max="18" width="23.265625" customWidth="1"/>
    <col min="19" max="19" width="14.265625" customWidth="1"/>
    <col min="20" max="22" width="24.1328125" customWidth="1"/>
    <col min="23" max="23" width="26.1328125" customWidth="1"/>
    <col min="24" max="25" width="24.1328125" customWidth="1"/>
    <col min="26" max="26" width="23.73046875" customWidth="1"/>
    <col min="27" max="27" width="18.86328125" customWidth="1"/>
    <col min="28" max="29" width="21.1328125" customWidth="1"/>
    <col min="30" max="30" width="22.265625" customWidth="1"/>
    <col min="31" max="31" width="16.86328125" customWidth="1"/>
  </cols>
  <sheetData>
    <row r="1" spans="1:31">
      <c r="A1" t="s">
        <v>16</v>
      </c>
    </row>
    <row r="2" spans="1:31" ht="14.65" thickBot="1">
      <c r="T2" s="526"/>
      <c r="U2" s="526"/>
      <c r="V2" s="526"/>
      <c r="W2" s="526"/>
      <c r="X2" s="526"/>
      <c r="Y2" s="526"/>
      <c r="Z2" s="824" t="s">
        <v>322</v>
      </c>
      <c r="AA2" s="824"/>
      <c r="AB2" s="824"/>
      <c r="AC2" s="824"/>
      <c r="AD2" s="824"/>
    </row>
    <row r="3" spans="1:31" ht="14.65" thickBot="1">
      <c r="A3" s="825" t="str">
        <f>Inputs!A12</f>
        <v>Project Tables (Update Monthly from Dashboard)</v>
      </c>
      <c r="B3" s="826"/>
      <c r="C3" s="826"/>
      <c r="D3" s="827"/>
      <c r="E3" s="828" t="str">
        <f>Inputs!D12</f>
        <v>Previous Month</v>
      </c>
      <c r="F3" s="829"/>
      <c r="G3" s="829"/>
      <c r="H3" s="830"/>
      <c r="I3" s="831"/>
      <c r="J3" s="832" t="str">
        <f>Inputs!I12</f>
        <v>3-Month Rolling Average</v>
      </c>
      <c r="K3" s="829"/>
      <c r="L3" s="829"/>
      <c r="M3" s="829"/>
      <c r="N3" s="830"/>
      <c r="O3" s="583" t="str">
        <f>Inputs!N12</f>
        <v>Project Cost to Date</v>
      </c>
      <c r="P3" s="583" t="str">
        <f>Inputs!O12</f>
        <v>Number of current analysts</v>
      </c>
      <c r="Q3" s="583" t="str">
        <f>Inputs!P12</f>
        <v>Current Level of Enablement</v>
      </c>
      <c r="R3" s="583" t="str">
        <f>Inputs!Q12</f>
        <v>MoM Growth Rate in Costs</v>
      </c>
      <c r="S3" s="583" t="str">
        <f>Inputs!R12</f>
        <v xml:space="preserve">Annual Cost </v>
      </c>
      <c r="T3" t="s">
        <v>317</v>
      </c>
      <c r="U3" t="s">
        <v>327</v>
      </c>
      <c r="V3" t="s">
        <v>310</v>
      </c>
      <c r="W3" t="s">
        <v>329</v>
      </c>
      <c r="X3" t="s">
        <v>17</v>
      </c>
      <c r="Y3" t="s">
        <v>333</v>
      </c>
      <c r="Z3" t="s">
        <v>318</v>
      </c>
      <c r="AA3" t="s">
        <v>320</v>
      </c>
      <c r="AB3" t="s">
        <v>319</v>
      </c>
      <c r="AC3" t="s">
        <v>609</v>
      </c>
      <c r="AD3" t="s">
        <v>321</v>
      </c>
      <c r="AE3" t="s">
        <v>40</v>
      </c>
    </row>
    <row r="4" spans="1:31">
      <c r="A4" s="44" t="str">
        <f>Inputs!A13</f>
        <v>Project List</v>
      </c>
      <c r="B4" s="44" t="str">
        <f>Inputs!B13</f>
        <v>Remaining Duration</v>
      </c>
      <c r="C4" s="44" t="s">
        <v>328</v>
      </c>
      <c r="D4" s="44" t="str">
        <f>Inputs!C13</f>
        <v>Current Phase</v>
      </c>
      <c r="E4" s="44" t="str">
        <f>Inputs!D13</f>
        <v>Enablement Cost</v>
      </c>
      <c r="F4" s="44" t="str">
        <f>Inputs!E13</f>
        <v>Data Related Cost</v>
      </c>
      <c r="G4" s="44" t="str">
        <f>Inputs!F13</f>
        <v>Analysts Cost</v>
      </c>
      <c r="H4" s="44" t="str">
        <f>Inputs!G13</f>
        <v>Overhead Costs</v>
      </c>
      <c r="I4" s="44" t="str">
        <f>Inputs!H13</f>
        <v>Platform Services</v>
      </c>
      <c r="J4" s="44" t="str">
        <f>Inputs!I13</f>
        <v>Enablement Cost</v>
      </c>
      <c r="K4" s="44" t="str">
        <f>Inputs!J13</f>
        <v>Data Related Cost</v>
      </c>
      <c r="L4" s="44" t="str">
        <f>Inputs!K13</f>
        <v>Analysts Cost</v>
      </c>
      <c r="M4" s="44" t="str">
        <f>Inputs!L13</f>
        <v>Overhead</v>
      </c>
      <c r="N4" s="44" t="str">
        <f>Inputs!M13</f>
        <v>Plaftorm Services</v>
      </c>
      <c r="O4" s="44"/>
      <c r="P4" s="44"/>
      <c r="Q4" s="44"/>
      <c r="R4" s="44"/>
      <c r="S4" s="44"/>
      <c r="T4" s="584"/>
      <c r="U4" s="584"/>
      <c r="V4" s="584"/>
      <c r="W4" s="584"/>
      <c r="X4" s="584"/>
      <c r="Y4" s="584"/>
      <c r="Z4" s="584"/>
      <c r="AA4" s="584"/>
      <c r="AB4" s="584"/>
      <c r="AC4" s="584"/>
      <c r="AD4" s="584"/>
      <c r="AE4" s="585"/>
    </row>
    <row r="5" spans="1:31">
      <c r="A5" s="15" t="str">
        <f>Inputs!A14</f>
        <v>CVP-NYC</v>
      </c>
      <c r="B5" s="15">
        <f>Inputs!B14</f>
        <v>12</v>
      </c>
      <c r="C5" s="15" t="s">
        <v>31</v>
      </c>
      <c r="D5" s="15" t="s">
        <v>83</v>
      </c>
      <c r="E5" s="136">
        <f>'Sys Admin Calculation Y3'!E5</f>
        <v>0</v>
      </c>
      <c r="F5" s="136">
        <f>'Sys Admin Calculation Y3'!F5*(1+('Sys Admin'!$AA$21/100))</f>
        <v>0</v>
      </c>
      <c r="G5" s="136">
        <f>'Sys Admin Calculation Y3'!G5*(1+('Sys Admin'!$AA$21/100))</f>
        <v>0</v>
      </c>
      <c r="H5" s="136">
        <f>'Sys Admin Calculation Y3'!H5</f>
        <v>1348.2025000000001</v>
      </c>
      <c r="I5" s="136">
        <f>'Sys Admin Calculation Y3'!I5</f>
        <v>169.03936250000001</v>
      </c>
      <c r="J5" s="136">
        <f>Inputs!I14</f>
        <v>0</v>
      </c>
      <c r="K5" s="136">
        <f>Inputs!J14</f>
        <v>0</v>
      </c>
      <c r="L5" s="136">
        <f>Inputs!K14</f>
        <v>0</v>
      </c>
      <c r="M5" s="136">
        <f>Inputs!L14</f>
        <v>1348.2025000000001</v>
      </c>
      <c r="N5" s="136">
        <f>Inputs!M14</f>
        <v>169.03936250000001</v>
      </c>
      <c r="O5" s="136">
        <f>Inputs!N14</f>
        <v>20000</v>
      </c>
      <c r="P5" s="136">
        <f>Inputs!O14</f>
        <v>5</v>
      </c>
      <c r="Q5" s="136" t="str">
        <f>Inputs!P14</f>
        <v>None</v>
      </c>
      <c r="R5" s="136">
        <f>Inputs!Q14</f>
        <v>0</v>
      </c>
      <c r="S5" s="136">
        <f>Inputs!R14</f>
        <v>18206.90235</v>
      </c>
      <c r="T5" s="563" t="str">
        <f>'Sys Admin'!Y24</f>
        <v>None</v>
      </c>
      <c r="U5" s="563" t="str">
        <f>'Sys Admin'!AA24</f>
        <v>Active</v>
      </c>
      <c r="V5" s="563">
        <f>'Sys Admin'!AC24</f>
        <v>0</v>
      </c>
      <c r="W5" s="576">
        <f>IF(AND(V68=1, 'Sys Admin Calculation'!X54=0, 'Sys Admin Calculation Y2'!V66=0, 'Sys Admin Calculation Y3'!V68=0), VLOOKUP(U5&amp;T5,$N$48:$Q$65,4,FALSE), VLOOKUP(U5&amp;T5,$N$66:$Q$70,4,FALSE))</f>
        <v>0</v>
      </c>
      <c r="X5" s="563">
        <f>IF(U5="Prospective",0,IF(U5="Onboarding",2,IF(U5="Planning/Discovery",2,(12-V5))))</f>
        <v>12</v>
      </c>
      <c r="Y5" s="563">
        <f>IF(AND(V68=1,'Sys Admin Calculation'!X54=0, 'Sys Admin Calculation Y2'!V66=0, 'Sys Admin Calculation Y3'!V68=0),  VLOOKUP(T5,$P$71:$Q$74,2,FALSE), IF(AND(V68=1, OR('Sys Admin Calculation'!X54=1, 'Sys Admin Calculation Y2'!V66=1, 'Sys Admin Calculation Y3'!V68=1)), 0,IF(U5&lt;&gt;"Active", 0, W5*X5)))</f>
        <v>0</v>
      </c>
      <c r="Z5" s="50">
        <f>(IF(U5=D5,F5,IF(U5="Prospective",0,IF(U5="Planning/Discovery",0,IF(U5="Onboarding",0,IF(U5="Export/Retirement",0,VLOOKUP(U5&amp;C5,$V$46:$X$48,3,FALSE)))))))*(12-V5)</f>
        <v>24676.080000000002</v>
      </c>
      <c r="AA5" s="50">
        <f>(IF(U5=D5,F5,IF(U5="Prospective",0,IF(U5="Planning/Discovery",0,IF(U5="Onboarding",0,IF(U5="Export/Retirement",0,VLOOKUP(U5&amp;C5,$V$46:$Y$48,4,FALSE)))))))*(12-V5)</f>
        <v>4509.12</v>
      </c>
      <c r="AB5" s="50">
        <f t="shared" ref="AB5:AB21" si="0">IF(U5="Planning/Discovery",$L$49*2,IF(U5="Onboarding",$L$50*2,IF(U5="Active",$L$51*(12-V5),IF(U5="Export/Retirement",$L$52*1, 0))))</f>
        <v>84645.545759999979</v>
      </c>
      <c r="AC5" s="490">
        <f>Y68</f>
        <v>26000</v>
      </c>
      <c r="AD5" s="50">
        <f t="shared" ref="AD5:AD21" si="1">IF(U5="Planning/Discovery",$L$56*2,IF(U5="Onboarding",$L$57*2,IF(U5="Active",$L$58*(12-V5),IF(U5="Export/Retirement",$L$59*2, 0))))</f>
        <v>18175.112256</v>
      </c>
      <c r="AE5" s="564">
        <f>SUM(Y5,Z5,AA5,AB5,AC5,AD5)</f>
        <v>158005.85801599995</v>
      </c>
    </row>
    <row r="6" spans="1:31">
      <c r="A6" s="15" t="str">
        <f>Inputs!A15</f>
        <v>CVP-THEA</v>
      </c>
      <c r="B6" s="15">
        <f>Inputs!B15</f>
        <v>12</v>
      </c>
      <c r="C6" s="15" t="s">
        <v>32</v>
      </c>
      <c r="D6" s="15" t="str">
        <f>Inputs!C15</f>
        <v>Active</v>
      </c>
      <c r="E6" s="136">
        <f>'Sys Admin Calculation Y3'!E6</f>
        <v>0</v>
      </c>
      <c r="F6" s="136">
        <f>'Sys Admin Calculation Y3'!F6*(1+('Sys Admin'!$AA$21/100))</f>
        <v>27.897760000000009</v>
      </c>
      <c r="G6" s="136">
        <f>'Sys Admin Calculation Y3'!G6*(1+('Sys Admin'!$AA$21/100))</f>
        <v>0</v>
      </c>
      <c r="H6" s="136">
        <f>'Sys Admin Calculation Y3'!H6</f>
        <v>7190.413333333333</v>
      </c>
      <c r="I6" s="136">
        <f>'Sys Admin Calculation Y3'!I6</f>
        <v>1202.0576888888891</v>
      </c>
      <c r="J6" s="136">
        <f>Inputs!I15</f>
        <v>0</v>
      </c>
      <c r="K6" s="136">
        <f>Inputs!J15</f>
        <v>477.21333333333337</v>
      </c>
      <c r="L6" s="136">
        <f>Inputs!K15</f>
        <v>0</v>
      </c>
      <c r="M6" s="136">
        <f>Inputs!L15</f>
        <v>7190.413333333333</v>
      </c>
      <c r="N6" s="136">
        <f>Inputs!M15</f>
        <v>1202.0576888888891</v>
      </c>
      <c r="O6" s="136">
        <f>Inputs!N15</f>
        <v>0</v>
      </c>
      <c r="P6" s="136">
        <f>Inputs!O15</f>
        <v>5</v>
      </c>
      <c r="Q6" s="136" t="str">
        <f>Inputs!P15</f>
        <v>None</v>
      </c>
      <c r="R6" s="136">
        <f>Inputs!Q15</f>
        <v>0.04</v>
      </c>
      <c r="S6" s="136">
        <f>Inputs!R15</f>
        <v>100961.17226666668</v>
      </c>
      <c r="T6" s="563" t="str">
        <f>'Sys Admin'!Y25</f>
        <v>None</v>
      </c>
      <c r="U6" s="563" t="str">
        <f>'Sys Admin'!AA25</f>
        <v>Active</v>
      </c>
      <c r="V6" s="563">
        <f>'Sys Admin'!AC25</f>
        <v>0</v>
      </c>
      <c r="W6" s="576">
        <f>IF(AND(V69=1, 'Sys Admin Calculation'!X55=0, 'Sys Admin Calculation Y2'!V67=0, 'Sys Admin Calculation Y3'!V69=0), VLOOKUP(U6&amp;T6,$N$48:$Q$65,4,FALSE), VLOOKUP(U6&amp;T6,$N$66:$Q$70,4,FALSE))</f>
        <v>0</v>
      </c>
      <c r="X6" s="563">
        <f t="shared" ref="X6:X36" si="2">IF(U6="Prospective",0,IF(U6="Onboarding",2,IF(U6="Planning/Discovery",2,(12-V6))))</f>
        <v>12</v>
      </c>
      <c r="Y6" s="563">
        <f>IF(AND(V69=1,'Sys Admin Calculation'!X55=0, 'Sys Admin Calculation Y2'!V67=0, 'Sys Admin Calculation Y3'!V69=0),  VLOOKUP(T6,$P$71:$Q$74,2,FALSE), IF(AND(V69=1, OR('Sys Admin Calculation'!X55=1, 'Sys Admin Calculation Y2'!V67=1, 'Sys Admin Calculation Y3'!V69=1)), 0,IF(U6&lt;&gt;"Active", 0, W6*X6)))</f>
        <v>0</v>
      </c>
      <c r="Z6" s="50">
        <f t="shared" ref="Z6:Z21" si="3">(IF(U6=D6,F6,IF(U6="Prospective",0,IF(U6="Planning/Discovery",0,IF(U6="Onboarding",0,IF(U6="Export/Retirement",0,VLOOKUP(U6&amp;C6,$V$46:$X$48,3,FALSE)))))))*(12-V6)</f>
        <v>334.77312000000012</v>
      </c>
      <c r="AA6" s="50">
        <f t="shared" ref="AA6:AA21" si="4">(IF(U6=D6,F6,IF(U6="Prospective",0,IF(U6="Planning/Discovery",0,IF(U6="Onboarding",0,IF(U6="Export/Retirement",0,VLOOKUP(U6&amp;C6,$V$46:$Y$48,4,FALSE)))))))*(12-V6)</f>
        <v>334.77312000000012</v>
      </c>
      <c r="AB6" s="50">
        <f t="shared" si="0"/>
        <v>84645.545759999979</v>
      </c>
      <c r="AC6" s="490">
        <f t="shared" ref="AC6:AC36" si="5">Y69</f>
        <v>26000</v>
      </c>
      <c r="AD6" s="50">
        <f t="shared" si="1"/>
        <v>18175.112256</v>
      </c>
      <c r="AE6" s="564">
        <f t="shared" ref="AE6:AE36" si="6">SUM(Y6,Z6,AA6,AB6,AC6,AD6)</f>
        <v>129490.20425599997</v>
      </c>
    </row>
    <row r="7" spans="1:31">
      <c r="A7" s="15" t="str">
        <f>Inputs!A16</f>
        <v>CVP-WYDOT</v>
      </c>
      <c r="B7" s="15">
        <f>Inputs!B16</f>
        <v>12</v>
      </c>
      <c r="C7" s="15" t="s">
        <v>31</v>
      </c>
      <c r="D7" s="15" t="str">
        <f>Inputs!C16</f>
        <v>Active</v>
      </c>
      <c r="E7" s="136">
        <f>'Sys Admin Calculation Y3'!E7</f>
        <v>0</v>
      </c>
      <c r="F7" s="136">
        <f>'Sys Admin Calculation Y3'!F7*(1+('Sys Admin'!$AA$21/100))</f>
        <v>82.561930000000018</v>
      </c>
      <c r="G7" s="136">
        <f>'Sys Admin Calculation Y3'!G7*(1+('Sys Admin'!$AA$21/100))</f>
        <v>0</v>
      </c>
      <c r="H7" s="136">
        <f>'Sys Admin Calculation Y3'!H7</f>
        <v>7190.413333333333</v>
      </c>
      <c r="I7" s="136">
        <f>'Sys Admin Calculation Y3'!I7</f>
        <v>1202.0576888888891</v>
      </c>
      <c r="J7" s="136">
        <f>Inputs!I16</f>
        <v>0</v>
      </c>
      <c r="K7" s="136">
        <f>Inputs!J16</f>
        <v>49.360000000000007</v>
      </c>
      <c r="L7" s="136">
        <f>Inputs!K16</f>
        <v>0</v>
      </c>
      <c r="M7" s="136">
        <f>Inputs!L16</f>
        <v>7190.413333333333</v>
      </c>
      <c r="N7" s="136">
        <f>Inputs!M16</f>
        <v>1202.0576888888891</v>
      </c>
      <c r="O7" s="136">
        <f>Inputs!N16</f>
        <v>0</v>
      </c>
      <c r="P7" s="136">
        <f>Inputs!O16</f>
        <v>8</v>
      </c>
      <c r="Q7" s="136" t="str">
        <f>Inputs!P16</f>
        <v>None</v>
      </c>
      <c r="R7" s="136">
        <f>Inputs!Q16</f>
        <v>0.04</v>
      </c>
      <c r="S7" s="136">
        <f>Inputs!R16</f>
        <v>101454.01226666667</v>
      </c>
      <c r="T7" s="563" t="str">
        <f>'Sys Admin'!Y26</f>
        <v>None</v>
      </c>
      <c r="U7" s="563" t="str">
        <f>'Sys Admin'!AA26</f>
        <v>Active</v>
      </c>
      <c r="V7" s="563">
        <f>'Sys Admin'!AC26</f>
        <v>0</v>
      </c>
      <c r="W7" s="576">
        <f>IF(AND(V70=1, 'Sys Admin Calculation'!X56=0, 'Sys Admin Calculation Y2'!V68=0, 'Sys Admin Calculation Y3'!V70=0), VLOOKUP(U7&amp;T7,$N$48:$Q$65,4,FALSE), VLOOKUP(U7&amp;T7,$N$66:$Q$70,4,FALSE))</f>
        <v>0</v>
      </c>
      <c r="X7" s="563">
        <f t="shared" si="2"/>
        <v>12</v>
      </c>
      <c r="Y7" s="563">
        <f>IF(AND(V70=1,'Sys Admin Calculation'!X56=0, 'Sys Admin Calculation Y2'!V68=0, 'Sys Admin Calculation Y3'!V70=0),  VLOOKUP(T7,$P$71:$Q$74,2,FALSE), IF(AND(V70=1, OR('Sys Admin Calculation'!X56=1, 'Sys Admin Calculation Y2'!V68=1, 'Sys Admin Calculation Y3'!V70=1)), 0,IF(U7&lt;&gt;"Active", 0, W7*X7)))</f>
        <v>0</v>
      </c>
      <c r="Z7" s="50">
        <f t="shared" si="3"/>
        <v>990.74316000000022</v>
      </c>
      <c r="AA7" s="50">
        <f t="shared" si="4"/>
        <v>990.74316000000022</v>
      </c>
      <c r="AB7" s="50">
        <f t="shared" si="0"/>
        <v>84645.545759999979</v>
      </c>
      <c r="AC7" s="490">
        <f t="shared" si="5"/>
        <v>26000</v>
      </c>
      <c r="AD7" s="50">
        <f t="shared" si="1"/>
        <v>18175.112256</v>
      </c>
      <c r="AE7" s="564">
        <f t="shared" si="6"/>
        <v>130802.14433599997</v>
      </c>
    </row>
    <row r="8" spans="1:31">
      <c r="A8" s="15" t="str">
        <f>Inputs!A17</f>
        <v>CVP-Volpe-IE</v>
      </c>
      <c r="B8" s="15">
        <f>Inputs!B17</f>
        <v>12</v>
      </c>
      <c r="C8" s="15" t="s">
        <v>31</v>
      </c>
      <c r="D8" s="15" t="str">
        <f>Inputs!C17</f>
        <v>Active</v>
      </c>
      <c r="E8" s="136">
        <f>'Sys Admin Calculation Y3'!E8</f>
        <v>0</v>
      </c>
      <c r="F8" s="136">
        <f>'Sys Admin Calculation Y3'!F8*(1+('Sys Admin'!$AA$21/100))</f>
        <v>0</v>
      </c>
      <c r="G8" s="136">
        <f>'Sys Admin Calculation Y3'!G8*(1+('Sys Admin'!$AA$21/100))</f>
        <v>197.30744000000007</v>
      </c>
      <c r="H8" s="136">
        <f>'Sys Admin Calculation Y3'!H8</f>
        <v>7190.413333333333</v>
      </c>
      <c r="I8" s="136">
        <f>'Sys Admin Calculation Y3'!I8</f>
        <v>1202.0576888888891</v>
      </c>
      <c r="J8" s="136">
        <f>Inputs!I17</f>
        <v>0</v>
      </c>
      <c r="K8" s="136">
        <f>Inputs!J17</f>
        <v>0</v>
      </c>
      <c r="L8" s="136">
        <f>Inputs!K17</f>
        <v>170.27333333333334</v>
      </c>
      <c r="M8" s="136">
        <f>Inputs!L17</f>
        <v>7190.413333333333</v>
      </c>
      <c r="N8" s="136">
        <f>Inputs!M17</f>
        <v>1202.0576888888891</v>
      </c>
      <c r="O8" s="136">
        <f>Inputs!N17</f>
        <v>0</v>
      </c>
      <c r="P8" s="136">
        <f>Inputs!O17</f>
        <v>5</v>
      </c>
      <c r="Q8" s="136" t="str">
        <f>Inputs!P17</f>
        <v>None</v>
      </c>
      <c r="R8" s="136">
        <f>Inputs!Q17</f>
        <v>0.04</v>
      </c>
      <c r="S8" s="136">
        <f>Inputs!R17</f>
        <v>102488.53226666666</v>
      </c>
      <c r="T8" s="563" t="str">
        <f>'Sys Admin'!Y27</f>
        <v>None</v>
      </c>
      <c r="U8" s="563" t="str">
        <f>'Sys Admin'!AA27</f>
        <v>Active</v>
      </c>
      <c r="V8" s="563">
        <f>'Sys Admin'!AC27</f>
        <v>0</v>
      </c>
      <c r="W8" s="576">
        <f>IF(AND(V71=1, 'Sys Admin Calculation'!X57=0, 'Sys Admin Calculation Y2'!V69=0, 'Sys Admin Calculation Y3'!V71=0), VLOOKUP(U8&amp;T8,$N$48:$Q$65,4,FALSE), VLOOKUP(U8&amp;T8,$N$66:$Q$70,4,FALSE))</f>
        <v>0</v>
      </c>
      <c r="X8" s="563">
        <f t="shared" si="2"/>
        <v>12</v>
      </c>
      <c r="Y8" s="563">
        <f>IF(AND(V71=1,'Sys Admin Calculation'!X57=0, 'Sys Admin Calculation Y2'!V69=0, 'Sys Admin Calculation Y3'!V71=0),  VLOOKUP(T8,$P$71:$Q$74,2,FALSE), IF(AND(V71=1, OR('Sys Admin Calculation'!X57=1, 'Sys Admin Calculation Y2'!V69=1, 'Sys Admin Calculation Y3'!V71=1)), 0,IF(U8&lt;&gt;"Active", 0, W8*X8)))</f>
        <v>0</v>
      </c>
      <c r="Z8" s="50">
        <f t="shared" si="3"/>
        <v>0</v>
      </c>
      <c r="AA8" s="50">
        <f t="shared" si="4"/>
        <v>0</v>
      </c>
      <c r="AB8" s="50">
        <f t="shared" si="0"/>
        <v>84645.545759999979</v>
      </c>
      <c r="AC8" s="490">
        <f t="shared" si="5"/>
        <v>26000</v>
      </c>
      <c r="AD8" s="50">
        <f t="shared" si="1"/>
        <v>18175.112256</v>
      </c>
      <c r="AE8" s="564">
        <f t="shared" si="6"/>
        <v>128820.65801599997</v>
      </c>
    </row>
    <row r="9" spans="1:31">
      <c r="A9" s="15" t="str">
        <f>Inputs!A18</f>
        <v>CVP-TTI-IE</v>
      </c>
      <c r="B9" s="15">
        <f>Inputs!B18</f>
        <v>12</v>
      </c>
      <c r="C9" s="15" t="s">
        <v>31</v>
      </c>
      <c r="D9" s="15" t="str">
        <f>Inputs!C18</f>
        <v>Active</v>
      </c>
      <c r="E9" s="136">
        <f>'Sys Admin Calculation Y3'!E9</f>
        <v>0</v>
      </c>
      <c r="F9" s="136">
        <f>'Sys Admin Calculation Y3'!F9*(1+('Sys Admin'!$AA$21/100))</f>
        <v>0</v>
      </c>
      <c r="G9" s="136">
        <f>'Sys Admin Calculation Y3'!G9*(1+('Sys Admin'!$AA$21/100))</f>
        <v>124.62153000000004</v>
      </c>
      <c r="H9" s="136">
        <f>'Sys Admin Calculation Y3'!H9</f>
        <v>7190.413333333333</v>
      </c>
      <c r="I9" s="136">
        <f>'Sys Admin Calculation Y3'!I9</f>
        <v>1202.0576888888891</v>
      </c>
      <c r="J9" s="136">
        <f>Inputs!I18</f>
        <v>0</v>
      </c>
      <c r="K9" s="136">
        <f>Inputs!J18</f>
        <v>0</v>
      </c>
      <c r="L9" s="136">
        <f>Inputs!K18</f>
        <v>95.11</v>
      </c>
      <c r="M9" s="136">
        <f>Inputs!L18</f>
        <v>7190.413333333333</v>
      </c>
      <c r="N9" s="136">
        <f>Inputs!M18</f>
        <v>1202.0576888888891</v>
      </c>
      <c r="O9" s="136">
        <f>Inputs!N18</f>
        <v>0</v>
      </c>
      <c r="P9" s="136">
        <f>Inputs!O18</f>
        <v>10</v>
      </c>
      <c r="Q9" s="136" t="str">
        <f>Inputs!P18</f>
        <v>None</v>
      </c>
      <c r="R9" s="136">
        <f>Inputs!Q18</f>
        <v>0.04</v>
      </c>
      <c r="S9" s="136">
        <f>Inputs!R18</f>
        <v>101833.21226666665</v>
      </c>
      <c r="T9" s="563" t="str">
        <f>'Sys Admin'!Y28</f>
        <v>None</v>
      </c>
      <c r="U9" s="563" t="str">
        <f>'Sys Admin'!AA28</f>
        <v>Active</v>
      </c>
      <c r="V9" s="563">
        <f>'Sys Admin'!AC28</f>
        <v>0</v>
      </c>
      <c r="W9" s="576">
        <f>IF(AND(V72=1, 'Sys Admin Calculation'!X58=0, 'Sys Admin Calculation Y2'!V70=0, 'Sys Admin Calculation Y3'!V72=0), VLOOKUP(U9&amp;T9,$N$48:$Q$65,4,FALSE), VLOOKUP(U9&amp;T9,$N$66:$Q$70,4,FALSE))</f>
        <v>0</v>
      </c>
      <c r="X9" s="563">
        <f t="shared" si="2"/>
        <v>12</v>
      </c>
      <c r="Y9" s="563">
        <f>IF(AND(V72=1,'Sys Admin Calculation'!X58=0, 'Sys Admin Calculation Y2'!V70=0, 'Sys Admin Calculation Y3'!V72=0),  VLOOKUP(T9,$P$71:$Q$74,2,FALSE), IF(AND(V72=1, OR('Sys Admin Calculation'!X58=1, 'Sys Admin Calculation Y2'!V70=1, 'Sys Admin Calculation Y3'!V72=1)), 0,IF(U9&lt;&gt;"Active", 0, W9*X9)))</f>
        <v>0</v>
      </c>
      <c r="Z9" s="50">
        <f t="shared" si="3"/>
        <v>0</v>
      </c>
      <c r="AA9" s="50">
        <f t="shared" si="4"/>
        <v>0</v>
      </c>
      <c r="AB9" s="50">
        <f t="shared" si="0"/>
        <v>84645.545759999979</v>
      </c>
      <c r="AC9" s="490">
        <f t="shared" si="5"/>
        <v>26000</v>
      </c>
      <c r="AD9" s="50">
        <f t="shared" si="1"/>
        <v>18175.112256</v>
      </c>
      <c r="AE9" s="564">
        <f t="shared" si="6"/>
        <v>128820.65801599997</v>
      </c>
    </row>
    <row r="10" spans="1:31">
      <c r="A10" s="15" t="str">
        <f>Inputs!A19</f>
        <v>CARMA3-FMCSA</v>
      </c>
      <c r="B10" s="15">
        <f>Inputs!B19</f>
        <v>12</v>
      </c>
      <c r="C10" s="15" t="s">
        <v>32</v>
      </c>
      <c r="D10" s="15" t="str">
        <f>Inputs!C19</f>
        <v>Planning/Discovery</v>
      </c>
      <c r="E10" s="136">
        <f>'Sys Admin Calculation Y3'!E10</f>
        <v>0</v>
      </c>
      <c r="F10" s="136">
        <f>'Sys Admin Calculation Y3'!F10*(1+('Sys Admin'!$AA$21/100))</f>
        <v>0</v>
      </c>
      <c r="G10" s="136">
        <f>'Sys Admin Calculation Y3'!G10*(1+('Sys Admin'!$AA$21/100))</f>
        <v>0</v>
      </c>
      <c r="H10" s="136">
        <f>'Sys Admin Calculation Y3'!H10</f>
        <v>1348.2025000000001</v>
      </c>
      <c r="I10" s="136">
        <f>'Sys Admin Calculation Y3'!I10</f>
        <v>169.03936250000001</v>
      </c>
      <c r="J10" s="136">
        <f>Inputs!I19</f>
        <v>0</v>
      </c>
      <c r="K10" s="136">
        <f>Inputs!J19</f>
        <v>0</v>
      </c>
      <c r="L10" s="136">
        <f>Inputs!K19</f>
        <v>0</v>
      </c>
      <c r="M10" s="136">
        <f>Inputs!L19</f>
        <v>0</v>
      </c>
      <c r="N10" s="136">
        <f>Inputs!M19</f>
        <v>0</v>
      </c>
      <c r="O10" s="136">
        <f>Inputs!N19</f>
        <v>0</v>
      </c>
      <c r="P10" s="136">
        <f>Inputs!O19</f>
        <v>0</v>
      </c>
      <c r="Q10" s="136" t="str">
        <f>Inputs!P19</f>
        <v>None</v>
      </c>
      <c r="R10" s="136">
        <f>Inputs!Q19</f>
        <v>0</v>
      </c>
      <c r="S10" s="136">
        <f>Inputs!R19</f>
        <v>18206.90235</v>
      </c>
      <c r="T10" s="563" t="str">
        <f>'Sys Admin'!Y29</f>
        <v>None</v>
      </c>
      <c r="U10" s="563" t="str">
        <f>'Sys Admin'!AA29</f>
        <v>Prospective</v>
      </c>
      <c r="V10" s="563">
        <f>'Sys Admin'!AC29</f>
        <v>0</v>
      </c>
      <c r="W10" s="576">
        <f>IF(AND(V73=1, 'Sys Admin Calculation'!X59=0, 'Sys Admin Calculation Y2'!V71=0, 'Sys Admin Calculation Y3'!V73=0), VLOOKUP(U10&amp;T10,$N$48:$Q$65,4,FALSE), VLOOKUP(U10&amp;T10,$N$66:$Q$70,4,FALSE))</f>
        <v>0</v>
      </c>
      <c r="X10" s="563">
        <f t="shared" si="2"/>
        <v>0</v>
      </c>
      <c r="Y10" s="563">
        <f>IF(AND(V73=1,'Sys Admin Calculation'!X59=0, 'Sys Admin Calculation Y2'!V71=0, 'Sys Admin Calculation Y3'!V73=0),  VLOOKUP(T10,$P$71:$Q$74,2,FALSE), IF(AND(V73=1, OR('Sys Admin Calculation'!X59=1, 'Sys Admin Calculation Y2'!V71=1, 'Sys Admin Calculation Y3'!V73=1)), 0,IF(U10&lt;&gt;"Active", 0, W10*X10)))</f>
        <v>0</v>
      </c>
      <c r="Z10" s="50">
        <f t="shared" si="3"/>
        <v>0</v>
      </c>
      <c r="AA10" s="50">
        <f t="shared" si="4"/>
        <v>0</v>
      </c>
      <c r="AB10" s="50">
        <f t="shared" si="0"/>
        <v>0</v>
      </c>
      <c r="AC10" s="490">
        <f t="shared" si="5"/>
        <v>0</v>
      </c>
      <c r="AD10" s="50">
        <f t="shared" si="1"/>
        <v>0</v>
      </c>
      <c r="AE10" s="564">
        <f t="shared" si="6"/>
        <v>0</v>
      </c>
    </row>
    <row r="11" spans="1:31">
      <c r="A11" s="15" t="str">
        <f>Inputs!A20</f>
        <v>CARMA-FHWA</v>
      </c>
      <c r="B11" s="15">
        <f>Inputs!B20</f>
        <v>12</v>
      </c>
      <c r="C11" s="15" t="s">
        <v>32</v>
      </c>
      <c r="D11" s="15" t="str">
        <f>Inputs!C20</f>
        <v>Planning/Discovery</v>
      </c>
      <c r="E11" s="136">
        <f>'Sys Admin Calculation Y3'!E11</f>
        <v>0</v>
      </c>
      <c r="F11" s="136">
        <f>'Sys Admin Calculation Y3'!F11*(1+('Sys Admin'!$AA$21/100))</f>
        <v>0</v>
      </c>
      <c r="G11" s="136">
        <f>'Sys Admin Calculation Y3'!G11*(1+('Sys Admin'!$AA$21/100))</f>
        <v>0</v>
      </c>
      <c r="H11" s="136">
        <f>'Sys Admin Calculation Y3'!H11</f>
        <v>1348.2025000000001</v>
      </c>
      <c r="I11" s="136">
        <f>'Sys Admin Calculation Y3'!I11</f>
        <v>169.03936250000001</v>
      </c>
      <c r="J11" s="136">
        <f>Inputs!I20</f>
        <v>0</v>
      </c>
      <c r="K11" s="136">
        <f>Inputs!J20</f>
        <v>0</v>
      </c>
      <c r="L11" s="136">
        <f>Inputs!K20</f>
        <v>0</v>
      </c>
      <c r="M11" s="136">
        <f>Inputs!L20</f>
        <v>1348.2025000000001</v>
      </c>
      <c r="N11" s="136">
        <f>Inputs!M20</f>
        <v>169.03936250000001</v>
      </c>
      <c r="O11" s="136">
        <f>Inputs!N20</f>
        <v>0</v>
      </c>
      <c r="P11" s="136">
        <f>Inputs!O20</f>
        <v>0</v>
      </c>
      <c r="Q11" s="136" t="str">
        <f>Inputs!P20</f>
        <v>None</v>
      </c>
      <c r="R11" s="136">
        <f>Inputs!Q20</f>
        <v>0</v>
      </c>
      <c r="S11" s="136">
        <f>Inputs!R20</f>
        <v>18206.90235</v>
      </c>
      <c r="T11" s="563" t="str">
        <f>'Sys Admin'!Y30</f>
        <v>None</v>
      </c>
      <c r="U11" s="563" t="str">
        <f>'Sys Admin'!AA30</f>
        <v>Prospective</v>
      </c>
      <c r="V11" s="563">
        <f>'Sys Admin'!AC30</f>
        <v>0</v>
      </c>
      <c r="W11" s="576">
        <f>IF(AND(V74=1, 'Sys Admin Calculation'!X60=0, 'Sys Admin Calculation Y2'!V72=0, 'Sys Admin Calculation Y3'!V74=0), VLOOKUP(U11&amp;T11,$N$48:$Q$65,4,FALSE), VLOOKUP(U11&amp;T11,$N$66:$Q$70,4,FALSE))</f>
        <v>0</v>
      </c>
      <c r="X11" s="563">
        <f t="shared" si="2"/>
        <v>0</v>
      </c>
      <c r="Y11" s="563">
        <f>IF(AND(V74=1,'Sys Admin Calculation'!X60=0, 'Sys Admin Calculation Y2'!V72=0, 'Sys Admin Calculation Y3'!V74=0),  VLOOKUP(T11,$P$71:$Q$74,2,FALSE), IF(AND(V74=1, OR('Sys Admin Calculation'!X60=1, 'Sys Admin Calculation Y2'!V72=1, 'Sys Admin Calculation Y3'!V74=1)), 0,IF(U11&lt;&gt;"Active", 0, W11*X11)))</f>
        <v>0</v>
      </c>
      <c r="Z11" s="50">
        <f t="shared" si="3"/>
        <v>0</v>
      </c>
      <c r="AA11" s="50">
        <f t="shared" si="4"/>
        <v>0</v>
      </c>
      <c r="AB11" s="50">
        <f t="shared" si="0"/>
        <v>0</v>
      </c>
      <c r="AC11" s="490">
        <f t="shared" si="5"/>
        <v>0</v>
      </c>
      <c r="AD11" s="50">
        <f t="shared" si="1"/>
        <v>0</v>
      </c>
      <c r="AE11" s="564">
        <f t="shared" si="6"/>
        <v>0</v>
      </c>
    </row>
    <row r="12" spans="1:31">
      <c r="A12" s="15" t="str">
        <f>Inputs!A21</f>
        <v>FMI-ATRI</v>
      </c>
      <c r="B12" s="15">
        <f>Inputs!B21</f>
        <v>12</v>
      </c>
      <c r="C12" s="15" t="s">
        <v>31</v>
      </c>
      <c r="D12" s="15" t="str">
        <f>Inputs!C21</f>
        <v>Active</v>
      </c>
      <c r="E12" s="136">
        <f>'Sys Admin Calculation Y3'!E12</f>
        <v>0</v>
      </c>
      <c r="F12" s="136">
        <f>'Sys Admin Calculation Y3'!F12*(1+('Sys Admin'!$AA$21/100))</f>
        <v>174.82685000000006</v>
      </c>
      <c r="G12" s="136">
        <f>'Sys Admin Calculation Y3'!G12*(1+('Sys Admin'!$AA$21/100))</f>
        <v>0</v>
      </c>
      <c r="H12" s="136">
        <f>'Sys Admin Calculation Y3'!H12</f>
        <v>7190.413333333333</v>
      </c>
      <c r="I12" s="136">
        <f>'Sys Admin Calculation Y3'!I12</f>
        <v>1202.0576888888891</v>
      </c>
      <c r="J12" s="136">
        <f>Inputs!I21</f>
        <v>0</v>
      </c>
      <c r="K12" s="136">
        <f>Inputs!J21</f>
        <v>187.05333333333331</v>
      </c>
      <c r="L12" s="136">
        <f>Inputs!K21</f>
        <v>0</v>
      </c>
      <c r="M12" s="136">
        <f>Inputs!L21</f>
        <v>7190.413333333333</v>
      </c>
      <c r="N12" s="136">
        <f>Inputs!M21</f>
        <v>1202.0576888888891</v>
      </c>
      <c r="O12" s="136">
        <f>Inputs!N21</f>
        <v>0</v>
      </c>
      <c r="P12" s="136">
        <f>Inputs!O21</f>
        <v>5</v>
      </c>
      <c r="Q12" s="136" t="str">
        <f>Inputs!P21</f>
        <v>None</v>
      </c>
      <c r="R12" s="136">
        <f>Inputs!Q21</f>
        <v>0.04</v>
      </c>
      <c r="S12" s="136">
        <f>Inputs!R21</f>
        <v>102285.85226666667</v>
      </c>
      <c r="T12" s="563" t="str">
        <f>'Sys Admin'!Y31</f>
        <v>None</v>
      </c>
      <c r="U12" s="563" t="str">
        <f>'Sys Admin'!AA31</f>
        <v>Active</v>
      </c>
      <c r="V12" s="563">
        <f>'Sys Admin'!AC31</f>
        <v>0</v>
      </c>
      <c r="W12" s="576">
        <f>IF(AND(V75=1, 'Sys Admin Calculation'!X61=0, 'Sys Admin Calculation Y2'!V73=0, 'Sys Admin Calculation Y3'!V75=0), VLOOKUP(U12&amp;T12,$N$48:$Q$65,4,FALSE), VLOOKUP(U12&amp;T12,$N$66:$Q$70,4,FALSE))</f>
        <v>0</v>
      </c>
      <c r="X12" s="563">
        <f t="shared" si="2"/>
        <v>12</v>
      </c>
      <c r="Y12" s="563">
        <f>IF(AND(V75=1,'Sys Admin Calculation'!X61=0, 'Sys Admin Calculation Y2'!V73=0, 'Sys Admin Calculation Y3'!V75=0),  VLOOKUP(T12,$P$71:$Q$74,2,FALSE), IF(AND(V75=1, OR('Sys Admin Calculation'!X61=1, 'Sys Admin Calculation Y2'!V73=1, 'Sys Admin Calculation Y3'!V75=1)), 0,IF(U12&lt;&gt;"Active", 0, W12*X12)))</f>
        <v>0</v>
      </c>
      <c r="Z12" s="50">
        <f t="shared" si="3"/>
        <v>2097.9222000000009</v>
      </c>
      <c r="AA12" s="50">
        <f t="shared" si="4"/>
        <v>2097.9222000000009</v>
      </c>
      <c r="AB12" s="50">
        <f t="shared" si="0"/>
        <v>84645.545759999979</v>
      </c>
      <c r="AC12" s="490">
        <f t="shared" si="5"/>
        <v>26000</v>
      </c>
      <c r="AD12" s="50">
        <f t="shared" si="1"/>
        <v>18175.112256</v>
      </c>
      <c r="AE12" s="564">
        <f t="shared" si="6"/>
        <v>133016.50241599997</v>
      </c>
    </row>
    <row r="13" spans="1:31">
      <c r="A13" s="15" t="str">
        <f>Inputs!A22</f>
        <v>FMI-BTS</v>
      </c>
      <c r="B13" s="15">
        <f>Inputs!B22</f>
        <v>12</v>
      </c>
      <c r="C13" s="15" t="s">
        <v>31</v>
      </c>
      <c r="D13" s="15" t="str">
        <f>Inputs!C22</f>
        <v>Active</v>
      </c>
      <c r="E13" s="136">
        <f>'Sys Admin Calculation Y3'!E13</f>
        <v>0</v>
      </c>
      <c r="F13" s="136">
        <f>'Sys Admin Calculation Y3'!F13*(1+('Sys Admin'!$AA$21/100))</f>
        <v>0</v>
      </c>
      <c r="G13" s="136">
        <f>'Sys Admin Calculation Y3'!G13*(1+('Sys Admin'!$AA$21/100))</f>
        <v>0</v>
      </c>
      <c r="H13" s="136">
        <f>'Sys Admin Calculation Y3'!H13</f>
        <v>7190.413333333333</v>
      </c>
      <c r="I13" s="136">
        <f>'Sys Admin Calculation Y3'!I13</f>
        <v>1202.0576888888891</v>
      </c>
      <c r="J13" s="136">
        <f>Inputs!I22</f>
        <v>0</v>
      </c>
      <c r="K13" s="136">
        <f>Inputs!J22</f>
        <v>0</v>
      </c>
      <c r="L13" s="136">
        <f>Inputs!K22</f>
        <v>0</v>
      </c>
      <c r="M13" s="136">
        <f>Inputs!L22</f>
        <v>7190.413333333333</v>
      </c>
      <c r="N13" s="136">
        <f>Inputs!M22</f>
        <v>1202.0576888888891</v>
      </c>
      <c r="O13" s="136">
        <f>Inputs!N22</f>
        <v>0</v>
      </c>
      <c r="P13" s="136">
        <f>Inputs!O22</f>
        <v>3</v>
      </c>
      <c r="Q13" s="136" t="str">
        <f>Inputs!P22</f>
        <v>None</v>
      </c>
      <c r="R13" s="136">
        <f>Inputs!Q22</f>
        <v>0.04</v>
      </c>
      <c r="S13" s="136">
        <f>Inputs!R22</f>
        <v>100709.65226666667</v>
      </c>
      <c r="T13" s="563" t="str">
        <f>'Sys Admin'!Y32</f>
        <v>None</v>
      </c>
      <c r="U13" s="563" t="str">
        <f>'Sys Admin'!AA32</f>
        <v>Active</v>
      </c>
      <c r="V13" s="563">
        <f>'Sys Admin'!AC32</f>
        <v>0</v>
      </c>
      <c r="W13" s="576">
        <f>IF(AND(V76=1, 'Sys Admin Calculation'!X62=0, 'Sys Admin Calculation Y2'!V74=0, 'Sys Admin Calculation Y3'!V76=0), VLOOKUP(U13&amp;T13,$N$48:$Q$65,4,FALSE), VLOOKUP(U13&amp;T13,$N$66:$Q$70,4,FALSE))</f>
        <v>0</v>
      </c>
      <c r="X13" s="563">
        <f t="shared" si="2"/>
        <v>12</v>
      </c>
      <c r="Y13" s="563">
        <f>IF(AND(V76=1,'Sys Admin Calculation'!X62=0, 'Sys Admin Calculation Y2'!V74=0, 'Sys Admin Calculation Y3'!V76=0),  VLOOKUP(T13,$P$71:$Q$74,2,FALSE), IF(AND(V76=1, OR('Sys Admin Calculation'!X62=1, 'Sys Admin Calculation Y2'!V74=1, 'Sys Admin Calculation Y3'!V76=1)), 0,IF(U13&lt;&gt;"Active", 0, W13*X13)))</f>
        <v>0</v>
      </c>
      <c r="Z13" s="50">
        <f t="shared" si="3"/>
        <v>0</v>
      </c>
      <c r="AA13" s="50">
        <f t="shared" si="4"/>
        <v>0</v>
      </c>
      <c r="AB13" s="50">
        <f t="shared" si="0"/>
        <v>84645.545759999979</v>
      </c>
      <c r="AC13" s="490">
        <f t="shared" si="5"/>
        <v>26000</v>
      </c>
      <c r="AD13" s="50">
        <f t="shared" si="1"/>
        <v>18175.112256</v>
      </c>
      <c r="AE13" s="564">
        <f t="shared" si="6"/>
        <v>128820.65801599997</v>
      </c>
    </row>
    <row r="14" spans="1:31">
      <c r="A14" s="15" t="str">
        <f>Inputs!A23</f>
        <v>FTA-DA</v>
      </c>
      <c r="B14" s="15">
        <f>Inputs!B23</f>
        <v>12</v>
      </c>
      <c r="C14" s="15" t="s">
        <v>33</v>
      </c>
      <c r="D14" s="15" t="str">
        <f>Inputs!C23</f>
        <v>Active</v>
      </c>
      <c r="E14" s="136">
        <f>'Sys Admin Calculation Y3'!E14</f>
        <v>0</v>
      </c>
      <c r="F14" s="136">
        <f>'Sys Admin Calculation Y3'!F14*(1+('Sys Admin'!$AA$21/100))</f>
        <v>0</v>
      </c>
      <c r="G14" s="136">
        <f>'Sys Admin Calculation Y3'!G14*(1+('Sys Admin'!$AA$21/100))</f>
        <v>0</v>
      </c>
      <c r="H14" s="136">
        <f>'Sys Admin Calculation Y3'!H14</f>
        <v>7190.413333333333</v>
      </c>
      <c r="I14" s="136">
        <f>'Sys Admin Calculation Y3'!I14</f>
        <v>1202.0576888888891</v>
      </c>
      <c r="J14" s="136">
        <f>Inputs!I23</f>
        <v>0</v>
      </c>
      <c r="K14" s="136">
        <f>Inputs!J23</f>
        <v>0</v>
      </c>
      <c r="L14" s="136">
        <f>Inputs!K23</f>
        <v>0</v>
      </c>
      <c r="M14" s="136">
        <f>Inputs!L23</f>
        <v>7190.413333333333</v>
      </c>
      <c r="N14" s="136">
        <f>Inputs!M23</f>
        <v>1202.0576888888891</v>
      </c>
      <c r="O14" s="136">
        <f>Inputs!N23</f>
        <v>0</v>
      </c>
      <c r="P14" s="136">
        <f>Inputs!O23</f>
        <v>1</v>
      </c>
      <c r="Q14" s="136" t="str">
        <f>Inputs!P23</f>
        <v>None</v>
      </c>
      <c r="R14" s="136">
        <f>Inputs!Q23</f>
        <v>0.04</v>
      </c>
      <c r="S14" s="136">
        <f>Inputs!R23</f>
        <v>100709.65226666667</v>
      </c>
      <c r="T14" s="563" t="str">
        <f>'Sys Admin'!Y33</f>
        <v>None</v>
      </c>
      <c r="U14" s="563" t="str">
        <f>'Sys Admin'!AA33</f>
        <v>Active</v>
      </c>
      <c r="V14" s="563">
        <f>'Sys Admin'!AC33</f>
        <v>0</v>
      </c>
      <c r="W14" s="576">
        <f>IF(AND(V77=1, 'Sys Admin Calculation'!X63=0, 'Sys Admin Calculation Y2'!V75=0, 'Sys Admin Calculation Y3'!V77=0), VLOOKUP(U14&amp;T14,$N$48:$Q$65,4,FALSE), VLOOKUP(U14&amp;T14,$N$66:$Q$70,4,FALSE))</f>
        <v>0</v>
      </c>
      <c r="X14" s="563">
        <f t="shared" si="2"/>
        <v>12</v>
      </c>
      <c r="Y14" s="563">
        <f>IF(AND(V77=1,'Sys Admin Calculation'!X63=0, 'Sys Admin Calculation Y2'!V75=0, 'Sys Admin Calculation Y3'!V77=0),  VLOOKUP(T14,$P$71:$Q$74,2,FALSE), IF(AND(V77=1, OR('Sys Admin Calculation'!X63=1, 'Sys Admin Calculation Y2'!V75=1, 'Sys Admin Calculation Y3'!V77=1)), 0,IF(U14&lt;&gt;"Active", 0, W14*X14)))</f>
        <v>0</v>
      </c>
      <c r="Z14" s="50">
        <f t="shared" si="3"/>
        <v>0</v>
      </c>
      <c r="AA14" s="50">
        <f t="shared" si="4"/>
        <v>0</v>
      </c>
      <c r="AB14" s="50">
        <f t="shared" si="0"/>
        <v>84645.545759999979</v>
      </c>
      <c r="AC14" s="490">
        <f t="shared" si="5"/>
        <v>26000</v>
      </c>
      <c r="AD14" s="50">
        <f t="shared" si="1"/>
        <v>18175.112256</v>
      </c>
      <c r="AE14" s="564">
        <f t="shared" si="6"/>
        <v>128820.65801599997</v>
      </c>
    </row>
    <row r="15" spans="1:31">
      <c r="A15" s="15" t="str">
        <f>Inputs!A24</f>
        <v>MOD 2.0</v>
      </c>
      <c r="B15" s="15">
        <f>Inputs!B24</f>
        <v>12</v>
      </c>
      <c r="C15" s="15" t="s">
        <v>33</v>
      </c>
      <c r="D15" s="15" t="str">
        <f>Inputs!C24</f>
        <v>Prospective</v>
      </c>
      <c r="E15" s="136">
        <f>'Sys Admin Calculation Y3'!E15</f>
        <v>0</v>
      </c>
      <c r="F15" s="136">
        <f>'Sys Admin Calculation Y3'!F15*(1+('Sys Admin'!$AA$21/100))</f>
        <v>0</v>
      </c>
      <c r="G15" s="136">
        <f>'Sys Admin Calculation Y3'!G15*(1+('Sys Admin'!$AA$21/100))</f>
        <v>0</v>
      </c>
      <c r="H15" s="136">
        <f>'Sys Admin Calculation Y3'!H15</f>
        <v>0</v>
      </c>
      <c r="I15" s="136">
        <f>'Sys Admin Calculation Y3'!I15</f>
        <v>0</v>
      </c>
      <c r="J15" s="136">
        <f>Inputs!I24</f>
        <v>0</v>
      </c>
      <c r="K15" s="136">
        <f>Inputs!J24</f>
        <v>0</v>
      </c>
      <c r="L15" s="136">
        <f>Inputs!K24</f>
        <v>0</v>
      </c>
      <c r="M15" s="136">
        <f>Inputs!L24</f>
        <v>0</v>
      </c>
      <c r="N15" s="136">
        <f>Inputs!M24</f>
        <v>0</v>
      </c>
      <c r="O15" s="136">
        <f>Inputs!N24</f>
        <v>0</v>
      </c>
      <c r="P15" s="136">
        <f>Inputs!O24</f>
        <v>0</v>
      </c>
      <c r="Q15" s="136" t="str">
        <f>Inputs!P24</f>
        <v>None</v>
      </c>
      <c r="R15" s="136">
        <f>Inputs!Q24</f>
        <v>0</v>
      </c>
      <c r="S15" s="136">
        <f>Inputs!R24</f>
        <v>0</v>
      </c>
      <c r="T15" s="563" t="str">
        <f>'Sys Admin'!Y34</f>
        <v>None</v>
      </c>
      <c r="U15" s="563" t="str">
        <f>'Sys Admin'!AA34</f>
        <v>Prospective</v>
      </c>
      <c r="V15" s="563">
        <f>'Sys Admin'!AC34</f>
        <v>0</v>
      </c>
      <c r="W15" s="576">
        <f>IF(AND(V78=1, 'Sys Admin Calculation'!X64=0, 'Sys Admin Calculation Y2'!V76=0, 'Sys Admin Calculation Y3'!V78=0), VLOOKUP(U15&amp;T15,$N$48:$Q$65,4,FALSE), VLOOKUP(U15&amp;T15,$N$66:$Q$70,4,FALSE))</f>
        <v>0</v>
      </c>
      <c r="X15" s="563">
        <f t="shared" si="2"/>
        <v>0</v>
      </c>
      <c r="Y15" s="563">
        <f>IF(AND(V78=1,'Sys Admin Calculation'!X64=0, 'Sys Admin Calculation Y2'!V76=0, 'Sys Admin Calculation Y3'!V78=0),  VLOOKUP(T15,$P$71:$Q$74,2,FALSE), IF(AND(V78=1, OR('Sys Admin Calculation'!X64=1, 'Sys Admin Calculation Y2'!V76=1, 'Sys Admin Calculation Y3'!V78=1)), 0,IF(U15&lt;&gt;"Active", 0, W15*X15)))</f>
        <v>0</v>
      </c>
      <c r="Z15" s="50">
        <f t="shared" si="3"/>
        <v>0</v>
      </c>
      <c r="AA15" s="50">
        <f t="shared" si="4"/>
        <v>0</v>
      </c>
      <c r="AB15" s="50">
        <f t="shared" si="0"/>
        <v>0</v>
      </c>
      <c r="AC15" s="490">
        <f t="shared" si="5"/>
        <v>0</v>
      </c>
      <c r="AD15" s="50">
        <f t="shared" si="1"/>
        <v>0</v>
      </c>
      <c r="AE15" s="564">
        <f t="shared" si="6"/>
        <v>0</v>
      </c>
    </row>
    <row r="16" spans="1:31">
      <c r="A16" s="15" t="str">
        <f>Inputs!A25</f>
        <v xml:space="preserve">MPI </v>
      </c>
      <c r="B16" s="15">
        <f>Inputs!B25</f>
        <v>12</v>
      </c>
      <c r="C16" s="15" t="s">
        <v>33</v>
      </c>
      <c r="D16" s="15" t="str">
        <f>Inputs!C25</f>
        <v>Prospective</v>
      </c>
      <c r="E16" s="136">
        <f>'Sys Admin Calculation Y3'!E16</f>
        <v>0</v>
      </c>
      <c r="F16" s="136">
        <f>'Sys Admin Calculation Y3'!F16*(1+('Sys Admin'!$AA$21/100))</f>
        <v>0</v>
      </c>
      <c r="G16" s="136">
        <f>'Sys Admin Calculation Y3'!G16*(1+('Sys Admin'!$AA$21/100))</f>
        <v>0</v>
      </c>
      <c r="H16" s="136">
        <f>'Sys Admin Calculation Y3'!H16</f>
        <v>0</v>
      </c>
      <c r="I16" s="136">
        <f>'Sys Admin Calculation Y3'!I16</f>
        <v>0</v>
      </c>
      <c r="J16" s="136">
        <f>Inputs!I25</f>
        <v>0</v>
      </c>
      <c r="K16" s="136">
        <f>Inputs!J25</f>
        <v>0</v>
      </c>
      <c r="L16" s="136">
        <f>Inputs!K25</f>
        <v>0</v>
      </c>
      <c r="M16" s="136">
        <f>Inputs!L25</f>
        <v>0</v>
      </c>
      <c r="N16" s="136">
        <f>Inputs!M25</f>
        <v>0</v>
      </c>
      <c r="O16" s="136">
        <f>Inputs!N25</f>
        <v>0</v>
      </c>
      <c r="P16" s="136">
        <f>Inputs!O25</f>
        <v>0</v>
      </c>
      <c r="Q16" s="136" t="str">
        <f>Inputs!P25</f>
        <v>None</v>
      </c>
      <c r="R16" s="136">
        <f>Inputs!Q25</f>
        <v>0</v>
      </c>
      <c r="S16" s="136">
        <f>Inputs!R25</f>
        <v>0</v>
      </c>
      <c r="T16" s="563" t="str">
        <f>'Sys Admin'!Y35</f>
        <v>None</v>
      </c>
      <c r="U16" s="563" t="str">
        <f>'Sys Admin'!AA35</f>
        <v>Prospective</v>
      </c>
      <c r="V16" s="563">
        <f>'Sys Admin'!AC35</f>
        <v>0</v>
      </c>
      <c r="W16" s="576">
        <f>IF(AND(V79=1, 'Sys Admin Calculation'!X65=0, 'Sys Admin Calculation Y2'!V77=0, 'Sys Admin Calculation Y3'!V79=0), VLOOKUP(U16&amp;T16,$N$48:$Q$65,4,FALSE), VLOOKUP(U16&amp;T16,$N$66:$Q$70,4,FALSE))</f>
        <v>0</v>
      </c>
      <c r="X16" s="563">
        <f t="shared" si="2"/>
        <v>0</v>
      </c>
      <c r="Y16" s="563">
        <f>IF(AND(V79=1,'Sys Admin Calculation'!X65=0, 'Sys Admin Calculation Y2'!V77=0, 'Sys Admin Calculation Y3'!V79=0),  VLOOKUP(T16,$P$71:$Q$74,2,FALSE), IF(AND(V79=1, OR('Sys Admin Calculation'!X65=1, 'Sys Admin Calculation Y2'!V77=1, 'Sys Admin Calculation Y3'!V79=1)), 0,IF(U16&lt;&gt;"Active", 0, W16*X16)))</f>
        <v>0</v>
      </c>
      <c r="Z16" s="50">
        <f t="shared" si="3"/>
        <v>0</v>
      </c>
      <c r="AA16" s="50">
        <f t="shared" si="4"/>
        <v>0</v>
      </c>
      <c r="AB16" s="50">
        <f t="shared" si="0"/>
        <v>0</v>
      </c>
      <c r="AC16" s="490">
        <f t="shared" si="5"/>
        <v>0</v>
      </c>
      <c r="AD16" s="50">
        <f t="shared" si="1"/>
        <v>0</v>
      </c>
      <c r="AE16" s="564">
        <f t="shared" si="6"/>
        <v>0</v>
      </c>
    </row>
    <row r="17" spans="1:32">
      <c r="A17" s="15" t="str">
        <f>Inputs!A26</f>
        <v>WAZE-WAZE</v>
      </c>
      <c r="B17" s="15">
        <f>Inputs!B26</f>
        <v>12</v>
      </c>
      <c r="C17" s="15" t="s">
        <v>31</v>
      </c>
      <c r="D17" s="15" t="str">
        <f>Inputs!C26</f>
        <v>Active</v>
      </c>
      <c r="E17" s="136">
        <f>'Sys Admin Calculation Y3'!E17</f>
        <v>0</v>
      </c>
      <c r="F17" s="136">
        <f>'Sys Admin Calculation Y3'!F17*(1+('Sys Admin'!$AA$21/100))</f>
        <v>1295.9947000000004</v>
      </c>
      <c r="G17" s="136">
        <f>'Sys Admin Calculation Y3'!G17*(1+('Sys Admin'!$AA$21/100))</f>
        <v>0</v>
      </c>
      <c r="H17" s="136">
        <f>'Sys Admin Calculation Y3'!H17</f>
        <v>7190.413333333333</v>
      </c>
      <c r="I17" s="136">
        <f>'Sys Admin Calculation Y3'!I17</f>
        <v>1202.0576888888891</v>
      </c>
      <c r="J17" s="136">
        <f>Inputs!I26</f>
        <v>0</v>
      </c>
      <c r="K17" s="136">
        <f>Inputs!J26</f>
        <v>1109.17</v>
      </c>
      <c r="L17" s="136">
        <f>Inputs!K26</f>
        <v>0</v>
      </c>
      <c r="M17" s="136">
        <f>Inputs!L26</f>
        <v>7190.413333333333</v>
      </c>
      <c r="N17" s="136">
        <f>Inputs!M26</f>
        <v>1202.0576888888891</v>
      </c>
      <c r="O17" s="136">
        <f>Inputs!N26</f>
        <v>0</v>
      </c>
      <c r="P17" s="136">
        <f>Inputs!O26</f>
        <v>3</v>
      </c>
      <c r="Q17" s="136" t="str">
        <f>Inputs!P26</f>
        <v>None</v>
      </c>
      <c r="R17" s="136">
        <f>Inputs!Q26</f>
        <v>0.04</v>
      </c>
      <c r="S17" s="136">
        <f>Inputs!R26</f>
        <v>112394.05226666665</v>
      </c>
      <c r="T17" s="563" t="str">
        <f>'Sys Admin'!Y36</f>
        <v>None</v>
      </c>
      <c r="U17" s="563" t="str">
        <f>'Sys Admin'!AA36</f>
        <v>Active</v>
      </c>
      <c r="V17" s="563">
        <f>'Sys Admin'!AC36</f>
        <v>0</v>
      </c>
      <c r="W17" s="576">
        <f>IF(AND(V80=1, 'Sys Admin Calculation'!X66=0, 'Sys Admin Calculation Y2'!V78=0, 'Sys Admin Calculation Y3'!V80=0), VLOOKUP(U17&amp;T17,$N$48:$Q$65,4,FALSE), VLOOKUP(U17&amp;T17,$N$66:$Q$70,4,FALSE))</f>
        <v>0</v>
      </c>
      <c r="X17" s="563">
        <f t="shared" si="2"/>
        <v>12</v>
      </c>
      <c r="Y17" s="563">
        <f>IF(AND(V80=1,'Sys Admin Calculation'!X66=0, 'Sys Admin Calculation Y2'!V78=0, 'Sys Admin Calculation Y3'!V80=0),  VLOOKUP(T17,$P$71:$Q$74,2,FALSE), IF(AND(V80=1, OR('Sys Admin Calculation'!X66=1, 'Sys Admin Calculation Y2'!V78=1, 'Sys Admin Calculation Y3'!V80=1)), 0,IF(U17&lt;&gt;"Active", 0, W17*X17)))</f>
        <v>0</v>
      </c>
      <c r="Z17" s="50">
        <f t="shared" si="3"/>
        <v>15551.936400000006</v>
      </c>
      <c r="AA17" s="50">
        <f t="shared" si="4"/>
        <v>15551.936400000006</v>
      </c>
      <c r="AB17" s="50">
        <f t="shared" si="0"/>
        <v>84645.545759999979</v>
      </c>
      <c r="AC17" s="490">
        <f t="shared" si="5"/>
        <v>26000</v>
      </c>
      <c r="AD17" s="50">
        <f t="shared" si="1"/>
        <v>18175.112256</v>
      </c>
      <c r="AE17" s="564">
        <f t="shared" si="6"/>
        <v>159924.53081599998</v>
      </c>
    </row>
    <row r="18" spans="1:32">
      <c r="A18" s="15" t="str">
        <f>Inputs!A27</f>
        <v>WAZE-SDI</v>
      </c>
      <c r="B18" s="15">
        <f>Inputs!B27</f>
        <v>12</v>
      </c>
      <c r="C18" s="15" t="s">
        <v>31</v>
      </c>
      <c r="D18" s="15" t="str">
        <f>Inputs!C27</f>
        <v>Active</v>
      </c>
      <c r="E18" s="136">
        <f>'Sys Admin Calculation Y3'!E18</f>
        <v>0</v>
      </c>
      <c r="F18" s="136">
        <f>'Sys Admin Calculation Y3'!F18*(1+('Sys Admin'!$AA$21/100))</f>
        <v>0</v>
      </c>
      <c r="G18" s="136">
        <f>'Sys Admin Calculation Y3'!G18*(1+('Sys Admin'!$AA$21/100))</f>
        <v>470.49519000000015</v>
      </c>
      <c r="H18" s="136">
        <f>'Sys Admin Calculation Y3'!H18</f>
        <v>7190.413333333333</v>
      </c>
      <c r="I18" s="136">
        <f>'Sys Admin Calculation Y3'!I18</f>
        <v>1202.0576888888891</v>
      </c>
      <c r="J18" s="136">
        <f>Inputs!I27</f>
        <v>0</v>
      </c>
      <c r="K18" s="136">
        <f>Inputs!J27</f>
        <v>0</v>
      </c>
      <c r="L18" s="136">
        <f>Inputs!K27</f>
        <v>449.72333333333336</v>
      </c>
      <c r="M18" s="136">
        <f>Inputs!L27</f>
        <v>7190.413333333333</v>
      </c>
      <c r="N18" s="136">
        <f>Inputs!M27</f>
        <v>1202.0576888888891</v>
      </c>
      <c r="O18" s="136">
        <f>Inputs!N27</f>
        <v>0</v>
      </c>
      <c r="P18" s="136">
        <f>Inputs!O27</f>
        <v>0</v>
      </c>
      <c r="Q18" s="136" t="str">
        <f>Inputs!P27</f>
        <v>None</v>
      </c>
      <c r="R18" s="136">
        <f>Inputs!Q27</f>
        <v>0.04</v>
      </c>
      <c r="S18" s="136">
        <f>Inputs!R27</f>
        <v>104951.53226666666</v>
      </c>
      <c r="T18" s="563" t="str">
        <f>'Sys Admin'!Y37</f>
        <v>None</v>
      </c>
      <c r="U18" s="563" t="str">
        <f>'Sys Admin'!AA37</f>
        <v>Active</v>
      </c>
      <c r="V18" s="563">
        <f>'Sys Admin'!AC37</f>
        <v>0</v>
      </c>
      <c r="W18" s="576">
        <f>IF(AND(V81=1, 'Sys Admin Calculation'!X67=0, 'Sys Admin Calculation Y2'!V79=0, 'Sys Admin Calculation Y3'!V81=0), VLOOKUP(U18&amp;T18,$N$48:$Q$65,4,FALSE), VLOOKUP(U18&amp;T18,$N$66:$Q$70,4,FALSE))</f>
        <v>0</v>
      </c>
      <c r="X18" s="563">
        <f t="shared" si="2"/>
        <v>12</v>
      </c>
      <c r="Y18" s="563">
        <f>IF(AND(V81=1,'Sys Admin Calculation'!X67=0, 'Sys Admin Calculation Y2'!V79=0, 'Sys Admin Calculation Y3'!V81=0),  VLOOKUP(T18,$P$71:$Q$74,2,FALSE), IF(AND(V81=1, OR('Sys Admin Calculation'!X67=1, 'Sys Admin Calculation Y2'!V79=1, 'Sys Admin Calculation Y3'!V81=1)), 0,IF(U18&lt;&gt;"Active", 0, W18*X18)))</f>
        <v>0</v>
      </c>
      <c r="Z18" s="50">
        <f t="shared" si="3"/>
        <v>0</v>
      </c>
      <c r="AA18" s="50">
        <f t="shared" si="4"/>
        <v>0</v>
      </c>
      <c r="AB18" s="50">
        <f t="shared" si="0"/>
        <v>84645.545759999979</v>
      </c>
      <c r="AC18" s="490">
        <f t="shared" si="5"/>
        <v>26000</v>
      </c>
      <c r="AD18" s="50">
        <f t="shared" si="1"/>
        <v>18175.112256</v>
      </c>
      <c r="AE18" s="564">
        <f t="shared" si="6"/>
        <v>128820.65801599997</v>
      </c>
    </row>
    <row r="19" spans="1:32">
      <c r="A19" s="15" t="str">
        <f>Inputs!A28</f>
        <v>Smart Columbus Evaluation</v>
      </c>
      <c r="B19" s="15">
        <f>Inputs!B28</f>
        <v>12</v>
      </c>
      <c r="C19" s="15" t="s">
        <v>33</v>
      </c>
      <c r="D19" s="15" t="str">
        <f>Inputs!C28</f>
        <v>Planning/Discovery</v>
      </c>
      <c r="E19" s="136">
        <f>'Sys Admin Calculation Y3'!E19</f>
        <v>0</v>
      </c>
      <c r="F19" s="136">
        <f>'Sys Admin Calculation Y3'!F19*(1+('Sys Admin'!$AA$21/100))</f>
        <v>0</v>
      </c>
      <c r="G19" s="136">
        <f>'Sys Admin Calculation Y3'!G19*(1+('Sys Admin'!$AA$21/100))</f>
        <v>0</v>
      </c>
      <c r="H19" s="136">
        <f>'Sys Admin Calculation Y3'!H19</f>
        <v>1348.2025000000001</v>
      </c>
      <c r="I19" s="136">
        <f>'Sys Admin Calculation Y3'!I19</f>
        <v>169.03936250000001</v>
      </c>
      <c r="J19" s="136">
        <f>Inputs!I28</f>
        <v>0</v>
      </c>
      <c r="K19" s="136">
        <f>Inputs!J28</f>
        <v>0</v>
      </c>
      <c r="L19" s="136">
        <f>Inputs!K28</f>
        <v>0</v>
      </c>
      <c r="M19" s="136">
        <f>Inputs!L28</f>
        <v>0</v>
      </c>
      <c r="N19" s="136">
        <f>Inputs!M28</f>
        <v>0</v>
      </c>
      <c r="O19" s="136">
        <f>Inputs!N28</f>
        <v>0</v>
      </c>
      <c r="P19" s="136">
        <f>Inputs!O28</f>
        <v>0</v>
      </c>
      <c r="Q19" s="136" t="str">
        <f>Inputs!P28</f>
        <v>None</v>
      </c>
      <c r="R19" s="136">
        <f>Inputs!Q28</f>
        <v>0</v>
      </c>
      <c r="S19" s="136">
        <f>Inputs!R28</f>
        <v>18206.90235</v>
      </c>
      <c r="T19" s="563" t="str">
        <f>'Sys Admin'!Y38</f>
        <v>None</v>
      </c>
      <c r="U19" s="563" t="str">
        <f>'Sys Admin'!AA38</f>
        <v>Prospective</v>
      </c>
      <c r="V19" s="563">
        <f>'Sys Admin'!AC38</f>
        <v>0</v>
      </c>
      <c r="W19" s="576">
        <f>IF(AND(V82=1, 'Sys Admin Calculation'!X68=0, 'Sys Admin Calculation Y2'!V80=0, 'Sys Admin Calculation Y3'!V82=0), VLOOKUP(U19&amp;T19,$N$48:$Q$65,4,FALSE), VLOOKUP(U19&amp;T19,$N$66:$Q$70,4,FALSE))</f>
        <v>0</v>
      </c>
      <c r="X19" s="563">
        <f t="shared" si="2"/>
        <v>0</v>
      </c>
      <c r="Y19" s="563">
        <f>IF(AND(V82=1,'Sys Admin Calculation'!X68=0, 'Sys Admin Calculation Y2'!V80=0, 'Sys Admin Calculation Y3'!V82=0),  VLOOKUP(T19,$P$71:$Q$74,2,FALSE), IF(AND(V82=1, OR('Sys Admin Calculation'!X68=1, 'Sys Admin Calculation Y2'!V80=1, 'Sys Admin Calculation Y3'!V82=1)), 0,IF(U19&lt;&gt;"Active", 0, W19*X19)))</f>
        <v>0</v>
      </c>
      <c r="Z19" s="50">
        <f t="shared" si="3"/>
        <v>0</v>
      </c>
      <c r="AA19" s="50">
        <f t="shared" si="4"/>
        <v>0</v>
      </c>
      <c r="AB19" s="50">
        <f t="shared" si="0"/>
        <v>0</v>
      </c>
      <c r="AC19" s="490">
        <f t="shared" si="5"/>
        <v>0</v>
      </c>
      <c r="AD19" s="50">
        <f t="shared" si="1"/>
        <v>0</v>
      </c>
      <c r="AE19" s="564">
        <f t="shared" si="6"/>
        <v>0</v>
      </c>
    </row>
    <row r="20" spans="1:32">
      <c r="A20" s="15" t="str">
        <f>Inputs!A29</f>
        <v>STAR</v>
      </c>
      <c r="B20" s="15">
        <f>Inputs!B29</f>
        <v>12</v>
      </c>
      <c r="C20" s="15" t="s">
        <v>33</v>
      </c>
      <c r="D20" s="15" t="str">
        <f>Inputs!C29</f>
        <v>Prospective</v>
      </c>
      <c r="E20" s="136">
        <f>'Sys Admin Calculation Y3'!E20</f>
        <v>0</v>
      </c>
      <c r="F20" s="136">
        <f>'Sys Admin Calculation Y3'!F20*(1+('Sys Admin'!$AA$21/100))</f>
        <v>0</v>
      </c>
      <c r="G20" s="136">
        <f>'Sys Admin Calculation Y3'!G20*(1+('Sys Admin'!$AA$21/100))</f>
        <v>0</v>
      </c>
      <c r="H20" s="136">
        <f>'Sys Admin Calculation Y3'!H20</f>
        <v>0</v>
      </c>
      <c r="I20" s="136">
        <f>'Sys Admin Calculation Y3'!I20</f>
        <v>0</v>
      </c>
      <c r="J20" s="136">
        <f>Inputs!I29</f>
        <v>0</v>
      </c>
      <c r="K20" s="136">
        <f>Inputs!J29</f>
        <v>0</v>
      </c>
      <c r="L20" s="136">
        <f>Inputs!K29</f>
        <v>0</v>
      </c>
      <c r="M20" s="136">
        <f>Inputs!L29</f>
        <v>0</v>
      </c>
      <c r="N20" s="136">
        <f>Inputs!M29</f>
        <v>0</v>
      </c>
      <c r="O20" s="136">
        <f>Inputs!N29</f>
        <v>0</v>
      </c>
      <c r="P20" s="136">
        <f>Inputs!O29</f>
        <v>0</v>
      </c>
      <c r="Q20" s="136" t="str">
        <f>Inputs!P29</f>
        <v>None</v>
      </c>
      <c r="R20" s="136">
        <f>Inputs!Q29</f>
        <v>0</v>
      </c>
      <c r="S20" s="136">
        <f>Inputs!R29</f>
        <v>0</v>
      </c>
      <c r="T20" s="563" t="str">
        <f>'Sys Admin'!Y39</f>
        <v>None</v>
      </c>
      <c r="U20" s="563" t="str">
        <f>'Sys Admin'!AA39</f>
        <v>Prospective</v>
      </c>
      <c r="V20" s="563">
        <f>'Sys Admin'!AC39</f>
        <v>0</v>
      </c>
      <c r="W20" s="576">
        <f>IF(AND(V83=1, 'Sys Admin Calculation'!X69=0, 'Sys Admin Calculation Y2'!V81=0, 'Sys Admin Calculation Y3'!V83=0), VLOOKUP(U20&amp;T20,$N$48:$Q$65,4,FALSE), VLOOKUP(U20&amp;T20,$N$66:$Q$70,4,FALSE))</f>
        <v>0</v>
      </c>
      <c r="X20" s="563">
        <f t="shared" si="2"/>
        <v>0</v>
      </c>
      <c r="Y20" s="563">
        <f>IF(AND(V83=1,'Sys Admin Calculation'!X69=0, 'Sys Admin Calculation Y2'!V81=0, 'Sys Admin Calculation Y3'!V83=0),  VLOOKUP(T20,$P$71:$Q$74,2,FALSE), IF(AND(V83=1, OR('Sys Admin Calculation'!X69=1, 'Sys Admin Calculation Y2'!V81=1, 'Sys Admin Calculation Y3'!V83=1)), 0,IF(U20&lt;&gt;"Active", 0, W20*X20)))</f>
        <v>0</v>
      </c>
      <c r="Z20" s="50">
        <f t="shared" si="3"/>
        <v>0</v>
      </c>
      <c r="AA20" s="50">
        <f t="shared" si="4"/>
        <v>0</v>
      </c>
      <c r="AB20" s="50">
        <f t="shared" si="0"/>
        <v>0</v>
      </c>
      <c r="AC20" s="490">
        <f t="shared" si="5"/>
        <v>0</v>
      </c>
      <c r="AD20" s="50">
        <f t="shared" si="1"/>
        <v>0</v>
      </c>
      <c r="AE20" s="564">
        <f t="shared" si="6"/>
        <v>0</v>
      </c>
    </row>
    <row r="21" spans="1:32" ht="14.65" thickBot="1">
      <c r="A21" s="29" t="str">
        <f>Inputs!A30</f>
        <v>T-PLAT</v>
      </c>
      <c r="B21" s="29">
        <f>Inputs!B30</f>
        <v>12</v>
      </c>
      <c r="C21" s="29" t="s">
        <v>33</v>
      </c>
      <c r="D21" s="29" t="str">
        <f>Inputs!C30</f>
        <v>Prospective</v>
      </c>
      <c r="E21" s="538">
        <f>'Sys Admin Calculation Y3'!E21</f>
        <v>0</v>
      </c>
      <c r="F21" s="136">
        <f>'Sys Admin Calculation Y3'!F21*(1+('Sys Admin'!$AA$21/100))</f>
        <v>0</v>
      </c>
      <c r="G21" s="136">
        <f>'Sys Admin Calculation Y3'!G21*(1+('Sys Admin'!$AA$21/100))</f>
        <v>0</v>
      </c>
      <c r="H21" s="538">
        <f>'Sys Admin Calculation Y3'!H21</f>
        <v>0</v>
      </c>
      <c r="I21" s="538">
        <f>'Sys Admin Calculation Y3'!I21</f>
        <v>0</v>
      </c>
      <c r="J21" s="538">
        <f>Inputs!I30</f>
        <v>0</v>
      </c>
      <c r="K21" s="538">
        <f>Inputs!J30</f>
        <v>0</v>
      </c>
      <c r="L21" s="538">
        <f>Inputs!K30</f>
        <v>0</v>
      </c>
      <c r="M21" s="538">
        <f>Inputs!L30</f>
        <v>0</v>
      </c>
      <c r="N21" s="538">
        <f>Inputs!M30</f>
        <v>0</v>
      </c>
      <c r="O21" s="538">
        <f>Inputs!N30</f>
        <v>0</v>
      </c>
      <c r="P21" s="538">
        <f>Inputs!O30</f>
        <v>0</v>
      </c>
      <c r="Q21" s="538" t="str">
        <f>Inputs!P30</f>
        <v>None</v>
      </c>
      <c r="R21" s="538">
        <f>Inputs!Q30</f>
        <v>0</v>
      </c>
      <c r="S21" s="538">
        <f>Inputs!R30</f>
        <v>0</v>
      </c>
      <c r="T21" s="563" t="str">
        <f>'Sys Admin'!Y40</f>
        <v>None</v>
      </c>
      <c r="U21" s="563" t="str">
        <f>'Sys Admin'!AA40</f>
        <v>Prospective</v>
      </c>
      <c r="V21" s="563">
        <f>'Sys Admin'!AC40</f>
        <v>0</v>
      </c>
      <c r="W21" s="576">
        <f>IF(AND(V84=1, 'Sys Admin Calculation'!X70=0, 'Sys Admin Calculation Y2'!V82=0, 'Sys Admin Calculation Y3'!V84=0), VLOOKUP(U21&amp;T21,$N$48:$Q$65,4,FALSE), VLOOKUP(U21&amp;T21,$N$66:$Q$70,4,FALSE))</f>
        <v>0</v>
      </c>
      <c r="X21" s="563">
        <f t="shared" si="2"/>
        <v>0</v>
      </c>
      <c r="Y21" s="563">
        <f>IF(AND(V84=1,'Sys Admin Calculation'!X70=0, 'Sys Admin Calculation Y2'!V82=0, 'Sys Admin Calculation Y3'!V84=0),  VLOOKUP(T21,$P$71:$Q$74,2,FALSE), IF(AND(V84=1, OR('Sys Admin Calculation'!X70=1, 'Sys Admin Calculation Y2'!V82=1, 'Sys Admin Calculation Y3'!V84=1)), 0,IF(U21&lt;&gt;"Active", 0, W21*X21)))</f>
        <v>0</v>
      </c>
      <c r="Z21" s="50">
        <f t="shared" si="3"/>
        <v>0</v>
      </c>
      <c r="AA21" s="50">
        <f t="shared" si="4"/>
        <v>0</v>
      </c>
      <c r="AB21" s="50">
        <f t="shared" si="0"/>
        <v>0</v>
      </c>
      <c r="AC21" s="490">
        <f t="shared" si="5"/>
        <v>0</v>
      </c>
      <c r="AD21" s="50">
        <f t="shared" si="1"/>
        <v>0</v>
      </c>
      <c r="AE21" s="564">
        <f t="shared" si="6"/>
        <v>0</v>
      </c>
    </row>
    <row r="22" spans="1:32" s="449" customFormat="1">
      <c r="A22" s="440" t="str">
        <f>Inputs!A31</f>
        <v>New Project 1</v>
      </c>
      <c r="B22" s="440">
        <f>Inputs!B31</f>
        <v>12</v>
      </c>
      <c r="C22" s="440" t="str">
        <f>'Sys Admin'!F43</f>
        <v>Low</v>
      </c>
      <c r="D22" s="440" t="str">
        <f>'Sys Admin'!O43</f>
        <v>Prospective</v>
      </c>
      <c r="E22" s="609">
        <f>'Sys Admin Calculation Y3'!E22</f>
        <v>0</v>
      </c>
      <c r="F22" s="609">
        <f>'Sys Admin Calculation Y3'!Z22*(1+('Sys Admin'!$AA$21/100))</f>
        <v>0</v>
      </c>
      <c r="G22" s="609">
        <f>'Sys Admin Calculation Y3'!AA22*(1+('Sys Admin'!$AA$21/100))</f>
        <v>0</v>
      </c>
      <c r="H22" s="598"/>
      <c r="I22" s="598"/>
      <c r="J22" s="598"/>
      <c r="K22" s="598"/>
      <c r="L22" s="598"/>
      <c r="M22" s="598"/>
      <c r="N22" s="598"/>
      <c r="O22" s="598"/>
      <c r="P22" s="598"/>
      <c r="Q22" s="598"/>
      <c r="R22" s="598"/>
      <c r="S22" s="598"/>
      <c r="T22" s="571" t="str">
        <f>'Sys Admin'!Y43</f>
        <v>None</v>
      </c>
      <c r="U22" s="571" t="str">
        <f>'Sys Admin'!AA43</f>
        <v>Prospective</v>
      </c>
      <c r="V22" s="571">
        <f>'Sys Admin'!AC43</f>
        <v>0</v>
      </c>
      <c r="W22" s="572">
        <f>IF(AND(V85=1, 'Sys Admin Calculation'!X71=0, 'Sys Admin Calculation Y2'!V83=0, 'Sys Admin Calculation Y3'!V85=0), VLOOKUP(U22&amp;T22,$N$48:$Q$65,4,FALSE), VLOOKUP(U22&amp;T22,$N$66:$Q$70,4,FALSE))</f>
        <v>0</v>
      </c>
      <c r="X22" s="563">
        <f>IF(U22="Prospective",0,IF(U22="Onboarding",2,IF(U22="Planning/Discovery",2,(12-V22))))</f>
        <v>0</v>
      </c>
      <c r="Y22" s="608">
        <f>IF(AND(V85=1,'Sys Admin Calculation'!X71=0, 'Sys Admin Calculation Y2'!V83=0, 'Sys Admin Calculation Y3'!V85=0),  VLOOKUP(T22,$P$71:$Q$74,2,FALSE), IF(AND(V85=1, OR('Sys Admin Calculation'!X71=1, 'Sys Admin Calculation Y2'!V83=1, 'Sys Admin Calculation Y3'!V85=1)), 0,IF(U22&lt;&gt;"Active", 0, W22*X22)))</f>
        <v>0</v>
      </c>
      <c r="Z22" s="569">
        <f>IF(U22=D22,F22,IF(U22="Prospective",0,IF(U22="Onboarding",$J$85,IF(U22="Planning/Discovery",$J$84,IF(U22="Export/Retirement",$J$89,IF(AND(U22="Active",C22="Low"),$J$88,IF(AND(U22="Active",C22="High"),$J$86,$J$87))))))*(12-V22))</f>
        <v>0</v>
      </c>
      <c r="AA22" s="569">
        <f>IF(U22=D22,G22,IF(U22="Prospective",0,IF(U22="Onboarding",$K$85,IF(U22="Planning/Discovery",$K$84,IF(U22="Export/Retirement",$K$89,IF(AND(U22="Active",C22="Low"),$K$88,IF(AND(U22="Active",C22="High"),$K$86,$K$87))))))*(12-V22))</f>
        <v>0</v>
      </c>
      <c r="AB22" s="569">
        <f>IF(U22="Prospective",0,IF(U22="Onboarding",$L$85,IF(U22="Planning/Discovery",$L$84,IF(U22="Export/Retirement",$L$89,IF(AND(U22="Active",C22="Low"),$L$88*(12-V22),IF(AND(U22="Active",C22="High"),$L$86*(12-V22),$L$87*(12-V22)))))))</f>
        <v>0</v>
      </c>
      <c r="AC22" s="572">
        <f t="shared" si="5"/>
        <v>0</v>
      </c>
      <c r="AD22" s="569">
        <f>IF(U22="Prospective",0,IF(U22="Onboarding",$M$85,IF(U22="Planning/Discovery",$M$84,IF(U22="Export/Retirement",$M$89,IF(AND(U22="Active",C22="Low"),$M$88*(12-V22),IF(AND(U22="Active",C22="High"),$M$86*(12-V22),$M$87*(12-V22)))))))</f>
        <v>0</v>
      </c>
      <c r="AE22" s="573">
        <f t="shared" si="6"/>
        <v>0</v>
      </c>
    </row>
    <row r="23" spans="1:32">
      <c r="A23" s="9" t="str">
        <f>Inputs!A32</f>
        <v>New Project 2</v>
      </c>
      <c r="B23" s="9">
        <f>Inputs!B32</f>
        <v>12</v>
      </c>
      <c r="C23" s="9" t="str">
        <f>'Sys Admin'!F44</f>
        <v>Low</v>
      </c>
      <c r="D23" s="9" t="str">
        <f>'Sys Admin'!O44</f>
        <v>Prospective</v>
      </c>
      <c r="E23" s="609">
        <f>'Sys Admin Calculation Y3'!E23</f>
        <v>0</v>
      </c>
      <c r="F23" s="609">
        <f>'Sys Admin Calculation Y3'!Z23*(1+('Sys Admin'!$AA$21/100))</f>
        <v>0</v>
      </c>
      <c r="G23" s="609">
        <f>'Sys Admin Calculation Y3'!AA23*(1+('Sys Admin'!$AA$21/100))</f>
        <v>0</v>
      </c>
      <c r="H23" s="506"/>
      <c r="I23" s="506"/>
      <c r="J23" s="506"/>
      <c r="K23" s="506"/>
      <c r="L23" s="506"/>
      <c r="M23" s="506"/>
      <c r="N23" s="506"/>
      <c r="O23" s="506"/>
      <c r="P23" s="506"/>
      <c r="Q23" s="506"/>
      <c r="R23" s="506"/>
      <c r="S23" s="506"/>
      <c r="T23" s="575" t="str">
        <f>'Sys Admin'!Y44</f>
        <v>None</v>
      </c>
      <c r="U23" s="575" t="str">
        <f>'Sys Admin'!AA44</f>
        <v>Prospective</v>
      </c>
      <c r="V23" s="575">
        <f>'Sys Admin'!AC44</f>
        <v>0</v>
      </c>
      <c r="W23" s="576">
        <f>IF(AND(V86=1, 'Sys Admin Calculation'!X72=0, 'Sys Admin Calculation Y2'!V84=0, 'Sys Admin Calculation Y3'!V86=0), VLOOKUP(U23&amp;T23,$N$48:$Q$65,4,FALSE), VLOOKUP(U23&amp;T23,$N$66:$Q$70,4,FALSE))</f>
        <v>0</v>
      </c>
      <c r="X23" s="563">
        <f t="shared" si="2"/>
        <v>0</v>
      </c>
      <c r="Y23" s="563">
        <f>IF(AND(V86=1,'Sys Admin Calculation'!X72=0, 'Sys Admin Calculation Y2'!V84=0, 'Sys Admin Calculation Y3'!V86=0),  VLOOKUP(T23,$P$71:$Q$74,2,FALSE), IF(AND(V86=1, OR('Sys Admin Calculation'!X72=1, 'Sys Admin Calculation Y2'!V84=1, 'Sys Admin Calculation Y3'!V86=1)), 0,IF(U23&lt;&gt;"Active", 0, W23*X23)))</f>
        <v>0</v>
      </c>
      <c r="Z23" s="65">
        <f t="shared" ref="Z23:Z36" si="7">IF(U23=D23,F23,IF(U23="Prospective",0,IF(U23="Onboarding",$J$85,IF(U23="Planning/Discovery",$J$84,IF(U23="Export/Retirement",$J$89,IF(AND(U23="Active",C23="Low"),$J$88,IF(AND(U23="Active",C23="High"),$J$86,$J$87))))))*(12-V23))</f>
        <v>0</v>
      </c>
      <c r="AA23" s="65">
        <f t="shared" ref="AA23:AA36" si="8">IF(U23=D23,G23,IF(U23="Prospective",0,IF(U23="Onboarding",$K$85,IF(U23="Planning/Discovery",$K$84,IF(U23="Export/Retirement",$K$89,IF(AND(U23="Active",C23="Low"),$K$88,IF(AND(U23="Active",C23="High"),$K$86,$K$87))))))*(12-V23))</f>
        <v>0</v>
      </c>
      <c r="AB23" s="65">
        <f t="shared" ref="AB23:AB36" si="9">IF(U23="Prospective",0,IF(U23="Onboarding",$L$85,IF(U23="Planning/Discovery",$L$84,IF(U23="Export/Retirement",$L$89,IF(AND(U23="Active",C23="Low"),$L$88*(12-V23),IF(AND(U23="Active",C23="High"),$L$86*(12-V23),$L$87*(12-V23)))))))</f>
        <v>0</v>
      </c>
      <c r="AC23" s="576">
        <f t="shared" si="5"/>
        <v>0</v>
      </c>
      <c r="AD23" s="65">
        <f t="shared" ref="AD23:AD36" si="10">IF(U23="Prospective",0,IF(U23="Onboarding",$M$85,IF(U23="Planning/Discovery",$M$84,IF(U23="Export/Retirement",$M$89,IF(AND(U23="Active",C23="Low"),$M$88*(12-V23),IF(AND(U23="Active",C23="High"),$M$86*(12-V23),$M$87*(12-V23)))))))</f>
        <v>0</v>
      </c>
      <c r="AE23" s="577">
        <f t="shared" si="6"/>
        <v>0</v>
      </c>
      <c r="AF23" s="449"/>
    </row>
    <row r="24" spans="1:32">
      <c r="A24" s="9" t="str">
        <f>Inputs!A33</f>
        <v>New Project 3</v>
      </c>
      <c r="B24" s="9">
        <f>Inputs!B33</f>
        <v>12</v>
      </c>
      <c r="C24" s="9" t="str">
        <f>'Sys Admin'!F45</f>
        <v>Low</v>
      </c>
      <c r="D24" s="9" t="str">
        <f>'Sys Admin'!O45</f>
        <v>Prospective</v>
      </c>
      <c r="E24" s="609">
        <f>'Sys Admin Calculation Y3'!E24</f>
        <v>0</v>
      </c>
      <c r="F24" s="609">
        <f>'Sys Admin Calculation Y3'!Z24*(1+('Sys Admin'!$AA$21/100))</f>
        <v>0</v>
      </c>
      <c r="G24" s="609">
        <f>'Sys Admin Calculation Y3'!AA24*(1+('Sys Admin'!$AA$21/100))</f>
        <v>0</v>
      </c>
      <c r="H24" s="506"/>
      <c r="I24" s="506"/>
      <c r="J24" s="506"/>
      <c r="K24" s="506"/>
      <c r="L24" s="506"/>
      <c r="M24" s="506"/>
      <c r="N24" s="506"/>
      <c r="O24" s="506"/>
      <c r="P24" s="506"/>
      <c r="Q24" s="506"/>
      <c r="R24" s="506"/>
      <c r="S24" s="506"/>
      <c r="T24" s="575" t="str">
        <f>'Sys Admin'!Y45</f>
        <v>None</v>
      </c>
      <c r="U24" s="575" t="str">
        <f>'Sys Admin'!AA45</f>
        <v>Prospective</v>
      </c>
      <c r="V24" s="575">
        <f>'Sys Admin'!AC45</f>
        <v>0</v>
      </c>
      <c r="W24" s="576">
        <f>IF(AND(V87=1, 'Sys Admin Calculation'!X73=0, 'Sys Admin Calculation Y2'!V85=0, 'Sys Admin Calculation Y3'!V87=0), VLOOKUP(U24&amp;T24,$N$48:$Q$65,4,FALSE), VLOOKUP(U24&amp;T24,$N$66:$Q$70,4,FALSE))</f>
        <v>0</v>
      </c>
      <c r="X24" s="563">
        <f t="shared" si="2"/>
        <v>0</v>
      </c>
      <c r="Y24" s="563">
        <f>IF(AND(V87=1,'Sys Admin Calculation'!X73=0, 'Sys Admin Calculation Y2'!V85=0, 'Sys Admin Calculation Y3'!V87=0),  VLOOKUP(T24,$P$71:$Q$74,2,FALSE), IF(AND(V87=1, OR('Sys Admin Calculation'!X73=1, 'Sys Admin Calculation Y2'!V85=1, 'Sys Admin Calculation Y3'!V87=1)), 0,IF(U24&lt;&gt;"Active", 0, W24*X24)))</f>
        <v>0</v>
      </c>
      <c r="Z24" s="65">
        <f t="shared" si="7"/>
        <v>0</v>
      </c>
      <c r="AA24" s="65">
        <f t="shared" si="8"/>
        <v>0</v>
      </c>
      <c r="AB24" s="65">
        <f t="shared" si="9"/>
        <v>0</v>
      </c>
      <c r="AC24" s="576">
        <f t="shared" si="5"/>
        <v>0</v>
      </c>
      <c r="AD24" s="65">
        <f t="shared" si="10"/>
        <v>0</v>
      </c>
      <c r="AE24" s="577">
        <f t="shared" si="6"/>
        <v>0</v>
      </c>
      <c r="AF24" s="449"/>
    </row>
    <row r="25" spans="1:32">
      <c r="A25" s="9" t="str">
        <f>Inputs!A34</f>
        <v>New Project 4</v>
      </c>
      <c r="B25" s="9">
        <f>Inputs!B34</f>
        <v>12</v>
      </c>
      <c r="C25" s="9" t="str">
        <f>'Sys Admin'!F46</f>
        <v>Low</v>
      </c>
      <c r="D25" s="9" t="str">
        <f>'Sys Admin'!O46</f>
        <v>Prospective</v>
      </c>
      <c r="E25" s="609">
        <f>'Sys Admin Calculation Y3'!E25</f>
        <v>0</v>
      </c>
      <c r="F25" s="609">
        <f>'Sys Admin Calculation Y3'!Z25*(1+('Sys Admin'!$AA$21/100))</f>
        <v>0</v>
      </c>
      <c r="G25" s="609">
        <f>'Sys Admin Calculation Y3'!AA25*(1+('Sys Admin'!$AA$21/100))</f>
        <v>0</v>
      </c>
      <c r="H25" s="506"/>
      <c r="I25" s="506"/>
      <c r="J25" s="506"/>
      <c r="K25" s="506"/>
      <c r="L25" s="506"/>
      <c r="M25" s="506"/>
      <c r="N25" s="506"/>
      <c r="O25" s="506"/>
      <c r="P25" s="506"/>
      <c r="Q25" s="506"/>
      <c r="R25" s="506"/>
      <c r="S25" s="506"/>
      <c r="T25" s="575" t="str">
        <f>'Sys Admin'!Y46</f>
        <v>None</v>
      </c>
      <c r="U25" s="575" t="str">
        <f>'Sys Admin'!AA46</f>
        <v>Prospective</v>
      </c>
      <c r="V25" s="575">
        <f>'Sys Admin'!AC46</f>
        <v>0</v>
      </c>
      <c r="W25" s="576">
        <f>IF(AND(V88=1, 'Sys Admin Calculation'!X74=0, 'Sys Admin Calculation Y2'!V86=0, 'Sys Admin Calculation Y3'!V88=0), VLOOKUP(U25&amp;T25,$N$48:$Q$65,4,FALSE), VLOOKUP(U25&amp;T25,$N$66:$Q$70,4,FALSE))</f>
        <v>0</v>
      </c>
      <c r="X25" s="563">
        <f t="shared" si="2"/>
        <v>0</v>
      </c>
      <c r="Y25" s="563">
        <f>IF(AND(V88=1,'Sys Admin Calculation'!X74=0, 'Sys Admin Calculation Y2'!V86=0, 'Sys Admin Calculation Y3'!V88=0),  VLOOKUP(T25,$P$71:$Q$74,2,FALSE), IF(AND(V88=1, OR('Sys Admin Calculation'!X74=1, 'Sys Admin Calculation Y2'!V86=1, 'Sys Admin Calculation Y3'!V88=1)), 0,IF(U25&lt;&gt;"Active", 0, W25*X25)))</f>
        <v>0</v>
      </c>
      <c r="Z25" s="65">
        <f t="shared" si="7"/>
        <v>0</v>
      </c>
      <c r="AA25" s="65">
        <f t="shared" si="8"/>
        <v>0</v>
      </c>
      <c r="AB25" s="65">
        <f t="shared" si="9"/>
        <v>0</v>
      </c>
      <c r="AC25" s="576">
        <f t="shared" si="5"/>
        <v>0</v>
      </c>
      <c r="AD25" s="65">
        <f t="shared" si="10"/>
        <v>0</v>
      </c>
      <c r="AE25" s="577">
        <f t="shared" si="6"/>
        <v>0</v>
      </c>
      <c r="AF25" s="449"/>
    </row>
    <row r="26" spans="1:32">
      <c r="A26" s="9" t="str">
        <f>Inputs!A35</f>
        <v>New Project 5</v>
      </c>
      <c r="B26" s="9">
        <f>Inputs!B35</f>
        <v>12</v>
      </c>
      <c r="C26" s="9" t="str">
        <f>'Sys Admin'!F47</f>
        <v>Low</v>
      </c>
      <c r="D26" s="9" t="str">
        <f>'Sys Admin'!O47</f>
        <v>Prospective</v>
      </c>
      <c r="E26" s="609">
        <f>'Sys Admin Calculation Y3'!E26</f>
        <v>0</v>
      </c>
      <c r="F26" s="609">
        <f>'Sys Admin Calculation Y3'!Z26*(1+('Sys Admin'!$AA$21/100))</f>
        <v>0</v>
      </c>
      <c r="G26" s="609">
        <f>'Sys Admin Calculation Y3'!AA26*(1+('Sys Admin'!$AA$21/100))</f>
        <v>0</v>
      </c>
      <c r="H26" s="506"/>
      <c r="I26" s="506"/>
      <c r="J26" s="506"/>
      <c r="K26" s="506"/>
      <c r="L26" s="506"/>
      <c r="M26" s="506"/>
      <c r="N26" s="506"/>
      <c r="O26" s="506"/>
      <c r="P26" s="506"/>
      <c r="Q26" s="506"/>
      <c r="R26" s="506"/>
      <c r="S26" s="506"/>
      <c r="T26" s="575" t="str">
        <f>'Sys Admin'!Y47</f>
        <v>None</v>
      </c>
      <c r="U26" s="575" t="str">
        <f>'Sys Admin'!AA47</f>
        <v>Prospective</v>
      </c>
      <c r="V26" s="575">
        <f>'Sys Admin'!AC47</f>
        <v>0</v>
      </c>
      <c r="W26" s="576">
        <f>IF(AND(V89=1, 'Sys Admin Calculation'!X75=0, 'Sys Admin Calculation Y2'!V87=0, 'Sys Admin Calculation Y3'!V89=0), VLOOKUP(U26&amp;T26,$N$48:$Q$65,4,FALSE), VLOOKUP(U26&amp;T26,$N$66:$Q$70,4,FALSE))</f>
        <v>0</v>
      </c>
      <c r="X26" s="563">
        <f t="shared" si="2"/>
        <v>0</v>
      </c>
      <c r="Y26" s="563">
        <f>IF(AND(V89=1,'Sys Admin Calculation'!X75=0, 'Sys Admin Calculation Y2'!V87=0, 'Sys Admin Calculation Y3'!V89=0),  VLOOKUP(T26,$P$71:$Q$74,2,FALSE), IF(AND(V89=1, OR('Sys Admin Calculation'!X75=1, 'Sys Admin Calculation Y2'!V87=1, 'Sys Admin Calculation Y3'!V89=1)), 0,IF(U26&lt;&gt;"Active", 0, W26*X26)))</f>
        <v>0</v>
      </c>
      <c r="Z26" s="65">
        <f t="shared" si="7"/>
        <v>0</v>
      </c>
      <c r="AA26" s="65">
        <f t="shared" si="8"/>
        <v>0</v>
      </c>
      <c r="AB26" s="65">
        <f t="shared" si="9"/>
        <v>0</v>
      </c>
      <c r="AC26" s="576">
        <f t="shared" si="5"/>
        <v>0</v>
      </c>
      <c r="AD26" s="65">
        <f t="shared" si="10"/>
        <v>0</v>
      </c>
      <c r="AE26" s="577">
        <f t="shared" si="6"/>
        <v>0</v>
      </c>
      <c r="AF26" s="449"/>
    </row>
    <row r="27" spans="1:32">
      <c r="A27" s="9" t="str">
        <f>Inputs!A36</f>
        <v>New Project 6</v>
      </c>
      <c r="B27" s="9">
        <f>Inputs!B36</f>
        <v>12</v>
      </c>
      <c r="C27" s="9" t="str">
        <f>'Sys Admin'!F48</f>
        <v>Low</v>
      </c>
      <c r="D27" s="9" t="str">
        <f>'Sys Admin'!O48</f>
        <v>Prospective</v>
      </c>
      <c r="E27" s="609">
        <f>'Sys Admin Calculation Y3'!E27</f>
        <v>0</v>
      </c>
      <c r="F27" s="609">
        <f>'Sys Admin Calculation Y3'!Z27*(1+('Sys Admin'!$AA$21/100))</f>
        <v>0</v>
      </c>
      <c r="G27" s="609">
        <f>'Sys Admin Calculation Y3'!AA27*(1+('Sys Admin'!$AA$21/100))</f>
        <v>0</v>
      </c>
      <c r="H27" s="506"/>
      <c r="I27" s="506"/>
      <c r="J27" s="506"/>
      <c r="K27" s="506"/>
      <c r="L27" s="506"/>
      <c r="M27" s="506"/>
      <c r="N27" s="506"/>
      <c r="O27" s="506"/>
      <c r="P27" s="506"/>
      <c r="Q27" s="506"/>
      <c r="R27" s="506"/>
      <c r="S27" s="506"/>
      <c r="T27" s="575" t="str">
        <f>'Sys Admin'!Y48</f>
        <v>None</v>
      </c>
      <c r="U27" s="575" t="str">
        <f>'Sys Admin'!AA48</f>
        <v>Prospective</v>
      </c>
      <c r="V27" s="575">
        <f>'Sys Admin'!AC48</f>
        <v>0</v>
      </c>
      <c r="W27" s="576">
        <f>IF(AND(V90=1, 'Sys Admin Calculation'!X76=0, 'Sys Admin Calculation Y2'!V88=0, 'Sys Admin Calculation Y3'!V90=0), VLOOKUP(U27&amp;T27,$N$48:$Q$65,4,FALSE), VLOOKUP(U27&amp;T27,$N$66:$Q$70,4,FALSE))</f>
        <v>0</v>
      </c>
      <c r="X27" s="563">
        <f t="shared" si="2"/>
        <v>0</v>
      </c>
      <c r="Y27" s="563">
        <f>IF(AND(V90=1,'Sys Admin Calculation'!X76=0, 'Sys Admin Calculation Y2'!V88=0, 'Sys Admin Calculation Y3'!V90=0),  VLOOKUP(T27,$P$71:$Q$74,2,FALSE), IF(AND(V90=1, OR('Sys Admin Calculation'!X76=1, 'Sys Admin Calculation Y2'!V88=1, 'Sys Admin Calculation Y3'!V90=1)), 0,IF(U27&lt;&gt;"Active", 0, W27*X27)))</f>
        <v>0</v>
      </c>
      <c r="Z27" s="65">
        <f t="shared" si="7"/>
        <v>0</v>
      </c>
      <c r="AA27" s="65">
        <f t="shared" si="8"/>
        <v>0</v>
      </c>
      <c r="AB27" s="65">
        <f t="shared" si="9"/>
        <v>0</v>
      </c>
      <c r="AC27" s="576">
        <f t="shared" si="5"/>
        <v>0</v>
      </c>
      <c r="AD27" s="65">
        <f t="shared" si="10"/>
        <v>0</v>
      </c>
      <c r="AE27" s="577">
        <f t="shared" si="6"/>
        <v>0</v>
      </c>
      <c r="AF27" s="449"/>
    </row>
    <row r="28" spans="1:32">
      <c r="A28" s="9" t="str">
        <f>Inputs!A37</f>
        <v>New Project 7</v>
      </c>
      <c r="B28" s="9">
        <f>Inputs!B37</f>
        <v>12</v>
      </c>
      <c r="C28" s="9" t="str">
        <f>'Sys Admin'!F49</f>
        <v>Low</v>
      </c>
      <c r="D28" s="9" t="str">
        <f>'Sys Admin'!O49</f>
        <v>Prospective</v>
      </c>
      <c r="E28" s="609">
        <f>'Sys Admin Calculation Y3'!E28</f>
        <v>0</v>
      </c>
      <c r="F28" s="609">
        <f>'Sys Admin Calculation Y3'!Z28*(1+('Sys Admin'!$AA$21/100))</f>
        <v>0</v>
      </c>
      <c r="G28" s="609">
        <f>'Sys Admin Calculation Y3'!AA28*(1+('Sys Admin'!$AA$21/100))</f>
        <v>0</v>
      </c>
      <c r="H28" s="506"/>
      <c r="I28" s="506"/>
      <c r="J28" s="506"/>
      <c r="K28" s="506"/>
      <c r="L28" s="506"/>
      <c r="M28" s="506"/>
      <c r="N28" s="506"/>
      <c r="O28" s="506"/>
      <c r="P28" s="506"/>
      <c r="Q28" s="506"/>
      <c r="R28" s="506"/>
      <c r="S28" s="506"/>
      <c r="T28" s="575" t="str">
        <f>'Sys Admin'!Y49</f>
        <v>None</v>
      </c>
      <c r="U28" s="575" t="str">
        <f>'Sys Admin'!AA49</f>
        <v>Prospective</v>
      </c>
      <c r="V28" s="575">
        <f>'Sys Admin'!AC49</f>
        <v>0</v>
      </c>
      <c r="W28" s="576">
        <f>IF(AND(V91=1, 'Sys Admin Calculation'!X77=0, 'Sys Admin Calculation Y2'!V89=0, 'Sys Admin Calculation Y3'!V91=0), VLOOKUP(U28&amp;T28,$N$48:$Q$65,4,FALSE), VLOOKUP(U28&amp;T28,$N$66:$Q$70,4,FALSE))</f>
        <v>0</v>
      </c>
      <c r="X28" s="563">
        <f t="shared" si="2"/>
        <v>0</v>
      </c>
      <c r="Y28" s="563">
        <f>IF(AND(V91=1,'Sys Admin Calculation'!X77=0, 'Sys Admin Calculation Y2'!V89=0, 'Sys Admin Calculation Y3'!V91=0),  VLOOKUP(T28,$P$71:$Q$74,2,FALSE), IF(AND(V91=1, OR('Sys Admin Calculation'!X77=1, 'Sys Admin Calculation Y2'!V89=1, 'Sys Admin Calculation Y3'!V91=1)), 0,IF(U28&lt;&gt;"Active", 0, W28*X28)))</f>
        <v>0</v>
      </c>
      <c r="Z28" s="65">
        <f t="shared" si="7"/>
        <v>0</v>
      </c>
      <c r="AA28" s="65">
        <f t="shared" si="8"/>
        <v>0</v>
      </c>
      <c r="AB28" s="65">
        <f t="shared" si="9"/>
        <v>0</v>
      </c>
      <c r="AC28" s="576">
        <f t="shared" si="5"/>
        <v>0</v>
      </c>
      <c r="AD28" s="65">
        <f t="shared" si="10"/>
        <v>0</v>
      </c>
      <c r="AE28" s="577">
        <f t="shared" si="6"/>
        <v>0</v>
      </c>
      <c r="AF28" s="449"/>
    </row>
    <row r="29" spans="1:32">
      <c r="A29" s="9" t="str">
        <f>Inputs!A38</f>
        <v>New Project 8</v>
      </c>
      <c r="B29" s="9">
        <f>Inputs!B38</f>
        <v>12</v>
      </c>
      <c r="C29" s="9" t="str">
        <f>'Sys Admin'!F50</f>
        <v>Low</v>
      </c>
      <c r="D29" s="9" t="str">
        <f>'Sys Admin'!O50</f>
        <v>Prospective</v>
      </c>
      <c r="E29" s="609">
        <f>'Sys Admin Calculation Y3'!E29</f>
        <v>0</v>
      </c>
      <c r="F29" s="609">
        <f>'Sys Admin Calculation Y3'!Z29*(1+('Sys Admin'!$AA$21/100))</f>
        <v>0</v>
      </c>
      <c r="G29" s="609">
        <f>'Sys Admin Calculation Y3'!AA29*(1+('Sys Admin'!$AA$21/100))</f>
        <v>0</v>
      </c>
      <c r="H29" s="506"/>
      <c r="I29" s="506"/>
      <c r="J29" s="506"/>
      <c r="K29" s="506"/>
      <c r="L29" s="506"/>
      <c r="M29" s="506"/>
      <c r="N29" s="506"/>
      <c r="O29" s="506"/>
      <c r="P29" s="506"/>
      <c r="Q29" s="506"/>
      <c r="R29" s="506"/>
      <c r="S29" s="506"/>
      <c r="T29" s="575" t="str">
        <f>'Sys Admin'!Y50</f>
        <v>None</v>
      </c>
      <c r="U29" s="575" t="str">
        <f>'Sys Admin'!AA50</f>
        <v>Prospective</v>
      </c>
      <c r="V29" s="575">
        <f>'Sys Admin'!AC50</f>
        <v>0</v>
      </c>
      <c r="W29" s="576">
        <f>IF(AND(V92=1, 'Sys Admin Calculation'!X78=0, 'Sys Admin Calculation Y2'!V90=0, 'Sys Admin Calculation Y3'!V92=0), VLOOKUP(U29&amp;T29,$N$48:$Q$65,4,FALSE), VLOOKUP(U29&amp;T29,$N$66:$Q$70,4,FALSE))</f>
        <v>0</v>
      </c>
      <c r="X29" s="563">
        <f t="shared" si="2"/>
        <v>0</v>
      </c>
      <c r="Y29" s="563">
        <f>IF(AND(V92=1,'Sys Admin Calculation'!X78=0, 'Sys Admin Calculation Y2'!V90=0, 'Sys Admin Calculation Y3'!V92=0),  VLOOKUP(T29,$P$71:$Q$74,2,FALSE), IF(AND(V92=1, OR('Sys Admin Calculation'!X78=1, 'Sys Admin Calculation Y2'!V90=1, 'Sys Admin Calculation Y3'!V92=1)), 0,IF(U29&lt;&gt;"Active", 0, W29*X29)))</f>
        <v>0</v>
      </c>
      <c r="Z29" s="65">
        <f t="shared" si="7"/>
        <v>0</v>
      </c>
      <c r="AA29" s="65">
        <f t="shared" si="8"/>
        <v>0</v>
      </c>
      <c r="AB29" s="65">
        <f t="shared" si="9"/>
        <v>0</v>
      </c>
      <c r="AC29" s="576">
        <f t="shared" si="5"/>
        <v>0</v>
      </c>
      <c r="AD29" s="65">
        <f t="shared" si="10"/>
        <v>0</v>
      </c>
      <c r="AE29" s="577">
        <f t="shared" si="6"/>
        <v>0</v>
      </c>
      <c r="AF29" s="449"/>
    </row>
    <row r="30" spans="1:32">
      <c r="A30" s="9" t="str">
        <f>Inputs!A39</f>
        <v>New Project 9</v>
      </c>
      <c r="B30" s="9">
        <f>Inputs!B39</f>
        <v>12</v>
      </c>
      <c r="C30" s="9" t="str">
        <f>'Sys Admin'!F51</f>
        <v>Low</v>
      </c>
      <c r="D30" s="9" t="str">
        <f>'Sys Admin'!O51</f>
        <v>Prospective</v>
      </c>
      <c r="E30" s="609">
        <f>'Sys Admin Calculation Y3'!E30</f>
        <v>0</v>
      </c>
      <c r="F30" s="609">
        <f>'Sys Admin Calculation Y3'!Z30*(1+('Sys Admin'!$AA$21/100))</f>
        <v>0</v>
      </c>
      <c r="G30" s="609">
        <f>'Sys Admin Calculation Y3'!AA30*(1+('Sys Admin'!$AA$21/100))</f>
        <v>0</v>
      </c>
      <c r="H30" s="506"/>
      <c r="I30" s="506"/>
      <c r="J30" s="506"/>
      <c r="K30" s="506"/>
      <c r="L30" s="506"/>
      <c r="M30" s="506"/>
      <c r="N30" s="506"/>
      <c r="O30" s="506"/>
      <c r="P30" s="506"/>
      <c r="Q30" s="506"/>
      <c r="R30" s="506"/>
      <c r="S30" s="506"/>
      <c r="T30" s="575" t="str">
        <f>'Sys Admin'!Y51</f>
        <v>None</v>
      </c>
      <c r="U30" s="575" t="str">
        <f>'Sys Admin'!AA51</f>
        <v>Prospective</v>
      </c>
      <c r="V30" s="575">
        <f>'Sys Admin'!AC51</f>
        <v>0</v>
      </c>
      <c r="W30" s="576">
        <f>IF(AND(V93=1, 'Sys Admin Calculation'!X79=0, 'Sys Admin Calculation Y2'!V91=0, 'Sys Admin Calculation Y3'!V93=0), VLOOKUP(U30&amp;T30,$N$48:$Q$65,4,FALSE), VLOOKUP(U30&amp;T30,$N$66:$Q$70,4,FALSE))</f>
        <v>0</v>
      </c>
      <c r="X30" s="563">
        <f t="shared" si="2"/>
        <v>0</v>
      </c>
      <c r="Y30" s="563">
        <f>IF(AND(V93=1,'Sys Admin Calculation'!X79=0, 'Sys Admin Calculation Y2'!V91=0, 'Sys Admin Calculation Y3'!V93=0),  VLOOKUP(T30,$P$71:$Q$74,2,FALSE), IF(AND(V93=1, OR('Sys Admin Calculation'!X79=1, 'Sys Admin Calculation Y2'!V91=1, 'Sys Admin Calculation Y3'!V93=1)), 0,IF(U30&lt;&gt;"Active", 0, W30*X30)))</f>
        <v>0</v>
      </c>
      <c r="Z30" s="65">
        <f t="shared" si="7"/>
        <v>0</v>
      </c>
      <c r="AA30" s="65">
        <f t="shared" si="8"/>
        <v>0</v>
      </c>
      <c r="AB30" s="65">
        <f t="shared" si="9"/>
        <v>0</v>
      </c>
      <c r="AC30" s="576">
        <f t="shared" si="5"/>
        <v>0</v>
      </c>
      <c r="AD30" s="65">
        <f t="shared" si="10"/>
        <v>0</v>
      </c>
      <c r="AE30" s="577">
        <f t="shared" si="6"/>
        <v>0</v>
      </c>
      <c r="AF30" s="449"/>
    </row>
    <row r="31" spans="1:32">
      <c r="A31" s="9" t="str">
        <f>Inputs!A40</f>
        <v>New Project 10</v>
      </c>
      <c r="B31" s="9">
        <f>Inputs!B40</f>
        <v>12</v>
      </c>
      <c r="C31" s="9" t="str">
        <f>'Sys Admin'!F52</f>
        <v>Low</v>
      </c>
      <c r="D31" s="9" t="str">
        <f>'Sys Admin'!O52</f>
        <v>Prospective</v>
      </c>
      <c r="E31" s="609">
        <f>'Sys Admin Calculation Y3'!E31</f>
        <v>0</v>
      </c>
      <c r="F31" s="609">
        <f>'Sys Admin Calculation Y3'!Z31*(1+('Sys Admin'!$AA$21/100))</f>
        <v>0</v>
      </c>
      <c r="G31" s="609">
        <f>'Sys Admin Calculation Y3'!AA31*(1+('Sys Admin'!$AA$21/100))</f>
        <v>0</v>
      </c>
      <c r="H31" s="506"/>
      <c r="I31" s="506"/>
      <c r="J31" s="506"/>
      <c r="K31" s="506"/>
      <c r="L31" s="506"/>
      <c r="M31" s="506"/>
      <c r="N31" s="506"/>
      <c r="O31" s="506"/>
      <c r="P31" s="506"/>
      <c r="Q31" s="506"/>
      <c r="R31" s="506"/>
      <c r="S31" s="506"/>
      <c r="T31" s="575" t="str">
        <f>'Sys Admin'!Y52</f>
        <v>None</v>
      </c>
      <c r="U31" s="575" t="str">
        <f>'Sys Admin'!AA52</f>
        <v>Prospective</v>
      </c>
      <c r="V31" s="575">
        <f>'Sys Admin'!AC52</f>
        <v>0</v>
      </c>
      <c r="W31" s="576">
        <f>IF(AND(V94=1, 'Sys Admin Calculation'!X80=0, 'Sys Admin Calculation Y2'!V92=0, 'Sys Admin Calculation Y3'!V94=0), VLOOKUP(U31&amp;T31,$N$48:$Q$65,4,FALSE), VLOOKUP(U31&amp;T31,$N$66:$Q$70,4,FALSE))</f>
        <v>0</v>
      </c>
      <c r="X31" s="563">
        <f t="shared" si="2"/>
        <v>0</v>
      </c>
      <c r="Y31" s="563">
        <f>IF(AND(V94=1,'Sys Admin Calculation'!X80=0, 'Sys Admin Calculation Y2'!V92=0, 'Sys Admin Calculation Y3'!V94=0),  VLOOKUP(T31,$P$71:$Q$74,2,FALSE), IF(AND(V94=1, OR('Sys Admin Calculation'!X80=1, 'Sys Admin Calculation Y2'!V92=1, 'Sys Admin Calculation Y3'!V94=1)), 0,IF(U31&lt;&gt;"Active", 0, W31*X31)))</f>
        <v>0</v>
      </c>
      <c r="Z31" s="65">
        <f t="shared" si="7"/>
        <v>0</v>
      </c>
      <c r="AA31" s="65">
        <f t="shared" si="8"/>
        <v>0</v>
      </c>
      <c r="AB31" s="65">
        <f t="shared" si="9"/>
        <v>0</v>
      </c>
      <c r="AC31" s="576">
        <f t="shared" si="5"/>
        <v>0</v>
      </c>
      <c r="AD31" s="65">
        <f t="shared" si="10"/>
        <v>0</v>
      </c>
      <c r="AE31" s="577">
        <f t="shared" si="6"/>
        <v>0</v>
      </c>
      <c r="AF31" s="449"/>
    </row>
    <row r="32" spans="1:32">
      <c r="A32" s="9" t="str">
        <f>Inputs!A41</f>
        <v>New Project 11</v>
      </c>
      <c r="B32" s="9">
        <f>Inputs!B41</f>
        <v>12</v>
      </c>
      <c r="C32" s="9" t="str">
        <f>'Sys Admin'!F53</f>
        <v>Low</v>
      </c>
      <c r="D32" s="9" t="str">
        <f>'Sys Admin'!O53</f>
        <v>Prospective</v>
      </c>
      <c r="E32" s="609">
        <f>'Sys Admin Calculation Y3'!E32</f>
        <v>0</v>
      </c>
      <c r="F32" s="609">
        <f>'Sys Admin Calculation Y3'!Z32*(1+('Sys Admin'!$AA$21/100))</f>
        <v>0</v>
      </c>
      <c r="G32" s="609">
        <f>'Sys Admin Calculation Y3'!AA32*(1+('Sys Admin'!$AA$21/100))</f>
        <v>0</v>
      </c>
      <c r="H32" s="506"/>
      <c r="I32" s="506"/>
      <c r="J32" s="506"/>
      <c r="K32" s="506"/>
      <c r="L32" s="506"/>
      <c r="M32" s="506"/>
      <c r="N32" s="506"/>
      <c r="O32" s="506"/>
      <c r="P32" s="506"/>
      <c r="Q32" s="506"/>
      <c r="R32" s="506"/>
      <c r="S32" s="506"/>
      <c r="T32" s="575" t="str">
        <f>'Sys Admin'!Y53</f>
        <v>None</v>
      </c>
      <c r="U32" s="575" t="str">
        <f>'Sys Admin'!AA53</f>
        <v>Prospective</v>
      </c>
      <c r="V32" s="575">
        <f>'Sys Admin'!AC53</f>
        <v>0</v>
      </c>
      <c r="W32" s="576">
        <f>IF(AND(V95=1, 'Sys Admin Calculation'!X81=0, 'Sys Admin Calculation Y2'!V93=0, 'Sys Admin Calculation Y3'!V95=0), VLOOKUP(U32&amp;T32,$N$48:$Q$65,4,FALSE), VLOOKUP(U32&amp;T32,$N$66:$Q$70,4,FALSE))</f>
        <v>0</v>
      </c>
      <c r="X32" s="563">
        <f t="shared" si="2"/>
        <v>0</v>
      </c>
      <c r="Y32" s="563">
        <f>IF(AND(V95=1,'Sys Admin Calculation'!X81=0, 'Sys Admin Calculation Y2'!V93=0, 'Sys Admin Calculation Y3'!V95=0),  VLOOKUP(T32,$P$71:$Q$74,2,FALSE), IF(AND(V95=1, OR('Sys Admin Calculation'!X81=1, 'Sys Admin Calculation Y2'!V93=1, 'Sys Admin Calculation Y3'!V95=1)), 0,IF(U32&lt;&gt;"Active", 0, W32*X32)))</f>
        <v>0</v>
      </c>
      <c r="Z32" s="65">
        <f t="shared" si="7"/>
        <v>0</v>
      </c>
      <c r="AA32" s="65">
        <f t="shared" si="8"/>
        <v>0</v>
      </c>
      <c r="AB32" s="65">
        <f t="shared" si="9"/>
        <v>0</v>
      </c>
      <c r="AC32" s="576">
        <f t="shared" si="5"/>
        <v>0</v>
      </c>
      <c r="AD32" s="65">
        <f t="shared" si="10"/>
        <v>0</v>
      </c>
      <c r="AE32" s="577">
        <f t="shared" si="6"/>
        <v>0</v>
      </c>
      <c r="AF32" s="449"/>
    </row>
    <row r="33" spans="1:32">
      <c r="A33" s="9" t="str">
        <f>Inputs!A42</f>
        <v>New Project 12</v>
      </c>
      <c r="B33" s="9">
        <f>Inputs!B42</f>
        <v>12</v>
      </c>
      <c r="C33" s="9" t="str">
        <f>'Sys Admin'!F54</f>
        <v>Low</v>
      </c>
      <c r="D33" s="9" t="str">
        <f>'Sys Admin'!O54</f>
        <v>Prospective</v>
      </c>
      <c r="E33" s="609">
        <f>'Sys Admin Calculation Y3'!E33</f>
        <v>0</v>
      </c>
      <c r="F33" s="609">
        <f>'Sys Admin Calculation Y3'!Z33*(1+('Sys Admin'!$AA$21/100))</f>
        <v>0</v>
      </c>
      <c r="G33" s="609">
        <f>'Sys Admin Calculation Y3'!AA33*(1+('Sys Admin'!$AA$21/100))</f>
        <v>0</v>
      </c>
      <c r="H33" s="506"/>
      <c r="I33" s="506"/>
      <c r="J33" s="506"/>
      <c r="K33" s="506"/>
      <c r="L33" s="506"/>
      <c r="M33" s="506"/>
      <c r="N33" s="506"/>
      <c r="O33" s="506"/>
      <c r="P33" s="506"/>
      <c r="Q33" s="506"/>
      <c r="R33" s="506"/>
      <c r="S33" s="506"/>
      <c r="T33" s="575" t="str">
        <f>'Sys Admin'!Y54</f>
        <v>None</v>
      </c>
      <c r="U33" s="575" t="str">
        <f>'Sys Admin'!AA54</f>
        <v>Prospective</v>
      </c>
      <c r="V33" s="575">
        <f>'Sys Admin'!AC54</f>
        <v>0</v>
      </c>
      <c r="W33" s="576">
        <f>IF(AND(V96=1, 'Sys Admin Calculation'!X82=0, 'Sys Admin Calculation Y2'!V94=0, 'Sys Admin Calculation Y3'!V96=0), VLOOKUP(U33&amp;T33,$N$48:$Q$65,4,FALSE), VLOOKUP(U33&amp;T33,$N$66:$Q$70,4,FALSE))</f>
        <v>0</v>
      </c>
      <c r="X33" s="563">
        <f t="shared" si="2"/>
        <v>0</v>
      </c>
      <c r="Y33" s="563">
        <f>IF(AND(V96=1,'Sys Admin Calculation'!X82=0, 'Sys Admin Calculation Y2'!V94=0, 'Sys Admin Calculation Y3'!V96=0),  VLOOKUP(T33,$P$71:$Q$74,2,FALSE), IF(AND(V96=1, OR('Sys Admin Calculation'!X82=1, 'Sys Admin Calculation Y2'!V94=1, 'Sys Admin Calculation Y3'!V96=1)), 0,IF(U33&lt;&gt;"Active", 0, W33*X33)))</f>
        <v>0</v>
      </c>
      <c r="Z33" s="65">
        <f t="shared" si="7"/>
        <v>0</v>
      </c>
      <c r="AA33" s="65">
        <f t="shared" si="8"/>
        <v>0</v>
      </c>
      <c r="AB33" s="65">
        <f t="shared" si="9"/>
        <v>0</v>
      </c>
      <c r="AC33" s="576">
        <f t="shared" si="5"/>
        <v>0</v>
      </c>
      <c r="AD33" s="65">
        <f t="shared" si="10"/>
        <v>0</v>
      </c>
      <c r="AE33" s="577">
        <f t="shared" si="6"/>
        <v>0</v>
      </c>
      <c r="AF33" s="449"/>
    </row>
    <row r="34" spans="1:32">
      <c r="A34" s="9" t="str">
        <f>Inputs!A43</f>
        <v>New Project 13</v>
      </c>
      <c r="B34" s="9">
        <f>Inputs!B43</f>
        <v>12</v>
      </c>
      <c r="C34" s="9" t="str">
        <f>'Sys Admin'!F55</f>
        <v>Low</v>
      </c>
      <c r="D34" s="9" t="str">
        <f>'Sys Admin'!O55</f>
        <v>Prospective</v>
      </c>
      <c r="E34" s="609">
        <f>'Sys Admin Calculation Y3'!E34</f>
        <v>0</v>
      </c>
      <c r="F34" s="609">
        <f>'Sys Admin Calculation Y3'!Z34*(1+('Sys Admin'!$AA$21/100))</f>
        <v>0</v>
      </c>
      <c r="G34" s="609">
        <f>'Sys Admin Calculation Y3'!AA34*(1+('Sys Admin'!$AA$21/100))</f>
        <v>0</v>
      </c>
      <c r="H34" s="506"/>
      <c r="I34" s="506"/>
      <c r="J34" s="506"/>
      <c r="K34" s="506"/>
      <c r="L34" s="506"/>
      <c r="M34" s="506"/>
      <c r="N34" s="506"/>
      <c r="O34" s="506"/>
      <c r="P34" s="506"/>
      <c r="Q34" s="506"/>
      <c r="R34" s="506"/>
      <c r="S34" s="506"/>
      <c r="T34" s="575" t="str">
        <f>'Sys Admin'!Y55</f>
        <v>None</v>
      </c>
      <c r="U34" s="575" t="str">
        <f>'Sys Admin'!AA55</f>
        <v>Prospective</v>
      </c>
      <c r="V34" s="575">
        <f>'Sys Admin'!AC55</f>
        <v>0</v>
      </c>
      <c r="W34" s="576">
        <f>IF(AND(V97=1, 'Sys Admin Calculation'!X83=0, 'Sys Admin Calculation Y2'!V95=0, 'Sys Admin Calculation Y3'!V97=0), VLOOKUP(U34&amp;T34,$N$48:$Q$65,4,FALSE), VLOOKUP(U34&amp;T34,$N$66:$Q$70,4,FALSE))</f>
        <v>0</v>
      </c>
      <c r="X34" s="563">
        <f t="shared" si="2"/>
        <v>0</v>
      </c>
      <c r="Y34" s="563">
        <f>IF(AND(V97=1,'Sys Admin Calculation'!X83=0, 'Sys Admin Calculation Y2'!V95=0, 'Sys Admin Calculation Y3'!V97=0),  VLOOKUP(T34,$P$71:$Q$74,2,FALSE), IF(AND(V97=1, OR('Sys Admin Calculation'!X83=1, 'Sys Admin Calculation Y2'!V95=1, 'Sys Admin Calculation Y3'!V97=1)), 0,IF(U34&lt;&gt;"Active", 0, W34*X34)))</f>
        <v>0</v>
      </c>
      <c r="Z34" s="65">
        <f t="shared" si="7"/>
        <v>0</v>
      </c>
      <c r="AA34" s="65">
        <f t="shared" si="8"/>
        <v>0</v>
      </c>
      <c r="AB34" s="65">
        <f t="shared" si="9"/>
        <v>0</v>
      </c>
      <c r="AC34" s="576">
        <f t="shared" si="5"/>
        <v>0</v>
      </c>
      <c r="AD34" s="65">
        <f t="shared" si="10"/>
        <v>0</v>
      </c>
      <c r="AE34" s="577">
        <f t="shared" si="6"/>
        <v>0</v>
      </c>
      <c r="AF34" s="449"/>
    </row>
    <row r="35" spans="1:32">
      <c r="A35" s="9" t="str">
        <f>Inputs!A44</f>
        <v>New Project 14</v>
      </c>
      <c r="B35" s="9">
        <f>Inputs!B44</f>
        <v>12</v>
      </c>
      <c r="C35" s="9" t="str">
        <f>'Sys Admin'!F56</f>
        <v>Low</v>
      </c>
      <c r="D35" s="9" t="str">
        <f>'Sys Admin'!O56</f>
        <v>Prospective</v>
      </c>
      <c r="E35" s="609">
        <f>'Sys Admin Calculation Y3'!E35</f>
        <v>0</v>
      </c>
      <c r="F35" s="609">
        <f>'Sys Admin Calculation Y3'!Z35*(1+('Sys Admin'!$AA$21/100))</f>
        <v>0</v>
      </c>
      <c r="G35" s="609">
        <f>'Sys Admin Calculation Y3'!AA35*(1+('Sys Admin'!$AA$21/100))</f>
        <v>0</v>
      </c>
      <c r="H35" s="506"/>
      <c r="I35" s="506"/>
      <c r="J35" s="506"/>
      <c r="K35" s="506"/>
      <c r="L35" s="506"/>
      <c r="M35" s="506"/>
      <c r="N35" s="506"/>
      <c r="O35" s="506"/>
      <c r="P35" s="506"/>
      <c r="Q35" s="506"/>
      <c r="R35" s="506"/>
      <c r="S35" s="506"/>
      <c r="T35" s="575" t="str">
        <f>'Sys Admin'!Y56</f>
        <v>None</v>
      </c>
      <c r="U35" s="575" t="str">
        <f>'Sys Admin'!AA56</f>
        <v>Prospective</v>
      </c>
      <c r="V35" s="575">
        <f>'Sys Admin'!AC56</f>
        <v>0</v>
      </c>
      <c r="W35" s="576">
        <f>IF(AND(V98=1, 'Sys Admin Calculation'!X84=0, 'Sys Admin Calculation Y2'!V96=0, 'Sys Admin Calculation Y3'!V98=0), VLOOKUP(U35&amp;T35,$N$48:$Q$65,4,FALSE), VLOOKUP(U35&amp;T35,$N$66:$Q$70,4,FALSE))</f>
        <v>0</v>
      </c>
      <c r="X35" s="563">
        <f t="shared" si="2"/>
        <v>0</v>
      </c>
      <c r="Y35" s="563">
        <f>IF(AND(V98=1,'Sys Admin Calculation'!X84=0, 'Sys Admin Calculation Y2'!V96=0, 'Sys Admin Calculation Y3'!V98=0),  VLOOKUP(T35,$P$71:$Q$74,2,FALSE), IF(AND(V98=1, OR('Sys Admin Calculation'!X84=1, 'Sys Admin Calculation Y2'!V96=1, 'Sys Admin Calculation Y3'!V98=1)), 0,IF(U35&lt;&gt;"Active", 0, W35*X35)))</f>
        <v>0</v>
      </c>
      <c r="Z35" s="65">
        <f t="shared" si="7"/>
        <v>0</v>
      </c>
      <c r="AA35" s="65">
        <f t="shared" si="8"/>
        <v>0</v>
      </c>
      <c r="AB35" s="65">
        <f t="shared" si="9"/>
        <v>0</v>
      </c>
      <c r="AC35" s="576">
        <f t="shared" si="5"/>
        <v>0</v>
      </c>
      <c r="AD35" s="65">
        <f t="shared" si="10"/>
        <v>0</v>
      </c>
      <c r="AE35" s="577">
        <f t="shared" si="6"/>
        <v>0</v>
      </c>
      <c r="AF35" s="449"/>
    </row>
    <row r="36" spans="1:32" ht="14.65" thickBot="1">
      <c r="A36" s="9" t="str">
        <f>Inputs!A45</f>
        <v>New Project 15</v>
      </c>
      <c r="B36" s="9">
        <f>Inputs!B45</f>
        <v>12</v>
      </c>
      <c r="C36" s="9" t="str">
        <f>'Sys Admin'!F57</f>
        <v>Low</v>
      </c>
      <c r="D36" s="9" t="str">
        <f>'Sys Admin'!O57</f>
        <v>Prospective</v>
      </c>
      <c r="E36" s="609">
        <f>'Sys Admin Calculation Y3'!E36</f>
        <v>0</v>
      </c>
      <c r="F36" s="609">
        <f>'Sys Admin Calculation Y3'!Z36*(1+('Sys Admin'!$AA$21/100))</f>
        <v>0</v>
      </c>
      <c r="G36" s="609">
        <f>'Sys Admin Calculation Y3'!AA36*(1+('Sys Admin'!$AA$21/100))</f>
        <v>0</v>
      </c>
      <c r="H36" s="565"/>
      <c r="I36" s="565"/>
      <c r="J36" s="565"/>
      <c r="K36" s="565"/>
      <c r="L36" s="565"/>
      <c r="M36" s="565"/>
      <c r="N36" s="565"/>
      <c r="O36" s="565"/>
      <c r="P36" s="565"/>
      <c r="Q36" s="565"/>
      <c r="R36" s="565"/>
      <c r="S36" s="565"/>
      <c r="T36" s="580" t="str">
        <f>'Sys Admin'!Y57</f>
        <v>None</v>
      </c>
      <c r="U36" s="580" t="str">
        <f>'Sys Admin'!AA57</f>
        <v>Prospective</v>
      </c>
      <c r="V36" s="580">
        <f>'Sys Admin'!AC57</f>
        <v>0</v>
      </c>
      <c r="W36" s="581">
        <f>IF(AND(V99=1, 'Sys Admin Calculation'!X85=0, 'Sys Admin Calculation Y2'!V97=0, 'Sys Admin Calculation Y3'!V99=0), VLOOKUP(U36&amp;T36,$N$48:$Q$65,4,FALSE), VLOOKUP(U36&amp;T36,$N$66:$Q$70,4,FALSE))</f>
        <v>0</v>
      </c>
      <c r="X36" s="563">
        <f t="shared" si="2"/>
        <v>0</v>
      </c>
      <c r="Y36" s="566">
        <f>IF(AND(V99=1,'Sys Admin Calculation'!X85=0, 'Sys Admin Calculation Y2'!V97=0, 'Sys Admin Calculation Y3'!V99=0),  VLOOKUP(T36,$P$71:$Q$74,2,FALSE), IF(AND(V99=1, OR('Sys Admin Calculation'!X85=1, 'Sys Admin Calculation Y2'!V97=1, 'Sys Admin Calculation Y3'!V99=1)), 0,IF(U36&lt;&gt;"Active", 0, W36*X36)))</f>
        <v>0</v>
      </c>
      <c r="Z36" s="547">
        <f t="shared" si="7"/>
        <v>0</v>
      </c>
      <c r="AA36" s="547">
        <f t="shared" si="8"/>
        <v>0</v>
      </c>
      <c r="AB36" s="547">
        <f t="shared" si="9"/>
        <v>0</v>
      </c>
      <c r="AC36" s="581">
        <f t="shared" si="5"/>
        <v>0</v>
      </c>
      <c r="AD36" s="547">
        <f t="shared" si="10"/>
        <v>0</v>
      </c>
      <c r="AE36" s="582">
        <f t="shared" si="6"/>
        <v>0</v>
      </c>
      <c r="AF36" s="449"/>
    </row>
    <row r="37" spans="1:32">
      <c r="W37" s="137"/>
      <c r="Y37" s="137">
        <f t="shared" ref="Y37:AE37" si="11">SUM(Y5:Y36)</f>
        <v>0</v>
      </c>
      <c r="Z37" s="597">
        <f t="shared" si="11"/>
        <v>43651.454880000012</v>
      </c>
      <c r="AA37" s="597">
        <f t="shared" si="11"/>
        <v>23484.494880000006</v>
      </c>
      <c r="AB37" s="597">
        <f t="shared" si="11"/>
        <v>846455.45759999997</v>
      </c>
      <c r="AC37" s="560">
        <f t="shared" si="11"/>
        <v>260000</v>
      </c>
      <c r="AD37" s="597">
        <f t="shared" si="11"/>
        <v>181751.12255999996</v>
      </c>
      <c r="AE37" s="527">
        <f t="shared" si="11"/>
        <v>1355342.5299199997</v>
      </c>
      <c r="AF37" s="449"/>
    </row>
    <row r="38" spans="1:32">
      <c r="E38" s="824" t="s">
        <v>68</v>
      </c>
      <c r="F38" s="824"/>
      <c r="G38" s="824"/>
      <c r="H38" s="824"/>
      <c r="I38" s="824"/>
      <c r="Z38" s="449"/>
      <c r="AA38" s="449"/>
      <c r="AB38" s="449"/>
      <c r="AC38" s="449"/>
      <c r="AD38" s="449"/>
      <c r="AE38" s="449"/>
      <c r="AF38" s="449"/>
    </row>
    <row r="39" spans="1:32">
      <c r="A39" t="s">
        <v>310</v>
      </c>
      <c r="B39" t="s">
        <v>301</v>
      </c>
      <c r="E39" t="str">
        <f>E4</f>
        <v>Enablement Cost</v>
      </c>
      <c r="F39" t="str">
        <f>F4</f>
        <v>Data Related Cost</v>
      </c>
      <c r="G39" t="str">
        <f>G4</f>
        <v>Analysts Cost</v>
      </c>
      <c r="H39" t="str">
        <f>H4</f>
        <v>Overhead Costs</v>
      </c>
      <c r="I39" t="str">
        <f>I4</f>
        <v>Platform Services</v>
      </c>
      <c r="J39" t="s">
        <v>340</v>
      </c>
      <c r="K39" t="s">
        <v>341</v>
      </c>
      <c r="L39" t="s">
        <v>342</v>
      </c>
      <c r="M39" t="s">
        <v>12</v>
      </c>
      <c r="N39" t="s">
        <v>185</v>
      </c>
      <c r="O39" t="s">
        <v>40</v>
      </c>
      <c r="P39" t="s">
        <v>312</v>
      </c>
      <c r="Q39" t="s">
        <v>275</v>
      </c>
      <c r="R39" t="s">
        <v>184</v>
      </c>
      <c r="S39" t="s">
        <v>198</v>
      </c>
      <c r="T39" t="s">
        <v>199</v>
      </c>
      <c r="U39" t="s">
        <v>200</v>
      </c>
      <c r="V39" t="s">
        <v>192</v>
      </c>
      <c r="Z39" s="449"/>
      <c r="AA39" s="449"/>
      <c r="AB39" s="449"/>
      <c r="AC39" s="449"/>
      <c r="AD39" s="449"/>
      <c r="AE39" s="449"/>
      <c r="AF39" s="449"/>
    </row>
    <row r="40" spans="1:32">
      <c r="A40" t="e">
        <f>'Sys Admin'!#REF!</f>
        <v>#REF!</v>
      </c>
      <c r="B40" t="e">
        <f>'Sys Admin'!#REF!</f>
        <v>#REF!</v>
      </c>
      <c r="D40" t="s">
        <v>83</v>
      </c>
      <c r="E40" s="144">
        <f>'Enablement Services '!E22</f>
        <v>18000</v>
      </c>
      <c r="F40" s="144">
        <v>0</v>
      </c>
      <c r="G40" s="144">
        <v>0</v>
      </c>
      <c r="H40" s="144">
        <f>L49</f>
        <v>1</v>
      </c>
      <c r="I40" s="144">
        <f>L56</f>
        <v>1</v>
      </c>
      <c r="J40" s="145" t="e">
        <f>B40*Q40*E40</f>
        <v>#REF!</v>
      </c>
      <c r="K40" t="e">
        <f>F40*B40*(12-A40)</f>
        <v>#REF!</v>
      </c>
      <c r="L40" t="e">
        <f>G40*B40*(12-A40)</f>
        <v>#REF!</v>
      </c>
      <c r="M40" s="72" t="e">
        <f>H40*Q40*B40</f>
        <v>#REF!</v>
      </c>
      <c r="N40" s="72" t="e">
        <f>I40*B40*Q40</f>
        <v>#REF!</v>
      </c>
      <c r="O40" s="144" t="e">
        <f>SUM(J40:N40)</f>
        <v>#REF!</v>
      </c>
      <c r="P40" s="145" t="e">
        <f>O40</f>
        <v>#REF!</v>
      </c>
      <c r="Q40">
        <v>1</v>
      </c>
      <c r="R40" t="s">
        <v>83</v>
      </c>
      <c r="S40" s="145"/>
    </row>
    <row r="41" spans="1:32">
      <c r="A41" t="e">
        <f>'Sys Admin'!#REF!</f>
        <v>#REF!</v>
      </c>
      <c r="B41" t="e">
        <f>'Sys Admin'!#REF!</f>
        <v>#REF!</v>
      </c>
      <c r="D41" t="s">
        <v>30</v>
      </c>
      <c r="E41" s="144">
        <f>'Enablement Services '!E23+'Enablement Services '!E24</f>
        <v>40000</v>
      </c>
      <c r="F41" s="144">
        <v>0</v>
      </c>
      <c r="G41" s="144">
        <v>0</v>
      </c>
      <c r="H41" s="144">
        <f>L50</f>
        <v>1</v>
      </c>
      <c r="I41" s="144">
        <f>L57</f>
        <v>1</v>
      </c>
      <c r="J41" s="145" t="e">
        <f>B41*Q41*E41</f>
        <v>#REF!</v>
      </c>
      <c r="K41" t="e">
        <f>F41*B41*(12-A41)</f>
        <v>#REF!</v>
      </c>
      <c r="L41" t="e">
        <f>G41*B41*(12-A41)</f>
        <v>#REF!</v>
      </c>
      <c r="M41" s="72" t="e">
        <f>H41*Q41*B41</f>
        <v>#REF!</v>
      </c>
      <c r="N41" s="72" t="e">
        <f>I41*B41*Q41</f>
        <v>#REF!</v>
      </c>
      <c r="O41" s="144">
        <f>E41*Q41+F41+G41+H41+I41</f>
        <v>40002</v>
      </c>
      <c r="P41" t="e">
        <f>'Sys Admin Calculation Y4'!O41*B41</f>
        <v>#REF!</v>
      </c>
      <c r="Q41">
        <v>1</v>
      </c>
      <c r="R41" t="s">
        <v>30</v>
      </c>
      <c r="S41" s="145"/>
      <c r="V41" s="146">
        <v>5000</v>
      </c>
    </row>
    <row r="42" spans="1:32">
      <c r="A42" t="e">
        <f>'Sys Admin'!#REF!</f>
        <v>#REF!</v>
      </c>
      <c r="B42" t="e">
        <f>'Sys Admin'!#REF!</f>
        <v>#REF!</v>
      </c>
      <c r="D42" t="s">
        <v>313</v>
      </c>
      <c r="E42" s="144">
        <f>'Prospective Project Calculation'!X2</f>
        <v>4600</v>
      </c>
      <c r="F42" s="144">
        <f>'Prospective Project Calculation'!S2</f>
        <v>2056.34</v>
      </c>
      <c r="G42" s="144">
        <f>'Prospective Project Calculation'!P2</f>
        <v>375.76</v>
      </c>
      <c r="H42" s="144">
        <f>$L$51</f>
        <v>7053.7954799999989</v>
      </c>
      <c r="I42" s="144">
        <f>$L$58</f>
        <v>1514.592688</v>
      </c>
      <c r="J42" t="e">
        <f>E42*MIN(6,(12-A42))*B42</f>
        <v>#REF!</v>
      </c>
      <c r="K42" t="e">
        <f>(F42*(1+0.05)^(12-A42))*B42</f>
        <v>#REF!</v>
      </c>
      <c r="L42" t="e">
        <f>(G42*(1+0.05)^(12-A42))*B42</f>
        <v>#REF!</v>
      </c>
      <c r="M42" t="e">
        <f>H42*(12-A42)*B42</f>
        <v>#REF!</v>
      </c>
      <c r="N42" t="e">
        <f>I42*(12-A42)*B42</f>
        <v>#REF!</v>
      </c>
      <c r="O42" s="144" t="e">
        <f>SUM(J42:N42)</f>
        <v>#REF!</v>
      </c>
      <c r="P42" s="145" t="e">
        <f>O42</f>
        <v>#REF!</v>
      </c>
      <c r="Q42" t="e">
        <f>'Sys Admin'!#REF!</f>
        <v>#REF!</v>
      </c>
      <c r="R42" t="s">
        <v>8</v>
      </c>
      <c r="S42" s="145">
        <f>E42</f>
        <v>4600</v>
      </c>
      <c r="T42" s="145">
        <f>E43</f>
        <v>4600</v>
      </c>
      <c r="U42" s="145">
        <f>E44</f>
        <v>0</v>
      </c>
    </row>
    <row r="43" spans="1:32">
      <c r="A43" t="e">
        <f>'Sys Admin'!#REF!</f>
        <v>#REF!</v>
      </c>
      <c r="B43" t="e">
        <f>'Sys Admin'!#REF!</f>
        <v>#REF!</v>
      </c>
      <c r="D43" t="s">
        <v>314</v>
      </c>
      <c r="E43" s="144">
        <f>'Prospective Project Calculation'!W2</f>
        <v>4600</v>
      </c>
      <c r="F43" s="144">
        <f>'Prospective Project Calculation'!R2</f>
        <v>853.07416666666666</v>
      </c>
      <c r="G43" s="144">
        <f>'Prospective Project Calculation'!O2</f>
        <v>250.50666666666666</v>
      </c>
      <c r="H43" s="144">
        <f>$L$51</f>
        <v>7053.7954799999989</v>
      </c>
      <c r="I43" s="144">
        <f>$L$58</f>
        <v>1514.592688</v>
      </c>
      <c r="J43" t="e">
        <f>E43*MIN(4,(12-A43))*B43</f>
        <v>#REF!</v>
      </c>
      <c r="K43" t="e">
        <f>(F43*(1+0.05)^(12-A43))*B43</f>
        <v>#REF!</v>
      </c>
      <c r="L43" t="e">
        <f>(G43*(1+0.05)^(12-A43))*B43</f>
        <v>#REF!</v>
      </c>
      <c r="M43" t="e">
        <f>H43*(12-A43)*B43</f>
        <v>#REF!</v>
      </c>
      <c r="N43" t="e">
        <f>I43*(12-A43)*B43</f>
        <v>#REF!</v>
      </c>
      <c r="O43" s="144" t="e">
        <f>SUM(J43:N43)</f>
        <v>#REF!</v>
      </c>
      <c r="P43" s="145" t="e">
        <f>O43</f>
        <v>#REF!</v>
      </c>
      <c r="Q43" t="e">
        <f>'Sys Admin'!#REF!</f>
        <v>#REF!</v>
      </c>
    </row>
    <row r="44" spans="1:32">
      <c r="A44" t="e">
        <f>'Sys Admin'!#REF!</f>
        <v>#REF!</v>
      </c>
      <c r="B44" t="e">
        <f>'Sys Admin'!#REF!</f>
        <v>#REF!</v>
      </c>
      <c r="D44" t="s">
        <v>315</v>
      </c>
      <c r="E44" s="144">
        <f>'Prospective Project Calculation'!V2</f>
        <v>0</v>
      </c>
      <c r="F44" s="144">
        <f>'Prospective Project Calculation'!Q2</f>
        <v>435.04333333333335</v>
      </c>
      <c r="G44" s="144">
        <f>'Prospective Project Calculation'!N2</f>
        <v>125.25333333333333</v>
      </c>
      <c r="H44" s="144">
        <f>$L$51</f>
        <v>7053.7954799999989</v>
      </c>
      <c r="I44" s="144">
        <f>$L$58</f>
        <v>1514.592688</v>
      </c>
      <c r="J44" t="e">
        <f>E44*MIN(2,(12-A44))*B44</f>
        <v>#REF!</v>
      </c>
      <c r="K44" t="e">
        <f>(F44*(1+0.05)^(12-A44))*B44</f>
        <v>#REF!</v>
      </c>
      <c r="L44" t="e">
        <f>(G44*(1+0.05)^(12-A44))*B44</f>
        <v>#REF!</v>
      </c>
      <c r="M44" t="e">
        <f>H44*(12-A44)*B44</f>
        <v>#REF!</v>
      </c>
      <c r="N44" t="e">
        <f>I44*(12-A44)*B44</f>
        <v>#REF!</v>
      </c>
      <c r="O44" s="144" t="e">
        <f>SUM(J44:N44)</f>
        <v>#REF!</v>
      </c>
      <c r="P44" s="145" t="e">
        <f>O44</f>
        <v>#REF!</v>
      </c>
      <c r="Q44" t="e">
        <f>'Sys Admin'!#REF!</f>
        <v>#REF!</v>
      </c>
    </row>
    <row r="45" spans="1:32">
      <c r="J45" s="145" t="e">
        <f>SUM(J40:J44)</f>
        <v>#REF!</v>
      </c>
      <c r="K45" s="145" t="e">
        <f>SUM(K40:K44)</f>
        <v>#REF!</v>
      </c>
      <c r="L45" s="145" t="e">
        <f>SUM(L40:L44)</f>
        <v>#REF!</v>
      </c>
      <c r="M45" s="145" t="e">
        <f>SUM(M40:M44)</f>
        <v>#REF!</v>
      </c>
      <c r="N45" s="145" t="e">
        <f>SUM(N40:N44)</f>
        <v>#REF!</v>
      </c>
    </row>
    <row r="46" spans="1:32">
      <c r="F46" t="s">
        <v>325</v>
      </c>
      <c r="G46" t="s">
        <v>326</v>
      </c>
      <c r="H46" t="s">
        <v>230</v>
      </c>
      <c r="T46" t="s">
        <v>8</v>
      </c>
      <c r="U46" t="s">
        <v>31</v>
      </c>
      <c r="V46" t="str">
        <f>T46&amp;U46</f>
        <v>ActiveHigh</v>
      </c>
      <c r="W46">
        <v>6</v>
      </c>
      <c r="X46" s="145">
        <f t="shared" ref="X46:Y48" si="12">F42</f>
        <v>2056.34</v>
      </c>
      <c r="Y46" s="145">
        <f t="shared" si="12"/>
        <v>375.76</v>
      </c>
    </row>
    <row r="47" spans="1:32" ht="14.65" thickBot="1">
      <c r="A47" s="448" t="s">
        <v>316</v>
      </c>
      <c r="B47" s="448"/>
      <c r="C47" s="448"/>
      <c r="D47" s="448" t="s">
        <v>295</v>
      </c>
      <c r="E47" s="448" t="s">
        <v>307</v>
      </c>
      <c r="F47" s="448" t="s">
        <v>40</v>
      </c>
      <c r="H47" t="s">
        <v>12</v>
      </c>
      <c r="T47" t="s">
        <v>8</v>
      </c>
      <c r="U47" t="s">
        <v>32</v>
      </c>
      <c r="V47" t="str">
        <f>T47&amp;U47</f>
        <v>ActiveMedium</v>
      </c>
      <c r="W47">
        <v>4</v>
      </c>
      <c r="X47" s="145">
        <f t="shared" si="12"/>
        <v>853.07416666666666</v>
      </c>
      <c r="Y47" s="145">
        <f t="shared" si="12"/>
        <v>250.50666666666666</v>
      </c>
    </row>
    <row r="48" spans="1:32">
      <c r="A48" s="448" t="str">
        <f>'Platform Overhead C '!A24</f>
        <v>Platform DevOps (including testing, features)</v>
      </c>
      <c r="B48" s="448"/>
      <c r="C48" s="448"/>
      <c r="D48" s="448">
        <f>'Sys Admin'!U19</f>
        <v>1.5</v>
      </c>
      <c r="E48" s="487">
        <f>D48*'Rate Sheet'!B4*'Rate Sheet'!B9</f>
        <v>36720</v>
      </c>
      <c r="F48" s="487">
        <f>E48*12</f>
        <v>440640</v>
      </c>
      <c r="H48" s="44" t="s">
        <v>66</v>
      </c>
      <c r="I48" s="45" t="s">
        <v>69</v>
      </c>
      <c r="J48" s="45" t="s">
        <v>68</v>
      </c>
      <c r="K48" s="45" t="s">
        <v>101</v>
      </c>
      <c r="L48" s="46" t="s">
        <v>70</v>
      </c>
      <c r="N48" t="s">
        <v>332</v>
      </c>
      <c r="O48" t="s">
        <v>330</v>
      </c>
      <c r="P48" t="s">
        <v>331</v>
      </c>
      <c r="Q48" t="s">
        <v>307</v>
      </c>
      <c r="T48" t="s">
        <v>8</v>
      </c>
      <c r="U48" t="s">
        <v>33</v>
      </c>
      <c r="V48" t="str">
        <f>T48&amp;U48</f>
        <v>ActiveLow</v>
      </c>
      <c r="W48">
        <v>2</v>
      </c>
      <c r="X48" s="145">
        <f t="shared" si="12"/>
        <v>435.04333333333335</v>
      </c>
      <c r="Y48" s="145">
        <f t="shared" si="12"/>
        <v>125.25333333333333</v>
      </c>
    </row>
    <row r="49" spans="1:17">
      <c r="A49" s="448" t="str">
        <f>'Platform Overhead C '!A25</f>
        <v>Standard O&amp;M/Support</v>
      </c>
      <c r="B49" s="448"/>
      <c r="C49" s="448"/>
      <c r="D49" s="448">
        <f>'Sys Admin'!U20</f>
        <v>1.5</v>
      </c>
      <c r="E49" s="487">
        <f>D49*'Rate Sheet'!B5*'Rate Sheet'!B9</f>
        <v>34320</v>
      </c>
      <c r="F49" s="487">
        <f>E49*12</f>
        <v>411840</v>
      </c>
      <c r="H49" s="15" t="s">
        <v>228</v>
      </c>
      <c r="I49" s="43">
        <f>'Platform Overhead C '!J21</f>
        <v>0.05</v>
      </c>
      <c r="J49" s="11">
        <f>$G$50*I49</f>
        <v>5878.1628999999994</v>
      </c>
      <c r="K49" s="27">
        <f>'Sys Admin'!AA10</f>
        <v>0</v>
      </c>
      <c r="L49" s="17">
        <f>IF(K49&lt;&gt;0,J49/K49,1)</f>
        <v>1</v>
      </c>
      <c r="N49" s="492" t="str">
        <f t="shared" ref="N49:N62" si="13">O49&amp;P49</f>
        <v>Planning/DiscoveryGold</v>
      </c>
      <c r="O49" s="492" t="s">
        <v>83</v>
      </c>
      <c r="P49" s="492" t="s">
        <v>198</v>
      </c>
      <c r="Q49" s="493">
        <f>'ESPO Calculator'!D73</f>
        <v>4600</v>
      </c>
    </row>
    <row r="50" spans="1:17">
      <c r="A50" s="448" t="s">
        <v>323</v>
      </c>
      <c r="B50" s="448"/>
      <c r="C50" s="448"/>
      <c r="D50" s="448"/>
      <c r="E50" s="487">
        <f>'Platform Overhead C '!F20</f>
        <v>272976</v>
      </c>
      <c r="F50" s="487">
        <f>SUM(F48:F49,E50)*(1+(3* (3/100)))</f>
        <v>1226747.04</v>
      </c>
      <c r="G50" s="72">
        <f>F50/12* (1+'Rate Sheet'!B8)</f>
        <v>117563.25799999999</v>
      </c>
      <c r="H50" s="15" t="s">
        <v>30</v>
      </c>
      <c r="I50" s="43">
        <f>'Platform Overhead C '!J22</f>
        <v>0.3</v>
      </c>
      <c r="J50" s="11">
        <f>$G$50*I50</f>
        <v>35268.977399999996</v>
      </c>
      <c r="K50" s="27">
        <f>'Sys Admin'!AA12</f>
        <v>0</v>
      </c>
      <c r="L50" s="17">
        <f>IF(K50=0,1,J50/K50)</f>
        <v>1</v>
      </c>
      <c r="N50" s="492" t="str">
        <f t="shared" si="13"/>
        <v>Planning/DiscoverySilver</v>
      </c>
      <c r="O50" s="492" t="s">
        <v>83</v>
      </c>
      <c r="P50" s="492" t="s">
        <v>199</v>
      </c>
      <c r="Q50" s="493">
        <f>'ESPO Calculator'!D56</f>
        <v>4600</v>
      </c>
    </row>
    <row r="51" spans="1:17">
      <c r="A51" s="448" t="s">
        <v>324</v>
      </c>
      <c r="B51" s="448"/>
      <c r="C51" s="448"/>
      <c r="D51" s="448"/>
      <c r="E51" s="448">
        <f>'Platform Overhead C '!M32*(1+((4*'Sys Admin'!$AA$21)/100))</f>
        <v>18932.408599999999</v>
      </c>
      <c r="F51" s="448"/>
      <c r="H51" s="15" t="s">
        <v>8</v>
      </c>
      <c r="I51" s="43">
        <f>'Platform Overhead C '!J23</f>
        <v>0.6</v>
      </c>
      <c r="J51" s="11">
        <f>$G$50*I51</f>
        <v>70537.954799999992</v>
      </c>
      <c r="K51" s="27">
        <f>'Sys Admin'!AA14</f>
        <v>10</v>
      </c>
      <c r="L51" s="17">
        <f>J51/K51</f>
        <v>7053.7954799999989</v>
      </c>
      <c r="N51" s="492" t="str">
        <f t="shared" si="13"/>
        <v>Planning/DiscoveryCustome</v>
      </c>
      <c r="O51" s="492" t="s">
        <v>83</v>
      </c>
      <c r="P51" s="492" t="s">
        <v>602</v>
      </c>
      <c r="Q51" s="493">
        <f>'Custom ESPO Selection'!D30</f>
        <v>0</v>
      </c>
    </row>
    <row r="52" spans="1:17">
      <c r="A52" s="448" t="s">
        <v>604</v>
      </c>
      <c r="B52" s="448"/>
      <c r="C52" s="448"/>
      <c r="D52" s="448"/>
      <c r="E52" s="448"/>
      <c r="F52" s="489">
        <f>Y100</f>
        <v>260000</v>
      </c>
      <c r="H52" s="15" t="s">
        <v>84</v>
      </c>
      <c r="I52" s="43">
        <f>'Platform Overhead C '!J24</f>
        <v>0.05</v>
      </c>
      <c r="J52" s="11">
        <f>$G$50*I52</f>
        <v>5878.1628999999994</v>
      </c>
      <c r="K52" s="27">
        <f>'Sys Admin'!AA16</f>
        <v>0</v>
      </c>
      <c r="L52" s="17">
        <f>IF(K52=0,1,J52/K52)</f>
        <v>1</v>
      </c>
      <c r="N52" s="492" t="str">
        <f t="shared" si="13"/>
        <v>Planning/DiscoveryNone</v>
      </c>
      <c r="O52" s="492" t="s">
        <v>83</v>
      </c>
      <c r="P52" s="492" t="s">
        <v>192</v>
      </c>
      <c r="Q52" s="493">
        <f>'Enablement Services '!C64</f>
        <v>0</v>
      </c>
    </row>
    <row r="53" spans="1:17">
      <c r="N53" s="492" t="str">
        <f t="shared" si="13"/>
        <v>OnboardingGold</v>
      </c>
      <c r="O53" s="492" t="s">
        <v>30</v>
      </c>
      <c r="P53" s="492" t="s">
        <v>198</v>
      </c>
      <c r="Q53" s="493">
        <f>'ESPO Calculator'!D74</f>
        <v>60075</v>
      </c>
    </row>
    <row r="54" spans="1:17" ht="14.65" thickBot="1">
      <c r="H54" t="s">
        <v>185</v>
      </c>
      <c r="N54" s="492" t="str">
        <f t="shared" si="13"/>
        <v>OnboardingSilver</v>
      </c>
      <c r="O54" s="492" t="s">
        <v>30</v>
      </c>
      <c r="P54" s="492" t="s">
        <v>199</v>
      </c>
      <c r="Q54" s="493">
        <f>'ESPO Calculator'!D57</f>
        <v>33125</v>
      </c>
    </row>
    <row r="55" spans="1:17">
      <c r="H55" s="44" t="s">
        <v>66</v>
      </c>
      <c r="I55" s="45" t="s">
        <v>69</v>
      </c>
      <c r="J55" s="45" t="s">
        <v>68</v>
      </c>
      <c r="K55" s="45" t="s">
        <v>101</v>
      </c>
      <c r="L55" s="46" t="s">
        <v>70</v>
      </c>
      <c r="N55" s="492" t="str">
        <f t="shared" si="13"/>
        <v>OnboardingCustome</v>
      </c>
      <c r="O55" s="492" t="s">
        <v>30</v>
      </c>
      <c r="P55" s="492" t="s">
        <v>602</v>
      </c>
      <c r="Q55" s="493">
        <f>'Custom ESPO Selection'!D31</f>
        <v>0</v>
      </c>
    </row>
    <row r="56" spans="1:17">
      <c r="H56" s="15" t="s">
        <v>228</v>
      </c>
      <c r="I56" s="43">
        <f>'Platform Overhead C '!J36</f>
        <v>0.05</v>
      </c>
      <c r="J56" s="11">
        <f>$E$51*I56</f>
        <v>946.62042999999994</v>
      </c>
      <c r="K56" s="27">
        <f>'Sys Admin'!AA10</f>
        <v>0</v>
      </c>
      <c r="L56" s="17">
        <f>IF(K56&lt;&gt;0,J56/K56,1)</f>
        <v>1</v>
      </c>
      <c r="N56" s="492" t="str">
        <f t="shared" si="13"/>
        <v>OnboardingNone</v>
      </c>
      <c r="O56" s="492" t="s">
        <v>30</v>
      </c>
      <c r="P56" s="492" t="s">
        <v>192</v>
      </c>
      <c r="Q56" s="493">
        <f>'Enablement Services '!C68</f>
        <v>0</v>
      </c>
    </row>
    <row r="57" spans="1:17">
      <c r="H57" s="15" t="s">
        <v>30</v>
      </c>
      <c r="I57" s="43">
        <f>'Platform Overhead C '!J37</f>
        <v>0.15</v>
      </c>
      <c r="J57" s="11">
        <f>$E$51*I57</f>
        <v>2839.8612899999998</v>
      </c>
      <c r="K57" s="27">
        <f>'Sys Admin'!AA12</f>
        <v>0</v>
      </c>
      <c r="L57" s="17">
        <f>IF(K57=0,1,J57/K57)</f>
        <v>1</v>
      </c>
      <c r="N57" s="492" t="str">
        <f t="shared" si="13"/>
        <v>ActiveGold</v>
      </c>
      <c r="O57" s="492" t="s">
        <v>8</v>
      </c>
      <c r="P57" s="492" t="s">
        <v>198</v>
      </c>
      <c r="Q57" s="493">
        <f>'ESPO Calculator'!D84</f>
        <v>49008.333333333336</v>
      </c>
    </row>
    <row r="58" spans="1:17">
      <c r="H58" s="15" t="s">
        <v>8</v>
      </c>
      <c r="I58" s="43">
        <f>'Platform Overhead C '!J38</f>
        <v>0.8</v>
      </c>
      <c r="J58" s="11">
        <f>$E$51*I58</f>
        <v>15145.926879999999</v>
      </c>
      <c r="K58" s="27">
        <f>'Sys Admin'!AA14</f>
        <v>10</v>
      </c>
      <c r="L58" s="17">
        <f>J58/K58</f>
        <v>1514.592688</v>
      </c>
      <c r="N58" s="492" t="str">
        <f t="shared" si="13"/>
        <v>ActiveSilver</v>
      </c>
      <c r="O58" s="492" t="s">
        <v>8</v>
      </c>
      <c r="P58" s="492" t="s">
        <v>199</v>
      </c>
      <c r="Q58" s="493">
        <f>'ESPO Calculator'!D67</f>
        <v>15250</v>
      </c>
    </row>
    <row r="59" spans="1:17">
      <c r="H59" s="15" t="s">
        <v>84</v>
      </c>
      <c r="I59" s="43">
        <f>'Platform Overhead C '!J39</f>
        <v>0.05</v>
      </c>
      <c r="J59" s="11">
        <f>$E$51*I59</f>
        <v>946.62042999999994</v>
      </c>
      <c r="K59" s="27">
        <f>'Sys Admin'!AA16</f>
        <v>0</v>
      </c>
      <c r="L59" s="17">
        <f>IF(K59=0,1,J59/K59)</f>
        <v>1</v>
      </c>
      <c r="N59" s="492" t="str">
        <f t="shared" si="13"/>
        <v>ActiveCustome</v>
      </c>
      <c r="O59" s="492" t="s">
        <v>8</v>
      </c>
      <c r="P59" s="492" t="s">
        <v>602</v>
      </c>
      <c r="Q59" s="493">
        <f>'Custom ESPO Selection'!D41</f>
        <v>0</v>
      </c>
    </row>
    <row r="60" spans="1:17">
      <c r="N60" s="492" t="str">
        <f t="shared" si="13"/>
        <v>ActiveNone</v>
      </c>
      <c r="O60" s="492" t="s">
        <v>8</v>
      </c>
      <c r="P60" s="492" t="s">
        <v>192</v>
      </c>
      <c r="Q60" s="493">
        <f>'Enablement Services '!C72</f>
        <v>0</v>
      </c>
    </row>
    <row r="61" spans="1:17">
      <c r="N61" s="492" t="str">
        <f t="shared" si="13"/>
        <v>ProspectiveNone</v>
      </c>
      <c r="O61" s="492" t="s">
        <v>67</v>
      </c>
      <c r="P61" s="492" t="s">
        <v>192</v>
      </c>
      <c r="Q61" s="494">
        <v>0</v>
      </c>
    </row>
    <row r="62" spans="1:17">
      <c r="B62" t="s">
        <v>334</v>
      </c>
      <c r="N62" s="492" t="str">
        <f t="shared" si="13"/>
        <v>Export/RetirementGold</v>
      </c>
      <c r="O62" s="492" t="s">
        <v>84</v>
      </c>
      <c r="P62" s="492" t="s">
        <v>198</v>
      </c>
      <c r="Q62" s="492">
        <f>'ESPO Calculator'!D76</f>
        <v>2550</v>
      </c>
    </row>
    <row r="63" spans="1:17">
      <c r="C63" t="s">
        <v>301</v>
      </c>
      <c r="D63" t="s">
        <v>337</v>
      </c>
      <c r="E63" t="s">
        <v>338</v>
      </c>
      <c r="F63" t="s">
        <v>339</v>
      </c>
      <c r="N63" s="492" t="str">
        <f>O63&amp;P63</f>
        <v>Export/RetirementSilver</v>
      </c>
      <c r="O63" s="492" t="s">
        <v>84</v>
      </c>
      <c r="P63" s="492" t="s">
        <v>199</v>
      </c>
      <c r="Q63" s="492">
        <f>'ESPO Calculator'!D59</f>
        <v>2550</v>
      </c>
    </row>
    <row r="64" spans="1:17">
      <c r="B64" t="s">
        <v>184</v>
      </c>
      <c r="C64" s="145" t="e">
        <f>J45</f>
        <v>#REF!</v>
      </c>
      <c r="D64">
        <f>Y37</f>
        <v>0</v>
      </c>
      <c r="E64" s="145" t="e">
        <f>SUM(C64:D64)</f>
        <v>#REF!</v>
      </c>
      <c r="N64" s="492" t="str">
        <f>O64&amp;P64</f>
        <v>Export/RetirementCustome</v>
      </c>
      <c r="O64" s="492" t="s">
        <v>84</v>
      </c>
      <c r="P64" s="492" t="s">
        <v>602</v>
      </c>
      <c r="Q64" s="492">
        <f>'Custom ESPO Selection'!D33</f>
        <v>0</v>
      </c>
    </row>
    <row r="65" spans="2:25">
      <c r="B65" t="s">
        <v>252</v>
      </c>
      <c r="C65" s="145" t="e">
        <f>K45</f>
        <v>#REF!</v>
      </c>
      <c r="D65">
        <f>Z37</f>
        <v>43651.454880000012</v>
      </c>
      <c r="N65" s="492" t="str">
        <f>O65&amp;P65</f>
        <v>Export/RetirementNone</v>
      </c>
      <c r="O65" s="492" t="s">
        <v>84</v>
      </c>
      <c r="P65" s="492" t="s">
        <v>192</v>
      </c>
      <c r="Q65" s="492">
        <v>0</v>
      </c>
    </row>
    <row r="66" spans="2:25">
      <c r="B66" t="s">
        <v>335</v>
      </c>
      <c r="C66" s="145" t="e">
        <f>L45</f>
        <v>#REF!</v>
      </c>
      <c r="D66">
        <f>AA37</f>
        <v>23484.494880000006</v>
      </c>
      <c r="E66" s="145" t="e">
        <f>SUM(C65:D66)</f>
        <v>#REF!</v>
      </c>
      <c r="N66" s="448" t="str">
        <f t="shared" ref="N66:N70" si="14">O66&amp;P66</f>
        <v>ActiveGold</v>
      </c>
      <c r="O66" s="448" t="s">
        <v>8</v>
      </c>
      <c r="P66" s="448" t="s">
        <v>198</v>
      </c>
      <c r="Q66" s="477">
        <f>'ESPO Calculator'!D84</f>
        <v>49008.333333333336</v>
      </c>
    </row>
    <row r="67" spans="2:25" ht="42.75">
      <c r="B67" t="s">
        <v>12</v>
      </c>
      <c r="C67" s="145" t="e">
        <f>M45</f>
        <v>#REF!</v>
      </c>
      <c r="D67">
        <f>AB37</f>
        <v>846455.45759999997</v>
      </c>
      <c r="E67" s="145" t="e">
        <f>SUM(C67:D67)</f>
        <v>#REF!</v>
      </c>
      <c r="N67" s="448" t="str">
        <f t="shared" si="14"/>
        <v>ActiveSilver</v>
      </c>
      <c r="O67" s="448" t="s">
        <v>8</v>
      </c>
      <c r="P67" s="448" t="s">
        <v>199</v>
      </c>
      <c r="Q67" s="477">
        <f>'ESPO Calculator'!D67</f>
        <v>15250</v>
      </c>
      <c r="S67" s="9" t="s">
        <v>187</v>
      </c>
      <c r="T67" s="104" t="s">
        <v>634</v>
      </c>
      <c r="U67" s="104" t="s">
        <v>637</v>
      </c>
      <c r="V67" s="591" t="s">
        <v>603</v>
      </c>
      <c r="W67" s="592" t="s">
        <v>607</v>
      </c>
      <c r="X67" s="592" t="s">
        <v>606</v>
      </c>
      <c r="Y67" s="592" t="s">
        <v>608</v>
      </c>
    </row>
    <row r="68" spans="2:25">
      <c r="B68" t="s">
        <v>336</v>
      </c>
      <c r="C68" s="145" t="e">
        <f>N45</f>
        <v>#REF!</v>
      </c>
      <c r="D68">
        <f>AD37</f>
        <v>181751.12255999996</v>
      </c>
      <c r="E68" s="145" t="e">
        <f>SUM(C68:D68)</f>
        <v>#REF!</v>
      </c>
      <c r="N68" s="448" t="str">
        <f t="shared" si="14"/>
        <v>ActiveCustom</v>
      </c>
      <c r="O68" s="448" t="s">
        <v>8</v>
      </c>
      <c r="P68" s="448" t="s">
        <v>575</v>
      </c>
      <c r="Q68" s="477">
        <f>'Custom ESPO Selection'!D41</f>
        <v>0</v>
      </c>
      <c r="S68" s="9" t="s">
        <v>147</v>
      </c>
      <c r="T68" s="486" t="str">
        <f>'Sys Admin'!U24</f>
        <v>Active</v>
      </c>
      <c r="U68" s="9" t="str">
        <f>'Sys Admin'!AA24</f>
        <v>Active</v>
      </c>
      <c r="V68" s="593">
        <f>IF(AND(T68="Active",U68="Export/Retirement"),1,IF(T68="Export/Retirement",1,IF(AND(T68="Prospective",U68&lt;&gt;"Prospective"),1,IF(AND(OR(T68="Planning/Discovery",T68="Onboarding"),OR(U68="Planning/Discovery",U68="Onboarding",U68="Export/Retirement")),1,IF(OR(U68="Prospective",T68="Active"),0,0)))))</f>
        <v>0</v>
      </c>
      <c r="W68" s="507">
        <f>IF(U68="Prospective",0, IF(OR('Sys Admin Calculation'!Y54&lt;&gt;0,'Sys Admin Calculation Y2'!W66&lt;&gt;0, 'Sys Admin Calculation Y3'!W68&lt;&gt;0),0,'ESPO Calculator'!$B$41))</f>
        <v>0</v>
      </c>
      <c r="X68" s="507">
        <f>IF(OR(V68=1, U68="Prospective"), 0, 'ESPO Calculator'!$D$48)</f>
        <v>2166.6666666666665</v>
      </c>
      <c r="Y68" s="507">
        <f>W68+X68*IF('Sys Admin'!W24 &lt;&gt; 0, (12 - 'Sys Admin'!W24), 12)</f>
        <v>26000</v>
      </c>
    </row>
    <row r="69" spans="2:25">
      <c r="N69" s="448" t="str">
        <f t="shared" si="14"/>
        <v>ActiveNone</v>
      </c>
      <c r="O69" s="448" t="s">
        <v>8</v>
      </c>
      <c r="P69" s="448" t="s">
        <v>192</v>
      </c>
      <c r="Q69" s="477">
        <f>'Enablement Services '!C72</f>
        <v>0</v>
      </c>
      <c r="S69" s="9" t="s">
        <v>146</v>
      </c>
      <c r="T69" s="486" t="str">
        <f>'Sys Admin'!U25</f>
        <v>Active</v>
      </c>
      <c r="U69" s="9" t="str">
        <f>'Sys Admin'!AA25</f>
        <v>Active</v>
      </c>
      <c r="V69" s="593">
        <f t="shared" ref="V69:V99" si="15">IF(AND(T69="Active",U69="Export/Retirement"),1,IF(T69="Export/Retirement",1,IF(AND(T69="Prospective",U69&lt;&gt;"Prospective"),1,IF(AND(OR(T69="Planning/Discovery",T69="Onboarding"),OR(U69="Planning/Discovery",U69="Onboarding",U69="Export/Retirement")),1,IF(OR(U69="Prospective",T69="Active"),0,0)))))</f>
        <v>0</v>
      </c>
      <c r="W69" s="507">
        <f>IF(U69="Prospective",0, IF(OR('Sys Admin Calculation'!Y55&lt;&gt;0,'Sys Admin Calculation Y2'!W67&lt;&gt;0, 'Sys Admin Calculation Y3'!W69&lt;&gt;0),0,'ESPO Calculator'!$B$41))</f>
        <v>0</v>
      </c>
      <c r="X69" s="507">
        <f>IF(OR(V69=1, U69="Prospective"), 0, 'ESPO Calculator'!$D$48)</f>
        <v>2166.6666666666665</v>
      </c>
      <c r="Y69" s="507">
        <f>W69+X69*IF('Sys Admin'!W25 &lt;&gt; 0, (12 - 'Sys Admin'!W25), 12)</f>
        <v>26000</v>
      </c>
    </row>
    <row r="70" spans="2:25" ht="14.65" thickBot="1">
      <c r="N70" s="448" t="str">
        <f t="shared" si="14"/>
        <v>ProspectiveNone</v>
      </c>
      <c r="O70" s="448" t="s">
        <v>67</v>
      </c>
      <c r="P70" s="448" t="s">
        <v>192</v>
      </c>
      <c r="Q70" s="488">
        <v>0</v>
      </c>
      <c r="S70" s="9" t="s">
        <v>145</v>
      </c>
      <c r="T70" s="486" t="str">
        <f>'Sys Admin'!U26</f>
        <v>Active</v>
      </c>
      <c r="U70" s="9" t="str">
        <f>'Sys Admin'!AA26</f>
        <v>Active</v>
      </c>
      <c r="V70" s="593">
        <f t="shared" si="15"/>
        <v>0</v>
      </c>
      <c r="W70" s="507">
        <f>IF(U70="Prospective",0, IF(OR('Sys Admin Calculation'!Y56&lt;&gt;0,'Sys Admin Calculation Y2'!W68&lt;&gt;0, 'Sys Admin Calculation Y3'!W70&lt;&gt;0),0,'ESPO Calculator'!$B$41))</f>
        <v>0</v>
      </c>
      <c r="X70" s="507">
        <f>IF(OR(V70=1, U70="Prospective"), 0, 'ESPO Calculator'!$D$48)</f>
        <v>2166.6666666666665</v>
      </c>
      <c r="Y70" s="507">
        <f>W70+X70*IF('Sys Admin'!W26 &lt;&gt; 0, (12 - 'Sys Admin'!W26), 12)</f>
        <v>26000</v>
      </c>
    </row>
    <row r="71" spans="2:25">
      <c r="N71" s="516"/>
      <c r="O71" s="517"/>
      <c r="P71" s="517" t="s">
        <v>198</v>
      </c>
      <c r="Q71" s="518">
        <f>'ESPO Calculator'!B77</f>
        <v>720000</v>
      </c>
      <c r="S71" s="9" t="s">
        <v>203</v>
      </c>
      <c r="T71" s="486" t="str">
        <f>'Sys Admin'!U27</f>
        <v>Active</v>
      </c>
      <c r="U71" s="9" t="str">
        <f>'Sys Admin'!AA27</f>
        <v>Active</v>
      </c>
      <c r="V71" s="593">
        <f t="shared" si="15"/>
        <v>0</v>
      </c>
      <c r="W71" s="507">
        <f>IF(U71="Prospective",0, IF(OR('Sys Admin Calculation'!Y57&lt;&gt;0,'Sys Admin Calculation Y2'!W69&lt;&gt;0, 'Sys Admin Calculation Y3'!W71&lt;&gt;0),0,'ESPO Calculator'!$B$41))</f>
        <v>0</v>
      </c>
      <c r="X71" s="507">
        <f>IF(OR(V71=1, U71="Prospective"), 0, 'ESPO Calculator'!$D$48)</f>
        <v>2166.6666666666665</v>
      </c>
      <c r="Y71" s="507">
        <f>W71+X71*IF('Sys Admin'!W27 &lt;&gt; 0, (12 - 'Sys Admin'!W27), 12)</f>
        <v>26000</v>
      </c>
    </row>
    <row r="72" spans="2:25">
      <c r="N72" s="519"/>
      <c r="O72" s="515"/>
      <c r="P72" s="515" t="s">
        <v>199</v>
      </c>
      <c r="Q72" s="520">
        <f>'ESPO Calculator'!B60</f>
        <v>261000</v>
      </c>
      <c r="S72" s="9" t="s">
        <v>159</v>
      </c>
      <c r="T72" s="486" t="str">
        <f>'Sys Admin'!U28</f>
        <v>Active</v>
      </c>
      <c r="U72" s="9" t="str">
        <f>'Sys Admin'!AA28</f>
        <v>Active</v>
      </c>
      <c r="V72" s="593">
        <f t="shared" si="15"/>
        <v>0</v>
      </c>
      <c r="W72" s="507">
        <f>IF(U72="Prospective",0, IF(OR('Sys Admin Calculation'!Y58&lt;&gt;0,'Sys Admin Calculation Y2'!W70&lt;&gt;0, 'Sys Admin Calculation Y3'!W72&lt;&gt;0),0,'ESPO Calculator'!$B$41))</f>
        <v>0</v>
      </c>
      <c r="X72" s="507">
        <f>IF(OR(V72=1, U72="Prospective"), 0, 'ESPO Calculator'!$D$48)</f>
        <v>2166.6666666666665</v>
      </c>
      <c r="Y72" s="507">
        <f>W72+X72*IF('Sys Admin'!W28 &lt;&gt; 0, (12 - 'Sys Admin'!W28), 12)</f>
        <v>26000</v>
      </c>
    </row>
    <row r="73" spans="2:25">
      <c r="N73" s="519"/>
      <c r="O73" s="515"/>
      <c r="P73" s="515" t="s">
        <v>575</v>
      </c>
      <c r="Q73" s="520">
        <f>'Custom ESPO Selection'!B34</f>
        <v>0</v>
      </c>
      <c r="S73" s="9" t="s">
        <v>204</v>
      </c>
      <c r="T73" s="486" t="str">
        <f>'Sys Admin'!U29</f>
        <v>Prospective</v>
      </c>
      <c r="U73" s="9" t="str">
        <f>'Sys Admin'!AA29</f>
        <v>Prospective</v>
      </c>
      <c r="V73" s="593">
        <f t="shared" si="15"/>
        <v>0</v>
      </c>
      <c r="W73" s="507">
        <f>IF(U73="Prospective",0, IF(OR('Sys Admin Calculation'!Y59&lt;&gt;0,'Sys Admin Calculation Y2'!W71&lt;&gt;0, 'Sys Admin Calculation Y3'!W73&lt;&gt;0),0,'ESPO Calculator'!$B$41))</f>
        <v>0</v>
      </c>
      <c r="X73" s="507">
        <f>IF(OR(V73=1, U73="Prospective"), 0, 'ESPO Calculator'!$D$48)</f>
        <v>0</v>
      </c>
      <c r="Y73" s="507">
        <f>W73+X73*IF('Sys Admin'!W29 &lt;&gt; 0, (12 - 'Sys Admin'!W29), 12)</f>
        <v>0</v>
      </c>
    </row>
    <row r="74" spans="2:25" ht="14.65" thickBot="1">
      <c r="N74" s="521"/>
      <c r="O74" s="522"/>
      <c r="P74" s="522" t="s">
        <v>192</v>
      </c>
      <c r="Q74" s="523">
        <v>0</v>
      </c>
      <c r="S74" s="9" t="s">
        <v>205</v>
      </c>
      <c r="T74" s="486" t="str">
        <f>'Sys Admin'!U30</f>
        <v>Prospective</v>
      </c>
      <c r="U74" s="9" t="str">
        <f>'Sys Admin'!AA30</f>
        <v>Prospective</v>
      </c>
      <c r="V74" s="593">
        <f t="shared" si="15"/>
        <v>0</v>
      </c>
      <c r="W74" s="507">
        <f>IF(U74="Prospective",0, IF(OR('Sys Admin Calculation'!Y60&lt;&gt;0,'Sys Admin Calculation Y2'!W72&lt;&gt;0, 'Sys Admin Calculation Y3'!W74&lt;&gt;0),0,'ESPO Calculator'!$B$41))</f>
        <v>0</v>
      </c>
      <c r="X74" s="507">
        <f>IF(OR(V74=1, U74="Prospective"), 0, 'ESPO Calculator'!$D$48)</f>
        <v>0</v>
      </c>
      <c r="Y74" s="507">
        <f>W74+X74*IF('Sys Admin'!W30 &lt;&gt; 0, (12 - 'Sys Admin'!W30), 12)</f>
        <v>0</v>
      </c>
    </row>
    <row r="75" spans="2:25">
      <c r="S75" s="9" t="s">
        <v>148</v>
      </c>
      <c r="T75" s="486" t="str">
        <f>'Sys Admin'!U31</f>
        <v>Active</v>
      </c>
      <c r="U75" s="9" t="str">
        <f>'Sys Admin'!AA31</f>
        <v>Active</v>
      </c>
      <c r="V75" s="593">
        <f t="shared" si="15"/>
        <v>0</v>
      </c>
      <c r="W75" s="507">
        <f>IF(U75="Prospective",0, IF(OR('Sys Admin Calculation'!Y61&lt;&gt;0,'Sys Admin Calculation Y2'!W73&lt;&gt;0, 'Sys Admin Calculation Y3'!W75&lt;&gt;0),0,'ESPO Calculator'!$B$41))</f>
        <v>0</v>
      </c>
      <c r="X75" s="507">
        <f>IF(OR(V75=1, U75="Prospective"), 0, 'ESPO Calculator'!$D$48)</f>
        <v>2166.6666666666665</v>
      </c>
      <c r="Y75" s="507">
        <f>W75+X75*IF('Sys Admin'!W31 &lt;&gt; 0, (12 - 'Sys Admin'!W31), 12)</f>
        <v>26000</v>
      </c>
    </row>
    <row r="76" spans="2:25">
      <c r="S76" s="9" t="s">
        <v>206</v>
      </c>
      <c r="T76" s="486" t="str">
        <f>'Sys Admin'!U32</f>
        <v>Active</v>
      </c>
      <c r="U76" s="9" t="str">
        <f>'Sys Admin'!AA32</f>
        <v>Active</v>
      </c>
      <c r="V76" s="593">
        <f t="shared" si="15"/>
        <v>0</v>
      </c>
      <c r="W76" s="507">
        <f>IF(U76="Prospective",0, IF(OR('Sys Admin Calculation'!Y62&lt;&gt;0,'Sys Admin Calculation Y2'!W74&lt;&gt;0, 'Sys Admin Calculation Y3'!W76&lt;&gt;0),0,'ESPO Calculator'!$B$41))</f>
        <v>0</v>
      </c>
      <c r="X76" s="507">
        <f>IF(OR(V76=1, U76="Prospective"), 0, 'ESPO Calculator'!$D$48)</f>
        <v>2166.6666666666665</v>
      </c>
      <c r="Y76" s="507">
        <f>W76+X76*IF('Sys Admin'!W32 &lt;&gt; 0, (12 - 'Sys Admin'!W32), 12)</f>
        <v>26000</v>
      </c>
    </row>
    <row r="77" spans="2:25">
      <c r="S77" s="9" t="s">
        <v>207</v>
      </c>
      <c r="T77" s="486" t="str">
        <f>'Sys Admin'!U33</f>
        <v>Active</v>
      </c>
      <c r="U77" s="9" t="str">
        <f>'Sys Admin'!AA33</f>
        <v>Active</v>
      </c>
      <c r="V77" s="593">
        <f t="shared" si="15"/>
        <v>0</v>
      </c>
      <c r="W77" s="507">
        <f>IF(U77="Prospective",0, IF(OR('Sys Admin Calculation'!Y63&lt;&gt;0,'Sys Admin Calculation Y2'!W75&lt;&gt;0, 'Sys Admin Calculation Y3'!W77&lt;&gt;0),0,'ESPO Calculator'!$B$41))</f>
        <v>0</v>
      </c>
      <c r="X77" s="507">
        <f>IF(OR(V77=1, U77="Prospective"), 0, 'ESPO Calculator'!$D$48)</f>
        <v>2166.6666666666665</v>
      </c>
      <c r="Y77" s="507">
        <f>W77+X77*IF('Sys Admin'!W33 &lt;&gt; 0, (12 - 'Sys Admin'!W33), 12)</f>
        <v>26000</v>
      </c>
    </row>
    <row r="78" spans="2:25">
      <c r="S78" s="9" t="s">
        <v>208</v>
      </c>
      <c r="T78" s="486" t="str">
        <f>'Sys Admin'!U34</f>
        <v>Prospective</v>
      </c>
      <c r="U78" s="9" t="str">
        <f>'Sys Admin'!AA34</f>
        <v>Prospective</v>
      </c>
      <c r="V78" s="593">
        <f t="shared" si="15"/>
        <v>0</v>
      </c>
      <c r="W78" s="507">
        <f>IF(U78="Prospective",0, IF(OR('Sys Admin Calculation'!Y64&lt;&gt;0,'Sys Admin Calculation Y2'!W76&lt;&gt;0, 'Sys Admin Calculation Y3'!W78&lt;&gt;0),0,'ESPO Calculator'!$B$41))</f>
        <v>0</v>
      </c>
      <c r="X78" s="507">
        <f>IF(OR(V78=1, U78="Prospective"), 0, 'ESPO Calculator'!$D$48)</f>
        <v>0</v>
      </c>
      <c r="Y78" s="507">
        <f>W78+X78*IF('Sys Admin'!W34 &lt;&gt; 0, (12 - 'Sys Admin'!W34), 12)</f>
        <v>0</v>
      </c>
    </row>
    <row r="79" spans="2:25">
      <c r="S79" s="9" t="s">
        <v>209</v>
      </c>
      <c r="T79" s="486" t="str">
        <f>'Sys Admin'!U35</f>
        <v>Prospective</v>
      </c>
      <c r="U79" s="9" t="str">
        <f>'Sys Admin'!AA35</f>
        <v>Prospective</v>
      </c>
      <c r="V79" s="593">
        <f t="shared" si="15"/>
        <v>0</v>
      </c>
      <c r="W79" s="507">
        <f>IF(U79="Prospective",0, IF(OR('Sys Admin Calculation'!Y65&lt;&gt;0,'Sys Admin Calculation Y2'!W77&lt;&gt;0, 'Sys Admin Calculation Y3'!W79&lt;&gt;0),0,'ESPO Calculator'!$B$41))</f>
        <v>0</v>
      </c>
      <c r="X79" s="507">
        <f>IF(OR(V79=1, U79="Prospective"), 0, 'ESPO Calculator'!$D$48)</f>
        <v>0</v>
      </c>
      <c r="Y79" s="507">
        <f>W79+X79*IF('Sys Admin'!W35 &lt;&gt; 0, (12 - 'Sys Admin'!W35), 12)</f>
        <v>0</v>
      </c>
    </row>
    <row r="80" spans="2:25">
      <c r="S80" s="9" t="s">
        <v>144</v>
      </c>
      <c r="T80" s="486" t="str">
        <f>'Sys Admin'!U36</f>
        <v>Active</v>
      </c>
      <c r="U80" s="9" t="str">
        <f>'Sys Admin'!AA36</f>
        <v>Active</v>
      </c>
      <c r="V80" s="593">
        <f t="shared" si="15"/>
        <v>0</v>
      </c>
      <c r="W80" s="507">
        <f>IF(U80="Prospective",0, IF(OR('Sys Admin Calculation'!Y66&lt;&gt;0,'Sys Admin Calculation Y2'!W78&lt;&gt;0, 'Sys Admin Calculation Y3'!W80&lt;&gt;0),0,'ESPO Calculator'!$B$41))</f>
        <v>0</v>
      </c>
      <c r="X80" s="507">
        <f>IF(OR(V80=1, U80="Prospective"), 0, 'ESPO Calculator'!$D$48)</f>
        <v>2166.6666666666665</v>
      </c>
      <c r="Y80" s="507">
        <f>W80+X80*IF('Sys Admin'!W36 &lt;&gt; 0, (12 - 'Sys Admin'!W36), 12)</f>
        <v>26000</v>
      </c>
    </row>
    <row r="81" spans="7:25">
      <c r="S81" s="9" t="s">
        <v>157</v>
      </c>
      <c r="T81" s="486" t="str">
        <f>'Sys Admin'!U37</f>
        <v>Active</v>
      </c>
      <c r="U81" s="9" t="str">
        <f>'Sys Admin'!AA37</f>
        <v>Active</v>
      </c>
      <c r="V81" s="593">
        <f t="shared" si="15"/>
        <v>0</v>
      </c>
      <c r="W81" s="507">
        <f>IF(U81="Prospective",0, IF(OR('Sys Admin Calculation'!Y67&lt;&gt;0,'Sys Admin Calculation Y2'!W79&lt;&gt;0, 'Sys Admin Calculation Y3'!W81&lt;&gt;0),0,'ESPO Calculator'!$B$41))</f>
        <v>0</v>
      </c>
      <c r="X81" s="507">
        <f>IF(OR(V81=1, U81="Prospective"), 0, 'ESPO Calculator'!$D$48)</f>
        <v>2166.6666666666665</v>
      </c>
      <c r="Y81" s="507">
        <f>W81+X81*IF('Sys Admin'!W37 &lt;&gt; 0, (12 - 'Sys Admin'!W37), 12)</f>
        <v>26000</v>
      </c>
    </row>
    <row r="82" spans="7:25" ht="14.65" thickBot="1">
      <c r="S82" s="9" t="s">
        <v>210</v>
      </c>
      <c r="T82" s="486" t="str">
        <f>'Sys Admin'!U38</f>
        <v>Prospective</v>
      </c>
      <c r="U82" s="9" t="str">
        <f>'Sys Admin'!AA38</f>
        <v>Prospective</v>
      </c>
      <c r="V82" s="593">
        <f t="shared" si="15"/>
        <v>0</v>
      </c>
      <c r="W82" s="507">
        <f>IF(U82="Prospective",0, IF(OR('Sys Admin Calculation'!Y68&lt;&gt;0,'Sys Admin Calculation Y2'!W80&lt;&gt;0, 'Sys Admin Calculation Y3'!W82&lt;&gt;0),0,'ESPO Calculator'!$B$41))</f>
        <v>0</v>
      </c>
      <c r="X82" s="507">
        <f>IF(OR(V82=1, U82="Prospective"), 0, 'ESPO Calculator'!$D$48)</f>
        <v>0</v>
      </c>
      <c r="Y82" s="507">
        <f>W82+X82*IF('Sys Admin'!W38 &lt;&gt; 0, (12 - 'Sys Admin'!W38), 12)</f>
        <v>0</v>
      </c>
    </row>
    <row r="83" spans="7:25">
      <c r="G83" s="528" t="s">
        <v>332</v>
      </c>
      <c r="H83" s="529" t="s">
        <v>330</v>
      </c>
      <c r="I83" s="529" t="s">
        <v>331</v>
      </c>
      <c r="J83" s="529" t="s">
        <v>252</v>
      </c>
      <c r="K83" s="529" t="s">
        <v>335</v>
      </c>
      <c r="L83" s="529" t="s">
        <v>12</v>
      </c>
      <c r="M83" s="530" t="s">
        <v>336</v>
      </c>
      <c r="S83" s="9" t="s">
        <v>201</v>
      </c>
      <c r="T83" s="486" t="str">
        <f>'Sys Admin'!U39</f>
        <v>Prospective</v>
      </c>
      <c r="U83" s="9" t="str">
        <f>'Sys Admin'!AA39</f>
        <v>Prospective</v>
      </c>
      <c r="V83" s="593">
        <f t="shared" si="15"/>
        <v>0</v>
      </c>
      <c r="W83" s="507">
        <f>IF(U83="Prospective",0, IF(OR('Sys Admin Calculation'!Y69&lt;&gt;0,'Sys Admin Calculation Y2'!W81&lt;&gt;0, 'Sys Admin Calculation Y3'!W83&lt;&gt;0),0,'ESPO Calculator'!$B$41))</f>
        <v>0</v>
      </c>
      <c r="X83" s="507">
        <f>IF(OR(V83=1, U83="Prospective"), 0, 'ESPO Calculator'!$D$48)</f>
        <v>0</v>
      </c>
      <c r="Y83" s="507">
        <f>W83+X83*IF('Sys Admin'!W39 &lt;&gt; 0, (12 - 'Sys Admin'!W39), 12)</f>
        <v>0</v>
      </c>
    </row>
    <row r="84" spans="7:25">
      <c r="G84" s="531" t="s">
        <v>83</v>
      </c>
      <c r="H84" s="532" t="s">
        <v>83</v>
      </c>
      <c r="I84" s="532"/>
      <c r="J84" s="533">
        <v>0</v>
      </c>
      <c r="K84" s="533">
        <v>0</v>
      </c>
      <c r="L84" s="533">
        <f>L49</f>
        <v>1</v>
      </c>
      <c r="M84" s="534">
        <f>L56</f>
        <v>1</v>
      </c>
      <c r="S84" s="9" t="s">
        <v>202</v>
      </c>
      <c r="T84" s="486" t="str">
        <f>'Sys Admin'!U40</f>
        <v>Prospective</v>
      </c>
      <c r="U84" s="9" t="str">
        <f>'Sys Admin'!AA40</f>
        <v>Prospective</v>
      </c>
      <c r="V84" s="593">
        <f t="shared" si="15"/>
        <v>0</v>
      </c>
      <c r="W84" s="507">
        <f>IF(U84="Prospective",0, IF(OR('Sys Admin Calculation'!Y70&lt;&gt;0,'Sys Admin Calculation Y2'!W82&lt;&gt;0, 'Sys Admin Calculation Y3'!W84&lt;&gt;0),0,'ESPO Calculator'!$B$41))</f>
        <v>0</v>
      </c>
      <c r="X84" s="507">
        <f>IF(OR(V84=1, U84="Prospective"), 0, 'ESPO Calculator'!$D$48)</f>
        <v>0</v>
      </c>
      <c r="Y84" s="507">
        <f>W84+X84*IF('Sys Admin'!W40 &lt;&gt; 0, (12 - 'Sys Admin'!W40), 12)</f>
        <v>0</v>
      </c>
    </row>
    <row r="85" spans="7:25">
      <c r="G85" s="531" t="s">
        <v>30</v>
      </c>
      <c r="H85" s="532" t="s">
        <v>30</v>
      </c>
      <c r="I85" s="532"/>
      <c r="J85" s="533">
        <v>0</v>
      </c>
      <c r="K85" s="533">
        <v>0</v>
      </c>
      <c r="L85" s="533">
        <f>L50</f>
        <v>1</v>
      </c>
      <c r="M85" s="534">
        <f>L57</f>
        <v>1</v>
      </c>
      <c r="S85" s="600" t="str">
        <f>A22</f>
        <v>New Project 1</v>
      </c>
      <c r="T85" s="600" t="str">
        <f>'Sys Admin'!U43</f>
        <v>Prospective</v>
      </c>
      <c r="U85" s="600" t="str">
        <f>'Sys Admin'!AA43</f>
        <v>Prospective</v>
      </c>
      <c r="V85" s="601">
        <f t="shared" si="15"/>
        <v>0</v>
      </c>
      <c r="W85" s="602">
        <f>IF(U85="Prospective",0, IF(OR('Sys Admin Calculation'!Y71&lt;&gt;0,'Sys Admin Calculation Y2'!W83&lt;&gt;0, 'Sys Admin Calculation Y3'!W85&lt;&gt;0),0,'ESPO Calculator'!$B$41))</f>
        <v>0</v>
      </c>
      <c r="X85" s="602">
        <f>IF(OR(V85=1, U85="Prospective"), 0, 'ESPO Calculator'!$D$48)</f>
        <v>0</v>
      </c>
      <c r="Y85" s="602">
        <f>W85+X85*IF('Sys Admin'!W43 &lt;&gt; 0, (12 - 'Sys Admin'!W43), 12)</f>
        <v>0</v>
      </c>
    </row>
    <row r="86" spans="7:25">
      <c r="G86" s="531" t="s">
        <v>628</v>
      </c>
      <c r="H86" s="532" t="s">
        <v>8</v>
      </c>
      <c r="I86" s="532" t="s">
        <v>31</v>
      </c>
      <c r="J86" s="533">
        <v>3038.1507272812009</v>
      </c>
      <c r="K86" s="533">
        <v>555.1686575581781</v>
      </c>
      <c r="L86" s="533">
        <f>L51</f>
        <v>7053.7954799999989</v>
      </c>
      <c r="M86" s="534">
        <f>L58</f>
        <v>1514.592688</v>
      </c>
      <c r="S86" s="600" t="str">
        <f t="shared" ref="S86:S99" si="16">A23</f>
        <v>New Project 2</v>
      </c>
      <c r="T86" s="600" t="str">
        <f>'Sys Admin'!U44</f>
        <v>Prospective</v>
      </c>
      <c r="U86" s="600" t="str">
        <f>'Sys Admin'!AA44</f>
        <v>Prospective</v>
      </c>
      <c r="V86" s="601">
        <f t="shared" si="15"/>
        <v>0</v>
      </c>
      <c r="W86" s="602">
        <f>IF(U86="Prospective",0, IF(OR('Sys Admin Calculation'!Y72&lt;&gt;0,'Sys Admin Calculation Y2'!W84&lt;&gt;0, 'Sys Admin Calculation Y3'!W86&lt;&gt;0),0,'ESPO Calculator'!$B$41))</f>
        <v>0</v>
      </c>
      <c r="X86" s="602">
        <f>IF(OR(V86=1, U86="Prospective"), 0, 'ESPO Calculator'!$D$48)</f>
        <v>0</v>
      </c>
      <c r="Y86" s="602">
        <f>W86+X86*IF('Sys Admin'!W44 &lt;&gt; 0, (12 - 'Sys Admin'!W44), 12)</f>
        <v>0</v>
      </c>
    </row>
    <row r="87" spans="7:25">
      <c r="G87" s="531" t="s">
        <v>629</v>
      </c>
      <c r="H87" s="532" t="s">
        <v>8</v>
      </c>
      <c r="I87" s="532" t="s">
        <v>32</v>
      </c>
      <c r="J87" s="533">
        <v>1323.3980250723589</v>
      </c>
      <c r="K87" s="533">
        <v>388.61806029072471</v>
      </c>
      <c r="L87" s="533">
        <f>L51</f>
        <v>7053.7954799999989</v>
      </c>
      <c r="M87" s="534">
        <f>L58</f>
        <v>1514.592688</v>
      </c>
      <c r="S87" s="600" t="str">
        <f t="shared" si="16"/>
        <v>New Project 3</v>
      </c>
      <c r="T87" s="600" t="str">
        <f>'Sys Admin'!U45</f>
        <v>Prospective</v>
      </c>
      <c r="U87" s="600" t="str">
        <f>'Sys Admin'!AA45</f>
        <v>Prospective</v>
      </c>
      <c r="V87" s="601">
        <f t="shared" si="15"/>
        <v>0</v>
      </c>
      <c r="W87" s="602">
        <f>IF(U87="Prospective",0, IF(OR('Sys Admin Calculation'!Y73&lt;&gt;0,'Sys Admin Calculation Y2'!W85&lt;&gt;0, 'Sys Admin Calculation Y3'!W87&lt;&gt;0),0,'ESPO Calculator'!$B$41))</f>
        <v>0</v>
      </c>
      <c r="X87" s="602">
        <f>IF(OR(V87=1, U87="Prospective"), 0, 'ESPO Calculator'!$D$48)</f>
        <v>0</v>
      </c>
      <c r="Y87" s="602">
        <f>W87+X87*IF('Sys Admin'!W45 &lt;&gt; 0, (12 - 'Sys Admin'!W45), 12)</f>
        <v>0</v>
      </c>
    </row>
    <row r="88" spans="7:25">
      <c r="G88" s="531" t="s">
        <v>630</v>
      </c>
      <c r="H88" s="532" t="s">
        <v>8</v>
      </c>
      <c r="I88" s="532" t="s">
        <v>33</v>
      </c>
      <c r="J88" s="533">
        <v>708.63974808201408</v>
      </c>
      <c r="K88" s="533">
        <v>204.02448165263047</v>
      </c>
      <c r="L88" s="533">
        <f>L51</f>
        <v>7053.7954799999989</v>
      </c>
      <c r="M88" s="534">
        <f>L58</f>
        <v>1514.592688</v>
      </c>
      <c r="S88" s="600" t="str">
        <f t="shared" si="16"/>
        <v>New Project 4</v>
      </c>
      <c r="T88" s="600" t="str">
        <f>'Sys Admin'!U46</f>
        <v>Prospective</v>
      </c>
      <c r="U88" s="600" t="str">
        <f>'Sys Admin'!AA46</f>
        <v>Prospective</v>
      </c>
      <c r="V88" s="601">
        <f t="shared" si="15"/>
        <v>0</v>
      </c>
      <c r="W88" s="602">
        <f>IF(U88="Prospective",0, IF(OR('Sys Admin Calculation'!Y74&lt;&gt;0,'Sys Admin Calculation Y2'!W86&lt;&gt;0, 'Sys Admin Calculation Y3'!W88&lt;&gt;0),0,'ESPO Calculator'!$B$41))</f>
        <v>0</v>
      </c>
      <c r="X88" s="602">
        <f>IF(OR(V88=1, U88="Prospective"), 0, 'ESPO Calculator'!$D$48)</f>
        <v>0</v>
      </c>
      <c r="Y88" s="602">
        <f>W88+X88*IF('Sys Admin'!W46 &lt;&gt; 0, (12 - 'Sys Admin'!W46), 12)</f>
        <v>0</v>
      </c>
    </row>
    <row r="89" spans="7:25" ht="14.65" thickBot="1">
      <c r="G89" s="535" t="s">
        <v>84</v>
      </c>
      <c r="H89" s="536"/>
      <c r="I89" s="536"/>
      <c r="J89" s="537">
        <v>0</v>
      </c>
      <c r="K89" s="537">
        <v>0</v>
      </c>
      <c r="L89" s="595">
        <f>L52</f>
        <v>1</v>
      </c>
      <c r="M89" s="596">
        <f>L59</f>
        <v>1</v>
      </c>
      <c r="S89" s="600" t="str">
        <f t="shared" si="16"/>
        <v>New Project 5</v>
      </c>
      <c r="T89" s="600" t="str">
        <f>'Sys Admin'!U47</f>
        <v>Prospective</v>
      </c>
      <c r="U89" s="600" t="str">
        <f>'Sys Admin'!AA47</f>
        <v>Prospective</v>
      </c>
      <c r="V89" s="601">
        <f t="shared" si="15"/>
        <v>0</v>
      </c>
      <c r="W89" s="602">
        <f>IF(U89="Prospective",0, IF(OR('Sys Admin Calculation'!Y75&lt;&gt;0,'Sys Admin Calculation Y2'!W87&lt;&gt;0, 'Sys Admin Calculation Y3'!W89&lt;&gt;0),0,'ESPO Calculator'!$B$41))</f>
        <v>0</v>
      </c>
      <c r="X89" s="602">
        <f>IF(OR(V89=1, U89="Prospective"), 0, 'ESPO Calculator'!$D$48)</f>
        <v>0</v>
      </c>
      <c r="Y89" s="602">
        <f>W89+X89*IF('Sys Admin'!W47 &lt;&gt; 0, (12 - 'Sys Admin'!W47), 12)</f>
        <v>0</v>
      </c>
    </row>
    <row r="90" spans="7:25">
      <c r="S90" s="600" t="str">
        <f t="shared" si="16"/>
        <v>New Project 6</v>
      </c>
      <c r="T90" s="600" t="str">
        <f>'Sys Admin'!U48</f>
        <v>Prospective</v>
      </c>
      <c r="U90" s="600" t="str">
        <f>'Sys Admin'!AA48</f>
        <v>Prospective</v>
      </c>
      <c r="V90" s="601">
        <f t="shared" si="15"/>
        <v>0</v>
      </c>
      <c r="W90" s="602">
        <f>IF(U90="Prospective",0, IF(OR('Sys Admin Calculation'!Y76&lt;&gt;0,'Sys Admin Calculation Y2'!W88&lt;&gt;0, 'Sys Admin Calculation Y3'!W90&lt;&gt;0),0,'ESPO Calculator'!$B$41))</f>
        <v>0</v>
      </c>
      <c r="X90" s="602">
        <f>IF(OR(V90=1, U90="Prospective"), 0, 'ESPO Calculator'!$D$48)</f>
        <v>0</v>
      </c>
      <c r="Y90" s="602">
        <f>W90+X90*IF('Sys Admin'!W48 &lt;&gt; 0, (12 - 'Sys Admin'!W48), 12)</f>
        <v>0</v>
      </c>
    </row>
    <row r="91" spans="7:25">
      <c r="S91" s="600" t="str">
        <f t="shared" si="16"/>
        <v>New Project 7</v>
      </c>
      <c r="T91" s="600" t="str">
        <f>'Sys Admin'!U49</f>
        <v>Prospective</v>
      </c>
      <c r="U91" s="600" t="str">
        <f>'Sys Admin'!AA49</f>
        <v>Prospective</v>
      </c>
      <c r="V91" s="601">
        <f t="shared" si="15"/>
        <v>0</v>
      </c>
      <c r="W91" s="602">
        <f>IF(U91="Prospective",0, IF(OR('Sys Admin Calculation'!Y77&lt;&gt;0,'Sys Admin Calculation Y2'!W89&lt;&gt;0, 'Sys Admin Calculation Y3'!W91&lt;&gt;0),0,'ESPO Calculator'!$B$41))</f>
        <v>0</v>
      </c>
      <c r="X91" s="602">
        <f>IF(OR(V91=1, U91="Prospective"), 0, 'ESPO Calculator'!$D$48)</f>
        <v>0</v>
      </c>
      <c r="Y91" s="602">
        <f>W91+X91*IF('Sys Admin'!W49 &lt;&gt; 0, (12 - 'Sys Admin'!W49), 12)</f>
        <v>0</v>
      </c>
    </row>
    <row r="92" spans="7:25">
      <c r="S92" s="600" t="str">
        <f t="shared" si="16"/>
        <v>New Project 8</v>
      </c>
      <c r="T92" s="600" t="str">
        <f>'Sys Admin'!U50</f>
        <v>Prospective</v>
      </c>
      <c r="U92" s="600" t="str">
        <f>'Sys Admin'!AA50</f>
        <v>Prospective</v>
      </c>
      <c r="V92" s="601">
        <f t="shared" si="15"/>
        <v>0</v>
      </c>
      <c r="W92" s="602">
        <f>IF(U92="Prospective",0, IF(OR('Sys Admin Calculation'!Y78&lt;&gt;0,'Sys Admin Calculation Y2'!W90&lt;&gt;0, 'Sys Admin Calculation Y3'!W92&lt;&gt;0),0,'ESPO Calculator'!$B$41))</f>
        <v>0</v>
      </c>
      <c r="X92" s="602">
        <f>IF(OR(V92=1, U92="Prospective"), 0, 'ESPO Calculator'!$D$48)</f>
        <v>0</v>
      </c>
      <c r="Y92" s="602">
        <f>W92+X92*IF('Sys Admin'!W50 &lt;&gt; 0, (12 - 'Sys Admin'!W50), 12)</f>
        <v>0</v>
      </c>
    </row>
    <row r="93" spans="7:25">
      <c r="S93" s="600" t="str">
        <f t="shared" si="16"/>
        <v>New Project 9</v>
      </c>
      <c r="T93" s="600" t="str">
        <f>'Sys Admin'!U51</f>
        <v>Prospective</v>
      </c>
      <c r="U93" s="600" t="str">
        <f>'Sys Admin'!AA51</f>
        <v>Prospective</v>
      </c>
      <c r="V93" s="601">
        <f t="shared" si="15"/>
        <v>0</v>
      </c>
      <c r="W93" s="602">
        <f>IF(U93="Prospective",0, IF(OR('Sys Admin Calculation'!Y79&lt;&gt;0,'Sys Admin Calculation Y2'!W91&lt;&gt;0, 'Sys Admin Calculation Y3'!W93&lt;&gt;0),0,'ESPO Calculator'!$B$41))</f>
        <v>0</v>
      </c>
      <c r="X93" s="602">
        <f>IF(OR(V93=1, U93="Prospective"), 0, 'ESPO Calculator'!$D$48)</f>
        <v>0</v>
      </c>
      <c r="Y93" s="602">
        <f>W93+X93*IF('Sys Admin'!W51 &lt;&gt; 0, (12 - 'Sys Admin'!W51), 12)</f>
        <v>0</v>
      </c>
    </row>
    <row r="94" spans="7:25">
      <c r="S94" s="600" t="str">
        <f t="shared" si="16"/>
        <v>New Project 10</v>
      </c>
      <c r="T94" s="600" t="str">
        <f>'Sys Admin'!U52</f>
        <v>Prospective</v>
      </c>
      <c r="U94" s="600" t="str">
        <f>'Sys Admin'!AA52</f>
        <v>Prospective</v>
      </c>
      <c r="V94" s="601">
        <f t="shared" si="15"/>
        <v>0</v>
      </c>
      <c r="W94" s="602">
        <f>IF(U94="Prospective",0, IF(OR('Sys Admin Calculation'!Y80&lt;&gt;0,'Sys Admin Calculation Y2'!W92&lt;&gt;0, 'Sys Admin Calculation Y3'!W94&lt;&gt;0),0,'ESPO Calculator'!$B$41))</f>
        <v>0</v>
      </c>
      <c r="X94" s="602">
        <f>IF(OR(V94=1, U94="Prospective"), 0, 'ESPO Calculator'!$D$48)</f>
        <v>0</v>
      </c>
      <c r="Y94" s="602">
        <f>W94+X94*IF('Sys Admin'!W52 &lt;&gt; 0, (12 - 'Sys Admin'!W52), 12)</f>
        <v>0</v>
      </c>
    </row>
    <row r="95" spans="7:25">
      <c r="S95" s="600" t="str">
        <f t="shared" si="16"/>
        <v>New Project 11</v>
      </c>
      <c r="T95" s="600" t="str">
        <f>'Sys Admin'!U53</f>
        <v>Prospective</v>
      </c>
      <c r="U95" s="600" t="str">
        <f>'Sys Admin'!AA53</f>
        <v>Prospective</v>
      </c>
      <c r="V95" s="601">
        <f t="shared" si="15"/>
        <v>0</v>
      </c>
      <c r="W95" s="602">
        <f>IF(U95="Prospective",0, IF(OR('Sys Admin Calculation'!Y81&lt;&gt;0,'Sys Admin Calculation Y2'!W93&lt;&gt;0, 'Sys Admin Calculation Y3'!W95&lt;&gt;0),0,'ESPO Calculator'!$B$41))</f>
        <v>0</v>
      </c>
      <c r="X95" s="602">
        <f>IF(OR(V95=1, U95="Prospective"), 0, 'ESPO Calculator'!$D$48)</f>
        <v>0</v>
      </c>
      <c r="Y95" s="602">
        <f>W95+X95*IF('Sys Admin'!W53 &lt;&gt; 0, (12 - 'Sys Admin'!W53), 12)</f>
        <v>0</v>
      </c>
    </row>
    <row r="96" spans="7:25">
      <c r="S96" s="600" t="str">
        <f t="shared" si="16"/>
        <v>New Project 12</v>
      </c>
      <c r="T96" s="600" t="str">
        <f>'Sys Admin'!U54</f>
        <v>Prospective</v>
      </c>
      <c r="U96" s="600" t="str">
        <f>'Sys Admin'!AA54</f>
        <v>Prospective</v>
      </c>
      <c r="V96" s="601">
        <f t="shared" si="15"/>
        <v>0</v>
      </c>
      <c r="W96" s="602">
        <f>IF(U96="Prospective",0, IF(OR('Sys Admin Calculation'!Y82&lt;&gt;0,'Sys Admin Calculation Y2'!W94&lt;&gt;0, 'Sys Admin Calculation Y3'!W96&lt;&gt;0),0,'ESPO Calculator'!$B$41))</f>
        <v>0</v>
      </c>
      <c r="X96" s="602">
        <f>IF(OR(V96=1, U96="Prospective"), 0, 'ESPO Calculator'!$D$48)</f>
        <v>0</v>
      </c>
      <c r="Y96" s="602">
        <f>W96+X96*IF('Sys Admin'!W54 &lt;&gt; 0, (12 - 'Sys Admin'!W54), 12)</f>
        <v>0</v>
      </c>
    </row>
    <row r="97" spans="19:25">
      <c r="S97" s="600" t="str">
        <f t="shared" si="16"/>
        <v>New Project 13</v>
      </c>
      <c r="T97" s="600" t="str">
        <f>'Sys Admin'!U55</f>
        <v>Prospective</v>
      </c>
      <c r="U97" s="600" t="str">
        <f>'Sys Admin'!AA55</f>
        <v>Prospective</v>
      </c>
      <c r="V97" s="601">
        <f t="shared" si="15"/>
        <v>0</v>
      </c>
      <c r="W97" s="602">
        <f>IF(U97="Prospective",0, IF(OR('Sys Admin Calculation'!Y83&lt;&gt;0,'Sys Admin Calculation Y2'!W95&lt;&gt;0, 'Sys Admin Calculation Y3'!W97&lt;&gt;0),0,'ESPO Calculator'!$B$41))</f>
        <v>0</v>
      </c>
      <c r="X97" s="602">
        <f>IF(OR(V97=1, U97="Prospective"), 0, 'ESPO Calculator'!$D$48)</f>
        <v>0</v>
      </c>
      <c r="Y97" s="602">
        <f>W97+X97*IF('Sys Admin'!W55 &lt;&gt; 0, (12 - 'Sys Admin'!W55), 12)</f>
        <v>0</v>
      </c>
    </row>
    <row r="98" spans="19:25">
      <c r="S98" s="600" t="str">
        <f>A35</f>
        <v>New Project 14</v>
      </c>
      <c r="T98" s="600" t="str">
        <f>'Sys Admin'!U56</f>
        <v>Prospective</v>
      </c>
      <c r="U98" s="600" t="str">
        <f>'Sys Admin'!AA56</f>
        <v>Prospective</v>
      </c>
      <c r="V98" s="601">
        <f t="shared" si="15"/>
        <v>0</v>
      </c>
      <c r="W98" s="602">
        <f>IF(U98="Prospective",0, IF(OR('Sys Admin Calculation'!Y84&lt;&gt;0,'Sys Admin Calculation Y2'!W96&lt;&gt;0, 'Sys Admin Calculation Y3'!W98&lt;&gt;0),0,'ESPO Calculator'!$B$41))</f>
        <v>0</v>
      </c>
      <c r="X98" s="602">
        <f>IF(OR(V98=1, U98="Prospective"), 0, 'ESPO Calculator'!$D$48)</f>
        <v>0</v>
      </c>
      <c r="Y98" s="602">
        <f>W98+X98*IF('Sys Admin'!W56 &lt;&gt; 0, (12 - 'Sys Admin'!W56), 12)</f>
        <v>0</v>
      </c>
    </row>
    <row r="99" spans="19:25">
      <c r="S99" s="600" t="str">
        <f t="shared" si="16"/>
        <v>New Project 15</v>
      </c>
      <c r="T99" s="600" t="str">
        <f>'Sys Admin'!U57</f>
        <v>Prospective</v>
      </c>
      <c r="U99" s="600" t="str">
        <f>'Sys Admin'!AA57</f>
        <v>Prospective</v>
      </c>
      <c r="V99" s="601">
        <f t="shared" si="15"/>
        <v>0</v>
      </c>
      <c r="W99" s="602">
        <f>IF(U99="Prospective",0, IF(OR('Sys Admin Calculation'!Y85&lt;&gt;0,'Sys Admin Calculation Y2'!W97&lt;&gt;0, 'Sys Admin Calculation Y3'!W99&lt;&gt;0),0,'ESPO Calculator'!$B$41))</f>
        <v>0</v>
      </c>
      <c r="X99" s="602">
        <f>IF(OR(V99=1, U99="Prospective"), 0, 'ESPO Calculator'!$D$48)</f>
        <v>0</v>
      </c>
      <c r="Y99" s="602">
        <f>W99+X99*IF('Sys Admin'!W57 &lt;&gt; 0, (12 - 'Sys Admin'!W57), 12)</f>
        <v>0</v>
      </c>
    </row>
    <row r="100" spans="19:25">
      <c r="Y100" s="145">
        <f>SUM(Y68:Y99)</f>
        <v>260000</v>
      </c>
    </row>
  </sheetData>
  <sheetProtection algorithmName="SHA-512" hashValue="/Vj+IB2Cfa6rzUvypZdmouvPjyvjUsM/tESm6k+Yny6YWMFQ10FRu0UKC7UCS3a91kYjSfN+sRn9AtBgEPSupg==" saltValue="WTYHtrk+XbExnhXtJraTPw==" spinCount="100000" sheet="1" objects="1" scenarios="1" selectLockedCells="1" selectUnlockedCells="1"/>
  <mergeCells count="5">
    <mergeCell ref="Z2:AD2"/>
    <mergeCell ref="A3:D3"/>
    <mergeCell ref="E3:I3"/>
    <mergeCell ref="J3:N3"/>
    <mergeCell ref="E38:I38"/>
  </mergeCells>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E100"/>
  <sheetViews>
    <sheetView topLeftCell="A22" zoomScale="70" zoomScaleNormal="70" workbookViewId="0">
      <selection activeCell="F50" sqref="F50"/>
    </sheetView>
  </sheetViews>
  <sheetFormatPr defaultRowHeight="14.25"/>
  <cols>
    <col min="1" max="1" width="25.73046875" bestFit="1" customWidth="1"/>
    <col min="2" max="2" width="18.86328125" bestFit="1" customWidth="1"/>
    <col min="3" max="3" width="18.86328125" customWidth="1"/>
    <col min="4" max="4" width="18.3984375" bestFit="1" customWidth="1"/>
    <col min="5" max="5" width="16.265625" bestFit="1" customWidth="1"/>
    <col min="6" max="6" width="16.86328125" bestFit="1" customWidth="1"/>
    <col min="7" max="7" width="12.86328125" bestFit="1" customWidth="1"/>
    <col min="8" max="8" width="15.1328125" bestFit="1" customWidth="1"/>
    <col min="9" max="9" width="16.73046875" bestFit="1" customWidth="1"/>
    <col min="10" max="10" width="16.265625" bestFit="1" customWidth="1"/>
    <col min="11" max="11" width="16.86328125" bestFit="1" customWidth="1"/>
    <col min="12" max="12" width="12.86328125" bestFit="1" customWidth="1"/>
    <col min="13" max="13" width="12.1328125" bestFit="1" customWidth="1"/>
    <col min="14" max="14" width="29.73046875" customWidth="1"/>
    <col min="15" max="15" width="18.73046875" bestFit="1" customWidth="1"/>
    <col min="16" max="16" width="15.73046875" customWidth="1"/>
    <col min="17" max="17" width="26.86328125" bestFit="1" customWidth="1"/>
    <col min="18" max="18" width="23.265625" customWidth="1"/>
    <col min="19" max="19" width="14.265625" customWidth="1"/>
    <col min="20" max="22" width="24.1328125" customWidth="1"/>
    <col min="23" max="23" width="26.1328125" customWidth="1"/>
    <col min="24" max="25" width="24.1328125" customWidth="1"/>
    <col min="26" max="26" width="23.73046875" customWidth="1"/>
    <col min="27" max="27" width="18.86328125" customWidth="1"/>
    <col min="28" max="29" width="21.1328125" customWidth="1"/>
    <col min="30" max="30" width="22.265625" customWidth="1"/>
    <col min="31" max="31" width="16.86328125" customWidth="1"/>
  </cols>
  <sheetData>
    <row r="1" spans="1:31">
      <c r="A1" t="s">
        <v>16</v>
      </c>
    </row>
    <row r="2" spans="1:31" ht="14.65" thickBot="1">
      <c r="T2" s="526"/>
      <c r="U2" s="526"/>
      <c r="V2" s="526"/>
      <c r="W2" s="526"/>
      <c r="X2" s="526"/>
      <c r="Y2" s="526"/>
      <c r="Z2" s="824" t="s">
        <v>322</v>
      </c>
      <c r="AA2" s="824"/>
      <c r="AB2" s="824"/>
      <c r="AC2" s="824"/>
      <c r="AD2" s="824"/>
    </row>
    <row r="3" spans="1:31" ht="14.65" thickBot="1">
      <c r="A3" s="825" t="str">
        <f>Inputs!A12</f>
        <v>Project Tables (Update Monthly from Dashboard)</v>
      </c>
      <c r="B3" s="826"/>
      <c r="C3" s="826"/>
      <c r="D3" s="827"/>
      <c r="E3" s="828" t="str">
        <f>Inputs!D12</f>
        <v>Previous Month</v>
      </c>
      <c r="F3" s="829"/>
      <c r="G3" s="829"/>
      <c r="H3" s="830"/>
      <c r="I3" s="831"/>
      <c r="J3" s="832" t="str">
        <f>Inputs!I12</f>
        <v>3-Month Rolling Average</v>
      </c>
      <c r="K3" s="829"/>
      <c r="L3" s="829"/>
      <c r="M3" s="829"/>
      <c r="N3" s="830"/>
      <c r="O3" s="583" t="str">
        <f>Inputs!N12</f>
        <v>Project Cost to Date</v>
      </c>
      <c r="P3" s="583" t="str">
        <f>Inputs!O12</f>
        <v>Number of current analysts</v>
      </c>
      <c r="Q3" s="583" t="str">
        <f>Inputs!P12</f>
        <v>Current Level of Enablement</v>
      </c>
      <c r="R3" s="583" t="str">
        <f>Inputs!Q12</f>
        <v>MoM Growth Rate in Costs</v>
      </c>
      <c r="S3" s="583" t="str">
        <f>Inputs!R12</f>
        <v xml:space="preserve">Annual Cost </v>
      </c>
      <c r="T3" t="s">
        <v>317</v>
      </c>
      <c r="U3" t="s">
        <v>327</v>
      </c>
      <c r="V3" t="s">
        <v>310</v>
      </c>
      <c r="W3" t="s">
        <v>329</v>
      </c>
      <c r="X3" t="s">
        <v>17</v>
      </c>
      <c r="Y3" t="s">
        <v>333</v>
      </c>
      <c r="Z3" t="s">
        <v>318</v>
      </c>
      <c r="AA3" t="s">
        <v>320</v>
      </c>
      <c r="AB3" t="s">
        <v>319</v>
      </c>
      <c r="AC3" t="s">
        <v>609</v>
      </c>
      <c r="AD3" t="s">
        <v>321</v>
      </c>
      <c r="AE3" t="s">
        <v>40</v>
      </c>
    </row>
    <row r="4" spans="1:31">
      <c r="A4" s="44" t="str">
        <f>Inputs!A13</f>
        <v>Project List</v>
      </c>
      <c r="B4" s="44" t="str">
        <f>Inputs!B13</f>
        <v>Remaining Duration</v>
      </c>
      <c r="C4" s="44" t="s">
        <v>328</v>
      </c>
      <c r="D4" s="44" t="str">
        <f>Inputs!C13</f>
        <v>Current Phase</v>
      </c>
      <c r="E4" s="44" t="str">
        <f>Inputs!D13</f>
        <v>Enablement Cost</v>
      </c>
      <c r="F4" s="44" t="str">
        <f>Inputs!E13</f>
        <v>Data Related Cost</v>
      </c>
      <c r="G4" s="44" t="str">
        <f>Inputs!F13</f>
        <v>Analysts Cost</v>
      </c>
      <c r="H4" s="44" t="str">
        <f>Inputs!G13</f>
        <v>Overhead Costs</v>
      </c>
      <c r="I4" s="44" t="str">
        <f>Inputs!H13</f>
        <v>Platform Services</v>
      </c>
      <c r="J4" s="44" t="str">
        <f>Inputs!I13</f>
        <v>Enablement Cost</v>
      </c>
      <c r="K4" s="44" t="str">
        <f>Inputs!J13</f>
        <v>Data Related Cost</v>
      </c>
      <c r="L4" s="44" t="str">
        <f>Inputs!K13</f>
        <v>Analysts Cost</v>
      </c>
      <c r="M4" s="44" t="str">
        <f>Inputs!L13</f>
        <v>Overhead</v>
      </c>
      <c r="N4" s="44" t="str">
        <f>Inputs!M13</f>
        <v>Plaftorm Services</v>
      </c>
      <c r="O4" s="44"/>
      <c r="P4" s="44"/>
      <c r="Q4" s="44"/>
      <c r="R4" s="44"/>
      <c r="S4" s="44"/>
      <c r="T4" s="584"/>
      <c r="U4" s="584"/>
      <c r="V4" s="584"/>
      <c r="W4" s="584"/>
      <c r="X4" s="584"/>
      <c r="Y4" s="584"/>
      <c r="Z4" s="584"/>
      <c r="AA4" s="584"/>
      <c r="AB4" s="584"/>
      <c r="AC4" s="584"/>
      <c r="AD4" s="584"/>
      <c r="AE4" s="585"/>
    </row>
    <row r="5" spans="1:31">
      <c r="A5" s="15" t="str">
        <f>Inputs!A14</f>
        <v>CVP-NYC</v>
      </c>
      <c r="B5" s="15">
        <f>Inputs!B14</f>
        <v>12</v>
      </c>
      <c r="C5" s="15" t="s">
        <v>31</v>
      </c>
      <c r="D5" s="15" t="s">
        <v>83</v>
      </c>
      <c r="E5" s="136">
        <f>'Sys Admin Calculation Y4'!E5</f>
        <v>0</v>
      </c>
      <c r="F5" s="136">
        <f>'Sys Admin Calculation Y4'!F5*(1+('Sys Admin'!$AG$21/100))</f>
        <v>0</v>
      </c>
      <c r="G5" s="136">
        <f>'Sys Admin Calculation Y4'!G5*(1+('Sys Admin'!$AG$21/100))</f>
        <v>0</v>
      </c>
      <c r="H5" s="136">
        <f>'Sys Admin Calculation Y4'!H5</f>
        <v>1348.2025000000001</v>
      </c>
      <c r="I5" s="136">
        <f>'Sys Admin Calculation Y4'!I5</f>
        <v>169.03936250000001</v>
      </c>
      <c r="J5" s="136">
        <f>Inputs!I14</f>
        <v>0</v>
      </c>
      <c r="K5" s="136">
        <f>Inputs!J14</f>
        <v>0</v>
      </c>
      <c r="L5" s="136">
        <f>Inputs!K14</f>
        <v>0</v>
      </c>
      <c r="M5" s="136">
        <f>Inputs!L14</f>
        <v>1348.2025000000001</v>
      </c>
      <c r="N5" s="136">
        <f>Inputs!M14</f>
        <v>169.03936250000001</v>
      </c>
      <c r="O5" s="136">
        <f>Inputs!N14</f>
        <v>20000</v>
      </c>
      <c r="P5" s="136">
        <f>Inputs!O14</f>
        <v>5</v>
      </c>
      <c r="Q5" s="136" t="str">
        <f>Inputs!P14</f>
        <v>None</v>
      </c>
      <c r="R5" s="136">
        <f>Inputs!Q14</f>
        <v>0</v>
      </c>
      <c r="S5" s="136">
        <f>Inputs!R14</f>
        <v>18206.90235</v>
      </c>
      <c r="T5" s="563" t="str">
        <f>'Sys Admin'!AE24</f>
        <v>None</v>
      </c>
      <c r="U5" s="563" t="str">
        <f>'Sys Admin'!AG24</f>
        <v>Active</v>
      </c>
      <c r="V5" s="563">
        <f>'Sys Admin'!AI24</f>
        <v>0</v>
      </c>
      <c r="W5" s="576">
        <f>IF(AND(V68=1, 'Sys Admin Calculation'!X54=0, 'Sys Admin Calculation Y2'!V66=0, 'Sys Admin Calculation Y3'!V68=0, 'Sys Admin Calculation Y4'!V68=0), VLOOKUP(U5&amp;T5,$N$48:$Q$65,4,FALSE), VLOOKUP(U5&amp;T5,$N$66:$Q$70,4,FALSE))</f>
        <v>0</v>
      </c>
      <c r="X5" s="563">
        <f>IF(U5="Prospective",0,IF(U5="Onboarding",2,IF(U5="Planning/Discovery",2,(12-V5))))</f>
        <v>12</v>
      </c>
      <c r="Y5" s="563">
        <f>IF(AND(V68=1,'Sys Admin Calculation'!X54=0, 'Sys Admin Calculation Y2'!V66=0, 'Sys Admin Calculation Y3'!V68=0, 'Sys Admin Calculation Y4'!V68=0),  VLOOKUP(T5,$P$71:$Q$74,2,FALSE), IF(AND(V86=1, OR('Sys Admin Calculation'!X72=1, 'Sys Admin Calculation Y2'!V84=1, 'Sys Admin Calculation Y3'!V86=1, 'Sys Admin Calculation Y4'!V68=1)), 0,IF(U5&lt;&gt;"Active", 0, W5*X5)))</f>
        <v>0</v>
      </c>
      <c r="Z5" s="50">
        <f>(IF(U5=D5,F5,IF(U5="Prospective",0,IF(U5="Planning/Discovery",0,IF(U5="Onboarding",0,IF(U5="Export/Retirement",0,VLOOKUP(U5&amp;C5,$V$46:$X$48,3,FALSE)))))))*(12-V5)</f>
        <v>24676.080000000002</v>
      </c>
      <c r="AA5" s="50">
        <f>(IF(U5=D5,F5,IF(U5="Prospective",0,IF(U5="Planning/Discovery",0,IF(U5="Onboarding",0,IF(U5="Export/Retirement",0,VLOOKUP(U5&amp;C5,$V$46:$Y$48,4,FALSE)))))))*(12-V5)</f>
        <v>4509.12</v>
      </c>
      <c r="AB5" s="50">
        <f t="shared" ref="AB5:AB21" si="0">IF(U5="Planning/Discovery",$L$49*2,IF(U5="Onboarding",$L$50*2,IF(U5="Active",$L$51*(12-V5),IF(U5="Export/Retirement",$L$52*1, 0))))</f>
        <v>86975.239679999999</v>
      </c>
      <c r="AC5" s="490">
        <f>Y68</f>
        <v>26000</v>
      </c>
      <c r="AD5" s="50">
        <f t="shared" ref="AD5:AD21" si="1">IF(U5="Planning/Discovery",$L$56*2,IF(U5="Onboarding",$L$57*2,IF(U5="Active",$L$58*(12-V5),IF(U5="Export/Retirement",$L$59*2, 0))))</f>
        <v>19473.334560000003</v>
      </c>
      <c r="AE5" s="564">
        <f>SUM(Y5,Z5,AA5,AB5,AC5,AD5)</f>
        <v>161633.77424</v>
      </c>
    </row>
    <row r="6" spans="1:31">
      <c r="A6" s="15" t="str">
        <f>Inputs!A15</f>
        <v>CVP-THEA</v>
      </c>
      <c r="B6" s="15">
        <f>Inputs!B15</f>
        <v>12</v>
      </c>
      <c r="C6" s="15" t="s">
        <v>32</v>
      </c>
      <c r="D6" s="15" t="str">
        <f>Inputs!C15</f>
        <v>Active</v>
      </c>
      <c r="E6" s="136">
        <f>'Sys Admin Calculation Y4'!E6</f>
        <v>0</v>
      </c>
      <c r="F6" s="136">
        <f>'Sys Admin Calculation Y4'!F6*(1+('Sys Admin'!$AG$21/100))</f>
        <v>30.687536000000012</v>
      </c>
      <c r="G6" s="136">
        <f>'Sys Admin Calculation Y4'!G6*(1+('Sys Admin'!$AG$21/100))</f>
        <v>0</v>
      </c>
      <c r="H6" s="136">
        <f>'Sys Admin Calculation Y4'!H6</f>
        <v>7190.413333333333</v>
      </c>
      <c r="I6" s="136">
        <f>'Sys Admin Calculation Y4'!I6</f>
        <v>1202.0576888888891</v>
      </c>
      <c r="J6" s="136">
        <f>Inputs!I15</f>
        <v>0</v>
      </c>
      <c r="K6" s="136">
        <f>Inputs!J15</f>
        <v>477.21333333333337</v>
      </c>
      <c r="L6" s="136">
        <f>Inputs!K15</f>
        <v>0</v>
      </c>
      <c r="M6" s="136">
        <f>Inputs!L15</f>
        <v>7190.413333333333</v>
      </c>
      <c r="N6" s="136">
        <f>Inputs!M15</f>
        <v>1202.0576888888891</v>
      </c>
      <c r="O6" s="136">
        <f>Inputs!N15</f>
        <v>0</v>
      </c>
      <c r="P6" s="136">
        <f>Inputs!O15</f>
        <v>5</v>
      </c>
      <c r="Q6" s="136" t="str">
        <f>Inputs!P15</f>
        <v>None</v>
      </c>
      <c r="R6" s="136">
        <f>Inputs!Q15</f>
        <v>0.04</v>
      </c>
      <c r="S6" s="136">
        <f>Inputs!R15</f>
        <v>100961.17226666668</v>
      </c>
      <c r="T6" s="563" t="str">
        <f>'Sys Admin'!AE25</f>
        <v>None</v>
      </c>
      <c r="U6" s="563" t="str">
        <f>'Sys Admin'!AG25</f>
        <v>Active</v>
      </c>
      <c r="V6" s="563">
        <f>'Sys Admin'!AI25</f>
        <v>0</v>
      </c>
      <c r="W6" s="576">
        <f>IF(AND(V69=1, 'Sys Admin Calculation'!X55=0, 'Sys Admin Calculation Y2'!V67=0, 'Sys Admin Calculation Y3'!V69=0, 'Sys Admin Calculation Y4'!V69=0), VLOOKUP(U6&amp;T6,$N$48:$Q$65,4,FALSE), VLOOKUP(U6&amp;T6,$N$66:$Q$70,4,FALSE))</f>
        <v>0</v>
      </c>
      <c r="X6" s="563">
        <f t="shared" ref="X6:X36" si="2">IF(U6="Prospective",0,IF(U6="Onboarding",2,IF(U6="Planning/Discovery",2,(12-V6))))</f>
        <v>12</v>
      </c>
      <c r="Y6" s="563">
        <f>IF(AND(V69=1,'Sys Admin Calculation'!X55=0, 'Sys Admin Calculation Y2'!V67=0, 'Sys Admin Calculation Y3'!V69=0, 'Sys Admin Calculation Y4'!V69=0),  VLOOKUP(T6,$P$71:$Q$74,2,FALSE), IF(AND(V87=1, OR('Sys Admin Calculation'!X73=1, 'Sys Admin Calculation Y2'!V85=1, 'Sys Admin Calculation Y3'!V87=1, 'Sys Admin Calculation Y4'!V69=1)), 0,IF(U6&lt;&gt;"Active", 0, W6*X6)))</f>
        <v>0</v>
      </c>
      <c r="Z6" s="50">
        <f t="shared" ref="Z6:Z21" si="3">(IF(U6=D6,F6,IF(U6="Prospective",0,IF(U6="Planning/Discovery",0,IF(U6="Onboarding",0,IF(U6="Export/Retirement",0,VLOOKUP(U6&amp;C6,$V$46:$X$48,3,FALSE)))))))*(12-V6)</f>
        <v>368.25043200000016</v>
      </c>
      <c r="AA6" s="50">
        <f t="shared" ref="AA6:AA21" si="4">(IF(U6=D6,F6,IF(U6="Prospective",0,IF(U6="Planning/Discovery",0,IF(U6="Onboarding",0,IF(U6="Export/Retirement",0,VLOOKUP(U6&amp;C6,$V$46:$Y$48,4,FALSE)))))))*(12-V6)</f>
        <v>368.25043200000016</v>
      </c>
      <c r="AB6" s="50">
        <f t="shared" si="0"/>
        <v>86975.239679999999</v>
      </c>
      <c r="AC6" s="490">
        <f t="shared" ref="AC6:AC36" si="5">Y69</f>
        <v>26000</v>
      </c>
      <c r="AD6" s="50">
        <f t="shared" si="1"/>
        <v>19473.334560000003</v>
      </c>
      <c r="AE6" s="564">
        <f t="shared" ref="AE6:AE36" si="6">SUM(Y6,Z6,AA6,AB6,AC6,AD6)</f>
        <v>133185.07510399999</v>
      </c>
    </row>
    <row r="7" spans="1:31">
      <c r="A7" s="15" t="str">
        <f>Inputs!A16</f>
        <v>CVP-WYDOT</v>
      </c>
      <c r="B7" s="15">
        <f>Inputs!B16</f>
        <v>12</v>
      </c>
      <c r="C7" s="15" t="s">
        <v>31</v>
      </c>
      <c r="D7" s="15" t="str">
        <f>Inputs!C16</f>
        <v>Active</v>
      </c>
      <c r="E7" s="136">
        <f>'Sys Admin Calculation Y4'!E7</f>
        <v>0</v>
      </c>
      <c r="F7" s="136">
        <f>'Sys Admin Calculation Y4'!F7*(1+('Sys Admin'!$AG$21/100))</f>
        <v>90.818123000000028</v>
      </c>
      <c r="G7" s="136">
        <f>'Sys Admin Calculation Y4'!G7*(1+('Sys Admin'!$AG$21/100))</f>
        <v>0</v>
      </c>
      <c r="H7" s="136">
        <f>'Sys Admin Calculation Y4'!H7</f>
        <v>7190.413333333333</v>
      </c>
      <c r="I7" s="136">
        <f>'Sys Admin Calculation Y4'!I7</f>
        <v>1202.0576888888891</v>
      </c>
      <c r="J7" s="136">
        <f>Inputs!I16</f>
        <v>0</v>
      </c>
      <c r="K7" s="136">
        <f>Inputs!J16</f>
        <v>49.360000000000007</v>
      </c>
      <c r="L7" s="136">
        <f>Inputs!K16</f>
        <v>0</v>
      </c>
      <c r="M7" s="136">
        <f>Inputs!L16</f>
        <v>7190.413333333333</v>
      </c>
      <c r="N7" s="136">
        <f>Inputs!M16</f>
        <v>1202.0576888888891</v>
      </c>
      <c r="O7" s="136">
        <f>Inputs!N16</f>
        <v>0</v>
      </c>
      <c r="P7" s="136">
        <f>Inputs!O16</f>
        <v>8</v>
      </c>
      <c r="Q7" s="136" t="str">
        <f>Inputs!P16</f>
        <v>None</v>
      </c>
      <c r="R7" s="136">
        <f>Inputs!Q16</f>
        <v>0.04</v>
      </c>
      <c r="S7" s="136">
        <f>Inputs!R16</f>
        <v>101454.01226666667</v>
      </c>
      <c r="T7" s="563" t="str">
        <f>'Sys Admin'!AE26</f>
        <v>None</v>
      </c>
      <c r="U7" s="563" t="str">
        <f>'Sys Admin'!AG26</f>
        <v>Active</v>
      </c>
      <c r="V7" s="563">
        <f>'Sys Admin'!AI26</f>
        <v>0</v>
      </c>
      <c r="W7" s="576">
        <f>IF(AND(V70=1, 'Sys Admin Calculation'!X56=0, 'Sys Admin Calculation Y2'!V68=0, 'Sys Admin Calculation Y3'!V70=0, 'Sys Admin Calculation Y4'!V70=0), VLOOKUP(U7&amp;T7,$N$48:$Q$65,4,FALSE), VLOOKUP(U7&amp;T7,$N$66:$Q$70,4,FALSE))</f>
        <v>0</v>
      </c>
      <c r="X7" s="563">
        <f t="shared" si="2"/>
        <v>12</v>
      </c>
      <c r="Y7" s="563">
        <f>IF(AND(V70=1,'Sys Admin Calculation'!X56=0, 'Sys Admin Calculation Y2'!V68=0, 'Sys Admin Calculation Y3'!V70=0, 'Sys Admin Calculation Y4'!V70=0),  VLOOKUP(T7,$P$71:$Q$74,2,FALSE), IF(AND(V88=1, OR('Sys Admin Calculation'!X74=1, 'Sys Admin Calculation Y2'!V86=1, 'Sys Admin Calculation Y3'!V88=1, 'Sys Admin Calculation Y4'!V70=1)), 0,IF(U7&lt;&gt;"Active", 0, W7*X7)))</f>
        <v>0</v>
      </c>
      <c r="Z7" s="50">
        <f t="shared" si="3"/>
        <v>1089.8174760000004</v>
      </c>
      <c r="AA7" s="50">
        <f t="shared" si="4"/>
        <v>1089.8174760000004</v>
      </c>
      <c r="AB7" s="50">
        <f t="shared" si="0"/>
        <v>86975.239679999999</v>
      </c>
      <c r="AC7" s="490">
        <f t="shared" si="5"/>
        <v>26000</v>
      </c>
      <c r="AD7" s="50">
        <f t="shared" si="1"/>
        <v>19473.334560000003</v>
      </c>
      <c r="AE7" s="564">
        <f t="shared" si="6"/>
        <v>134628.20919200001</v>
      </c>
    </row>
    <row r="8" spans="1:31">
      <c r="A8" s="15" t="str">
        <f>Inputs!A17</f>
        <v>CVP-Volpe-IE</v>
      </c>
      <c r="B8" s="15">
        <f>Inputs!B17</f>
        <v>12</v>
      </c>
      <c r="C8" s="15" t="s">
        <v>31</v>
      </c>
      <c r="D8" s="15" t="str">
        <f>Inputs!C17</f>
        <v>Active</v>
      </c>
      <c r="E8" s="136">
        <f>'Sys Admin Calculation Y4'!E8</f>
        <v>0</v>
      </c>
      <c r="F8" s="136">
        <f>'Sys Admin Calculation Y4'!F8*(1+('Sys Admin'!$AG$21/100))</f>
        <v>0</v>
      </c>
      <c r="G8" s="136">
        <f>'Sys Admin Calculation Y4'!G8*(1+('Sys Admin'!$AG$21/100))</f>
        <v>217.03818400000009</v>
      </c>
      <c r="H8" s="136">
        <f>'Sys Admin Calculation Y4'!H8</f>
        <v>7190.413333333333</v>
      </c>
      <c r="I8" s="136">
        <f>'Sys Admin Calculation Y4'!I8</f>
        <v>1202.0576888888891</v>
      </c>
      <c r="J8" s="136">
        <f>Inputs!I17</f>
        <v>0</v>
      </c>
      <c r="K8" s="136">
        <f>Inputs!J17</f>
        <v>0</v>
      </c>
      <c r="L8" s="136">
        <f>Inputs!K17</f>
        <v>170.27333333333334</v>
      </c>
      <c r="M8" s="136">
        <f>Inputs!L17</f>
        <v>7190.413333333333</v>
      </c>
      <c r="N8" s="136">
        <f>Inputs!M17</f>
        <v>1202.0576888888891</v>
      </c>
      <c r="O8" s="136">
        <f>Inputs!N17</f>
        <v>0</v>
      </c>
      <c r="P8" s="136">
        <f>Inputs!O17</f>
        <v>5</v>
      </c>
      <c r="Q8" s="136" t="str">
        <f>Inputs!P17</f>
        <v>None</v>
      </c>
      <c r="R8" s="136">
        <f>Inputs!Q17</f>
        <v>0.04</v>
      </c>
      <c r="S8" s="136">
        <f>Inputs!R17</f>
        <v>102488.53226666666</v>
      </c>
      <c r="T8" s="563" t="str">
        <f>'Sys Admin'!AE27</f>
        <v>None</v>
      </c>
      <c r="U8" s="563" t="str">
        <f>'Sys Admin'!AG27</f>
        <v>Active</v>
      </c>
      <c r="V8" s="563">
        <f>'Sys Admin'!AI27</f>
        <v>0</v>
      </c>
      <c r="W8" s="576">
        <f>IF(AND(V71=1, 'Sys Admin Calculation'!X57=0, 'Sys Admin Calculation Y2'!V69=0, 'Sys Admin Calculation Y3'!V71=0, 'Sys Admin Calculation Y4'!V71=0), VLOOKUP(U8&amp;T8,$N$48:$Q$65,4,FALSE), VLOOKUP(U8&amp;T8,$N$66:$Q$70,4,FALSE))</f>
        <v>0</v>
      </c>
      <c r="X8" s="563">
        <f t="shared" si="2"/>
        <v>12</v>
      </c>
      <c r="Y8" s="563">
        <f>IF(AND(V71=1,'Sys Admin Calculation'!X57=0, 'Sys Admin Calculation Y2'!V69=0, 'Sys Admin Calculation Y3'!V71=0, 'Sys Admin Calculation Y4'!V71=0),  VLOOKUP(T8,$P$71:$Q$74,2,FALSE), IF(AND(V89=1, OR('Sys Admin Calculation'!X75=1, 'Sys Admin Calculation Y2'!V87=1, 'Sys Admin Calculation Y3'!V89=1, 'Sys Admin Calculation Y4'!V71=1)), 0,IF(U8&lt;&gt;"Active", 0, W8*X8)))</f>
        <v>0</v>
      </c>
      <c r="Z8" s="50">
        <f t="shared" si="3"/>
        <v>0</v>
      </c>
      <c r="AA8" s="50">
        <f t="shared" si="4"/>
        <v>0</v>
      </c>
      <c r="AB8" s="50">
        <f t="shared" si="0"/>
        <v>86975.239679999999</v>
      </c>
      <c r="AC8" s="490">
        <f t="shared" si="5"/>
        <v>26000</v>
      </c>
      <c r="AD8" s="50">
        <f t="shared" si="1"/>
        <v>19473.334560000003</v>
      </c>
      <c r="AE8" s="564">
        <f t="shared" si="6"/>
        <v>132448.57423999999</v>
      </c>
    </row>
    <row r="9" spans="1:31">
      <c r="A9" s="15" t="str">
        <f>Inputs!A18</f>
        <v>CVP-TTI-IE</v>
      </c>
      <c r="B9" s="15">
        <f>Inputs!B18</f>
        <v>12</v>
      </c>
      <c r="C9" s="15" t="s">
        <v>31</v>
      </c>
      <c r="D9" s="15" t="str">
        <f>Inputs!C18</f>
        <v>Active</v>
      </c>
      <c r="E9" s="136">
        <f>'Sys Admin Calculation Y4'!E9</f>
        <v>0</v>
      </c>
      <c r="F9" s="136">
        <f>'Sys Admin Calculation Y4'!F9*(1+('Sys Admin'!$AG$21/100))</f>
        <v>0</v>
      </c>
      <c r="G9" s="136">
        <f>'Sys Admin Calculation Y4'!G9*(1+('Sys Admin'!$AG$21/100))</f>
        <v>137.08368300000004</v>
      </c>
      <c r="H9" s="136">
        <f>'Sys Admin Calculation Y4'!H9</f>
        <v>7190.413333333333</v>
      </c>
      <c r="I9" s="136">
        <f>'Sys Admin Calculation Y4'!I9</f>
        <v>1202.0576888888891</v>
      </c>
      <c r="J9" s="136">
        <f>Inputs!I18</f>
        <v>0</v>
      </c>
      <c r="K9" s="136">
        <f>Inputs!J18</f>
        <v>0</v>
      </c>
      <c r="L9" s="136">
        <f>Inputs!K18</f>
        <v>95.11</v>
      </c>
      <c r="M9" s="136">
        <f>Inputs!L18</f>
        <v>7190.413333333333</v>
      </c>
      <c r="N9" s="136">
        <f>Inputs!M18</f>
        <v>1202.0576888888891</v>
      </c>
      <c r="O9" s="136">
        <f>Inputs!N18</f>
        <v>0</v>
      </c>
      <c r="P9" s="136">
        <f>Inputs!O18</f>
        <v>10</v>
      </c>
      <c r="Q9" s="136" t="str">
        <f>Inputs!P18</f>
        <v>None</v>
      </c>
      <c r="R9" s="136">
        <f>Inputs!Q18</f>
        <v>0.04</v>
      </c>
      <c r="S9" s="136">
        <f>Inputs!R18</f>
        <v>101833.21226666665</v>
      </c>
      <c r="T9" s="563" t="str">
        <f>'Sys Admin'!AE28</f>
        <v>None</v>
      </c>
      <c r="U9" s="563" t="str">
        <f>'Sys Admin'!AG28</f>
        <v>Active</v>
      </c>
      <c r="V9" s="563">
        <f>'Sys Admin'!AI28</f>
        <v>0</v>
      </c>
      <c r="W9" s="576">
        <f>IF(AND(V72=1, 'Sys Admin Calculation'!X58=0, 'Sys Admin Calculation Y2'!V70=0, 'Sys Admin Calculation Y3'!V72=0, 'Sys Admin Calculation Y4'!V72=0), VLOOKUP(U9&amp;T9,$N$48:$Q$65,4,FALSE), VLOOKUP(U9&amp;T9,$N$66:$Q$70,4,FALSE))</f>
        <v>0</v>
      </c>
      <c r="X9" s="563">
        <f t="shared" si="2"/>
        <v>12</v>
      </c>
      <c r="Y9" s="563">
        <f>IF(AND(V72=1,'Sys Admin Calculation'!X58=0, 'Sys Admin Calculation Y2'!V70=0, 'Sys Admin Calculation Y3'!V72=0, 'Sys Admin Calculation Y4'!V72=0),  VLOOKUP(T9,$P$71:$Q$74,2,FALSE), IF(AND(V90=1, OR('Sys Admin Calculation'!X76=1, 'Sys Admin Calculation Y2'!V88=1, 'Sys Admin Calculation Y3'!V90=1, 'Sys Admin Calculation Y4'!V72=1)), 0,IF(U9&lt;&gt;"Active", 0, W9*X9)))</f>
        <v>0</v>
      </c>
      <c r="Z9" s="50">
        <f t="shared" si="3"/>
        <v>0</v>
      </c>
      <c r="AA9" s="50">
        <f t="shared" si="4"/>
        <v>0</v>
      </c>
      <c r="AB9" s="50">
        <f t="shared" si="0"/>
        <v>86975.239679999999</v>
      </c>
      <c r="AC9" s="490">
        <f t="shared" si="5"/>
        <v>26000</v>
      </c>
      <c r="AD9" s="50">
        <f t="shared" si="1"/>
        <v>19473.334560000003</v>
      </c>
      <c r="AE9" s="564">
        <f t="shared" si="6"/>
        <v>132448.57423999999</v>
      </c>
    </row>
    <row r="10" spans="1:31">
      <c r="A10" s="15" t="str">
        <f>Inputs!A19</f>
        <v>CARMA3-FMCSA</v>
      </c>
      <c r="B10" s="15">
        <f>Inputs!B19</f>
        <v>12</v>
      </c>
      <c r="C10" s="15" t="s">
        <v>32</v>
      </c>
      <c r="D10" s="15" t="str">
        <f>Inputs!C19</f>
        <v>Planning/Discovery</v>
      </c>
      <c r="E10" s="136">
        <f>'Sys Admin Calculation Y4'!E10</f>
        <v>0</v>
      </c>
      <c r="F10" s="136">
        <f>'Sys Admin Calculation Y4'!F10*(1+('Sys Admin'!$AG$21/100))</f>
        <v>0</v>
      </c>
      <c r="G10" s="136">
        <f>'Sys Admin Calculation Y4'!G10*(1+('Sys Admin'!$AG$21/100))</f>
        <v>0</v>
      </c>
      <c r="H10" s="136">
        <f>'Sys Admin Calculation Y4'!H10</f>
        <v>1348.2025000000001</v>
      </c>
      <c r="I10" s="136">
        <f>'Sys Admin Calculation Y4'!I10</f>
        <v>169.03936250000001</v>
      </c>
      <c r="J10" s="136">
        <f>Inputs!I19</f>
        <v>0</v>
      </c>
      <c r="K10" s="136">
        <f>Inputs!J19</f>
        <v>0</v>
      </c>
      <c r="L10" s="136">
        <f>Inputs!K19</f>
        <v>0</v>
      </c>
      <c r="M10" s="136">
        <f>Inputs!L19</f>
        <v>0</v>
      </c>
      <c r="N10" s="136">
        <f>Inputs!M19</f>
        <v>0</v>
      </c>
      <c r="O10" s="136">
        <f>Inputs!N19</f>
        <v>0</v>
      </c>
      <c r="P10" s="136">
        <f>Inputs!O19</f>
        <v>0</v>
      </c>
      <c r="Q10" s="136" t="str">
        <f>Inputs!P19</f>
        <v>None</v>
      </c>
      <c r="R10" s="136">
        <f>Inputs!Q19</f>
        <v>0</v>
      </c>
      <c r="S10" s="136">
        <f>Inputs!R19</f>
        <v>18206.90235</v>
      </c>
      <c r="T10" s="563" t="str">
        <f>'Sys Admin'!AE29</f>
        <v>None</v>
      </c>
      <c r="U10" s="563" t="str">
        <f>'Sys Admin'!AG29</f>
        <v>Prospective</v>
      </c>
      <c r="V10" s="563">
        <f>'Sys Admin'!AI29</f>
        <v>0</v>
      </c>
      <c r="W10" s="576">
        <f>IF(AND(V73=1, 'Sys Admin Calculation'!X59=0, 'Sys Admin Calculation Y2'!V71=0, 'Sys Admin Calculation Y3'!V73=0, 'Sys Admin Calculation Y4'!V73=0), VLOOKUP(U10&amp;T10,$N$48:$Q$65,4,FALSE), VLOOKUP(U10&amp;T10,$N$66:$Q$70,4,FALSE))</f>
        <v>0</v>
      </c>
      <c r="X10" s="563">
        <f t="shared" si="2"/>
        <v>0</v>
      </c>
      <c r="Y10" s="563">
        <f>IF(AND(V73=1,'Sys Admin Calculation'!X59=0, 'Sys Admin Calculation Y2'!V71=0, 'Sys Admin Calculation Y3'!V73=0, 'Sys Admin Calculation Y4'!V73=0),  VLOOKUP(T10,$P$71:$Q$74,2,FALSE), IF(AND(V91=1, OR('Sys Admin Calculation'!X77=1, 'Sys Admin Calculation Y2'!V89=1, 'Sys Admin Calculation Y3'!V91=1, 'Sys Admin Calculation Y4'!V73=1)), 0,IF(U10&lt;&gt;"Active", 0, W10*X10)))</f>
        <v>0</v>
      </c>
      <c r="Z10" s="50">
        <f t="shared" si="3"/>
        <v>0</v>
      </c>
      <c r="AA10" s="50">
        <f t="shared" si="4"/>
        <v>0</v>
      </c>
      <c r="AB10" s="50">
        <f t="shared" si="0"/>
        <v>0</v>
      </c>
      <c r="AC10" s="490">
        <f t="shared" si="5"/>
        <v>0</v>
      </c>
      <c r="AD10" s="50">
        <f t="shared" si="1"/>
        <v>0</v>
      </c>
      <c r="AE10" s="564">
        <f t="shared" si="6"/>
        <v>0</v>
      </c>
    </row>
    <row r="11" spans="1:31">
      <c r="A11" s="15" t="str">
        <f>Inputs!A20</f>
        <v>CARMA-FHWA</v>
      </c>
      <c r="B11" s="15">
        <f>Inputs!B20</f>
        <v>12</v>
      </c>
      <c r="C11" s="15" t="s">
        <v>32</v>
      </c>
      <c r="D11" s="15" t="str">
        <f>Inputs!C20</f>
        <v>Planning/Discovery</v>
      </c>
      <c r="E11" s="136">
        <f>'Sys Admin Calculation Y4'!E11</f>
        <v>0</v>
      </c>
      <c r="F11" s="136">
        <f>'Sys Admin Calculation Y4'!F11*(1+('Sys Admin'!$AG$21/100))</f>
        <v>0</v>
      </c>
      <c r="G11" s="136">
        <f>'Sys Admin Calculation Y4'!G11*(1+('Sys Admin'!$AG$21/100))</f>
        <v>0</v>
      </c>
      <c r="H11" s="136">
        <f>'Sys Admin Calculation Y4'!H11</f>
        <v>1348.2025000000001</v>
      </c>
      <c r="I11" s="136">
        <f>'Sys Admin Calculation Y4'!I11</f>
        <v>169.03936250000001</v>
      </c>
      <c r="J11" s="136">
        <f>Inputs!I20</f>
        <v>0</v>
      </c>
      <c r="K11" s="136">
        <f>Inputs!J20</f>
        <v>0</v>
      </c>
      <c r="L11" s="136">
        <f>Inputs!K20</f>
        <v>0</v>
      </c>
      <c r="M11" s="136">
        <f>Inputs!L20</f>
        <v>1348.2025000000001</v>
      </c>
      <c r="N11" s="136">
        <f>Inputs!M20</f>
        <v>169.03936250000001</v>
      </c>
      <c r="O11" s="136">
        <f>Inputs!N20</f>
        <v>0</v>
      </c>
      <c r="P11" s="136">
        <f>Inputs!O20</f>
        <v>0</v>
      </c>
      <c r="Q11" s="136" t="str">
        <f>Inputs!P20</f>
        <v>None</v>
      </c>
      <c r="R11" s="136">
        <f>Inputs!Q20</f>
        <v>0</v>
      </c>
      <c r="S11" s="136">
        <f>Inputs!R20</f>
        <v>18206.90235</v>
      </c>
      <c r="T11" s="563" t="str">
        <f>'Sys Admin'!AE30</f>
        <v>None</v>
      </c>
      <c r="U11" s="563" t="str">
        <f>'Sys Admin'!AG30</f>
        <v>Prospective</v>
      </c>
      <c r="V11" s="563">
        <f>'Sys Admin'!AI30</f>
        <v>0</v>
      </c>
      <c r="W11" s="576">
        <f>IF(AND(V74=1, 'Sys Admin Calculation'!X60=0, 'Sys Admin Calculation Y2'!V72=0, 'Sys Admin Calculation Y3'!V74=0, 'Sys Admin Calculation Y4'!V74=0), VLOOKUP(U11&amp;T11,$N$48:$Q$65,4,FALSE), VLOOKUP(U11&amp;T11,$N$66:$Q$70,4,FALSE))</f>
        <v>0</v>
      </c>
      <c r="X11" s="563">
        <f t="shared" si="2"/>
        <v>0</v>
      </c>
      <c r="Y11" s="563">
        <f>IF(AND(V74=1,'Sys Admin Calculation'!X60=0, 'Sys Admin Calculation Y2'!V72=0, 'Sys Admin Calculation Y3'!V74=0, 'Sys Admin Calculation Y4'!V74=0),  VLOOKUP(T11,$P$71:$Q$74,2,FALSE), IF(AND(V92=1, OR('Sys Admin Calculation'!X78=1, 'Sys Admin Calculation Y2'!V90=1, 'Sys Admin Calculation Y3'!V92=1, 'Sys Admin Calculation Y4'!V74=1)), 0,IF(U11&lt;&gt;"Active", 0, W11*X11)))</f>
        <v>0</v>
      </c>
      <c r="Z11" s="50">
        <f t="shared" si="3"/>
        <v>0</v>
      </c>
      <c r="AA11" s="50">
        <f t="shared" si="4"/>
        <v>0</v>
      </c>
      <c r="AB11" s="50">
        <f t="shared" si="0"/>
        <v>0</v>
      </c>
      <c r="AC11" s="490">
        <f t="shared" si="5"/>
        <v>0</v>
      </c>
      <c r="AD11" s="50">
        <f t="shared" si="1"/>
        <v>0</v>
      </c>
      <c r="AE11" s="564">
        <f t="shared" si="6"/>
        <v>0</v>
      </c>
    </row>
    <row r="12" spans="1:31">
      <c r="A12" s="15" t="str">
        <f>Inputs!A21</f>
        <v>FMI-ATRI</v>
      </c>
      <c r="B12" s="15">
        <f>Inputs!B21</f>
        <v>12</v>
      </c>
      <c r="C12" s="15" t="s">
        <v>31</v>
      </c>
      <c r="D12" s="15" t="str">
        <f>Inputs!C21</f>
        <v>Active</v>
      </c>
      <c r="E12" s="136">
        <f>'Sys Admin Calculation Y4'!E12</f>
        <v>0</v>
      </c>
      <c r="F12" s="136">
        <f>'Sys Admin Calculation Y4'!F12*(1+('Sys Admin'!$AG$21/100))</f>
        <v>192.3095350000001</v>
      </c>
      <c r="G12" s="136">
        <f>'Sys Admin Calculation Y4'!G12*(1+('Sys Admin'!$AG$21/100))</f>
        <v>0</v>
      </c>
      <c r="H12" s="136">
        <f>'Sys Admin Calculation Y4'!H12</f>
        <v>7190.413333333333</v>
      </c>
      <c r="I12" s="136">
        <f>'Sys Admin Calculation Y4'!I12</f>
        <v>1202.0576888888891</v>
      </c>
      <c r="J12" s="136">
        <f>Inputs!I21</f>
        <v>0</v>
      </c>
      <c r="K12" s="136">
        <f>Inputs!J21</f>
        <v>187.05333333333331</v>
      </c>
      <c r="L12" s="136">
        <f>Inputs!K21</f>
        <v>0</v>
      </c>
      <c r="M12" s="136">
        <f>Inputs!L21</f>
        <v>7190.413333333333</v>
      </c>
      <c r="N12" s="136">
        <f>Inputs!M21</f>
        <v>1202.0576888888891</v>
      </c>
      <c r="O12" s="136">
        <f>Inputs!N21</f>
        <v>0</v>
      </c>
      <c r="P12" s="136">
        <f>Inputs!O21</f>
        <v>5</v>
      </c>
      <c r="Q12" s="136" t="str">
        <f>Inputs!P21</f>
        <v>None</v>
      </c>
      <c r="R12" s="136">
        <f>Inputs!Q21</f>
        <v>0.04</v>
      </c>
      <c r="S12" s="136">
        <f>Inputs!R21</f>
        <v>102285.85226666667</v>
      </c>
      <c r="T12" s="563" t="str">
        <f>'Sys Admin'!AE31</f>
        <v>None</v>
      </c>
      <c r="U12" s="563" t="str">
        <f>'Sys Admin'!AG31</f>
        <v>Active</v>
      </c>
      <c r="V12" s="563">
        <f>'Sys Admin'!AI31</f>
        <v>0</v>
      </c>
      <c r="W12" s="576">
        <f>IF(AND(V75=1, 'Sys Admin Calculation'!X61=0, 'Sys Admin Calculation Y2'!V73=0, 'Sys Admin Calculation Y3'!V75=0, 'Sys Admin Calculation Y4'!V75=0), VLOOKUP(U12&amp;T12,$N$48:$Q$65,4,FALSE), VLOOKUP(U12&amp;T12,$N$66:$Q$70,4,FALSE))</f>
        <v>0</v>
      </c>
      <c r="X12" s="563">
        <f t="shared" si="2"/>
        <v>12</v>
      </c>
      <c r="Y12" s="563">
        <f>IF(AND(V75=1,'Sys Admin Calculation'!X61=0, 'Sys Admin Calculation Y2'!V73=0, 'Sys Admin Calculation Y3'!V75=0, 'Sys Admin Calculation Y4'!V75=0),  VLOOKUP(T12,$P$71:$Q$74,2,FALSE), IF(AND(V93=1, OR('Sys Admin Calculation'!X79=1, 'Sys Admin Calculation Y2'!V91=1, 'Sys Admin Calculation Y3'!V93=1, 'Sys Admin Calculation Y4'!V75=1)), 0,IF(U12&lt;&gt;"Active", 0, W12*X12)))</f>
        <v>0</v>
      </c>
      <c r="Z12" s="50">
        <f t="shared" si="3"/>
        <v>2307.7144200000012</v>
      </c>
      <c r="AA12" s="50">
        <f t="shared" si="4"/>
        <v>2307.7144200000012</v>
      </c>
      <c r="AB12" s="50">
        <f t="shared" si="0"/>
        <v>86975.239679999999</v>
      </c>
      <c r="AC12" s="490">
        <f t="shared" si="5"/>
        <v>26000</v>
      </c>
      <c r="AD12" s="50">
        <f t="shared" si="1"/>
        <v>19473.334560000003</v>
      </c>
      <c r="AE12" s="564">
        <f t="shared" si="6"/>
        <v>137064.00307999999</v>
      </c>
    </row>
    <row r="13" spans="1:31">
      <c r="A13" s="15" t="str">
        <f>Inputs!A22</f>
        <v>FMI-BTS</v>
      </c>
      <c r="B13" s="15">
        <f>Inputs!B22</f>
        <v>12</v>
      </c>
      <c r="C13" s="15" t="s">
        <v>31</v>
      </c>
      <c r="D13" s="15" t="str">
        <f>Inputs!C22</f>
        <v>Active</v>
      </c>
      <c r="E13" s="136">
        <f>'Sys Admin Calculation Y4'!E13</f>
        <v>0</v>
      </c>
      <c r="F13" s="136">
        <f>'Sys Admin Calculation Y4'!F13*(1+('Sys Admin'!$AG$21/100))</f>
        <v>0</v>
      </c>
      <c r="G13" s="136">
        <f>'Sys Admin Calculation Y4'!G13*(1+('Sys Admin'!$AG$21/100))</f>
        <v>0</v>
      </c>
      <c r="H13" s="136">
        <f>'Sys Admin Calculation Y4'!H13</f>
        <v>7190.413333333333</v>
      </c>
      <c r="I13" s="136">
        <f>'Sys Admin Calculation Y4'!I13</f>
        <v>1202.0576888888891</v>
      </c>
      <c r="J13" s="136">
        <f>Inputs!I22</f>
        <v>0</v>
      </c>
      <c r="K13" s="136">
        <f>Inputs!J22</f>
        <v>0</v>
      </c>
      <c r="L13" s="136">
        <f>Inputs!K22</f>
        <v>0</v>
      </c>
      <c r="M13" s="136">
        <f>Inputs!L22</f>
        <v>7190.413333333333</v>
      </c>
      <c r="N13" s="136">
        <f>Inputs!M22</f>
        <v>1202.0576888888891</v>
      </c>
      <c r="O13" s="136">
        <f>Inputs!N22</f>
        <v>0</v>
      </c>
      <c r="P13" s="136">
        <f>Inputs!O22</f>
        <v>3</v>
      </c>
      <c r="Q13" s="136" t="str">
        <f>Inputs!P22</f>
        <v>None</v>
      </c>
      <c r="R13" s="136">
        <f>Inputs!Q22</f>
        <v>0.04</v>
      </c>
      <c r="S13" s="136">
        <f>Inputs!R22</f>
        <v>100709.65226666667</v>
      </c>
      <c r="T13" s="563" t="str">
        <f>'Sys Admin'!AE32</f>
        <v>None</v>
      </c>
      <c r="U13" s="563" t="str">
        <f>'Sys Admin'!AG32</f>
        <v>Active</v>
      </c>
      <c r="V13" s="563">
        <f>'Sys Admin'!AI32</f>
        <v>0</v>
      </c>
      <c r="W13" s="576">
        <f>IF(AND(V76=1, 'Sys Admin Calculation'!X62=0, 'Sys Admin Calculation Y2'!V74=0, 'Sys Admin Calculation Y3'!V76=0, 'Sys Admin Calculation Y4'!V76=0), VLOOKUP(U13&amp;T13,$N$48:$Q$65,4,FALSE), VLOOKUP(U13&amp;T13,$N$66:$Q$70,4,FALSE))</f>
        <v>0</v>
      </c>
      <c r="X13" s="563">
        <f t="shared" si="2"/>
        <v>12</v>
      </c>
      <c r="Y13" s="563">
        <f>IF(AND(V76=1,'Sys Admin Calculation'!X62=0, 'Sys Admin Calculation Y2'!V74=0, 'Sys Admin Calculation Y3'!V76=0, 'Sys Admin Calculation Y4'!V76=0),  VLOOKUP(T13,$P$71:$Q$74,2,FALSE), IF(AND(V94=1, OR('Sys Admin Calculation'!X80=1, 'Sys Admin Calculation Y2'!V92=1, 'Sys Admin Calculation Y3'!V94=1, 'Sys Admin Calculation Y4'!V76=1)), 0,IF(U13&lt;&gt;"Active", 0, W13*X13)))</f>
        <v>0</v>
      </c>
      <c r="Z13" s="50">
        <f t="shared" si="3"/>
        <v>0</v>
      </c>
      <c r="AA13" s="50">
        <f t="shared" si="4"/>
        <v>0</v>
      </c>
      <c r="AB13" s="50">
        <f t="shared" si="0"/>
        <v>86975.239679999999</v>
      </c>
      <c r="AC13" s="490">
        <f t="shared" si="5"/>
        <v>26000</v>
      </c>
      <c r="AD13" s="50">
        <f t="shared" si="1"/>
        <v>19473.334560000003</v>
      </c>
      <c r="AE13" s="564">
        <f t="shared" si="6"/>
        <v>132448.57423999999</v>
      </c>
    </row>
    <row r="14" spans="1:31">
      <c r="A14" s="15" t="str">
        <f>Inputs!A23</f>
        <v>FTA-DA</v>
      </c>
      <c r="B14" s="15">
        <f>Inputs!B23</f>
        <v>12</v>
      </c>
      <c r="C14" s="15" t="s">
        <v>33</v>
      </c>
      <c r="D14" s="15" t="str">
        <f>Inputs!C23</f>
        <v>Active</v>
      </c>
      <c r="E14" s="136">
        <f>'Sys Admin Calculation Y4'!E14</f>
        <v>0</v>
      </c>
      <c r="F14" s="136">
        <f>'Sys Admin Calculation Y4'!F14*(1+('Sys Admin'!$AG$21/100))</f>
        <v>0</v>
      </c>
      <c r="G14" s="136">
        <f>'Sys Admin Calculation Y4'!G14*(1+('Sys Admin'!$AG$21/100))</f>
        <v>0</v>
      </c>
      <c r="H14" s="136">
        <f>'Sys Admin Calculation Y4'!H14</f>
        <v>7190.413333333333</v>
      </c>
      <c r="I14" s="136">
        <f>'Sys Admin Calculation Y4'!I14</f>
        <v>1202.0576888888891</v>
      </c>
      <c r="J14" s="136">
        <f>Inputs!I23</f>
        <v>0</v>
      </c>
      <c r="K14" s="136">
        <f>Inputs!J23</f>
        <v>0</v>
      </c>
      <c r="L14" s="136">
        <f>Inputs!K23</f>
        <v>0</v>
      </c>
      <c r="M14" s="136">
        <f>Inputs!L23</f>
        <v>7190.413333333333</v>
      </c>
      <c r="N14" s="136">
        <f>Inputs!M23</f>
        <v>1202.0576888888891</v>
      </c>
      <c r="O14" s="136">
        <f>Inputs!N23</f>
        <v>0</v>
      </c>
      <c r="P14" s="136">
        <f>Inputs!O23</f>
        <v>1</v>
      </c>
      <c r="Q14" s="136" t="str">
        <f>Inputs!P23</f>
        <v>None</v>
      </c>
      <c r="R14" s="136">
        <f>Inputs!Q23</f>
        <v>0.04</v>
      </c>
      <c r="S14" s="136">
        <f>Inputs!R23</f>
        <v>100709.65226666667</v>
      </c>
      <c r="T14" s="563" t="str">
        <f>'Sys Admin'!AE33</f>
        <v>None</v>
      </c>
      <c r="U14" s="563" t="str">
        <f>'Sys Admin'!AG33</f>
        <v>Active</v>
      </c>
      <c r="V14" s="563">
        <f>'Sys Admin'!AI33</f>
        <v>0</v>
      </c>
      <c r="W14" s="576">
        <f>IF(AND(V77=1, 'Sys Admin Calculation'!X63=0, 'Sys Admin Calculation Y2'!V75=0, 'Sys Admin Calculation Y3'!V77=0, 'Sys Admin Calculation Y4'!V77=0), VLOOKUP(U14&amp;T14,$N$48:$Q$65,4,FALSE), VLOOKUP(U14&amp;T14,$N$66:$Q$70,4,FALSE))</f>
        <v>0</v>
      </c>
      <c r="X14" s="563">
        <f t="shared" si="2"/>
        <v>12</v>
      </c>
      <c r="Y14" s="563">
        <f>IF(AND(V77=1,'Sys Admin Calculation'!X63=0, 'Sys Admin Calculation Y2'!V75=0, 'Sys Admin Calculation Y3'!V77=0, 'Sys Admin Calculation Y4'!V77=0),  VLOOKUP(T14,$P$71:$Q$74,2,FALSE), IF(AND(V95=1, OR('Sys Admin Calculation'!X81=1, 'Sys Admin Calculation Y2'!V93=1, 'Sys Admin Calculation Y3'!V95=1, 'Sys Admin Calculation Y4'!V77=1)), 0,IF(U14&lt;&gt;"Active", 0, W14*X14)))</f>
        <v>0</v>
      </c>
      <c r="Z14" s="50">
        <f t="shared" si="3"/>
        <v>0</v>
      </c>
      <c r="AA14" s="50">
        <f t="shared" si="4"/>
        <v>0</v>
      </c>
      <c r="AB14" s="50">
        <f t="shared" si="0"/>
        <v>86975.239679999999</v>
      </c>
      <c r="AC14" s="490">
        <f t="shared" si="5"/>
        <v>26000</v>
      </c>
      <c r="AD14" s="50">
        <f t="shared" si="1"/>
        <v>19473.334560000003</v>
      </c>
      <c r="AE14" s="564">
        <f t="shared" si="6"/>
        <v>132448.57423999999</v>
      </c>
    </row>
    <row r="15" spans="1:31">
      <c r="A15" s="15" t="str">
        <f>Inputs!A24</f>
        <v>MOD 2.0</v>
      </c>
      <c r="B15" s="15">
        <f>Inputs!B24</f>
        <v>12</v>
      </c>
      <c r="C15" s="15" t="s">
        <v>33</v>
      </c>
      <c r="D15" s="15" t="str">
        <f>Inputs!C24</f>
        <v>Prospective</v>
      </c>
      <c r="E15" s="136">
        <f>'Sys Admin Calculation Y4'!E15</f>
        <v>0</v>
      </c>
      <c r="F15" s="136">
        <f>'Sys Admin Calculation Y4'!F15*(1+('Sys Admin'!$AG$21/100))</f>
        <v>0</v>
      </c>
      <c r="G15" s="136">
        <f>'Sys Admin Calculation Y4'!G15*(1+('Sys Admin'!$AG$21/100))</f>
        <v>0</v>
      </c>
      <c r="H15" s="136">
        <f>'Sys Admin Calculation Y4'!H15</f>
        <v>0</v>
      </c>
      <c r="I15" s="136">
        <f>'Sys Admin Calculation Y4'!I15</f>
        <v>0</v>
      </c>
      <c r="J15" s="136">
        <f>Inputs!I24</f>
        <v>0</v>
      </c>
      <c r="K15" s="136">
        <f>Inputs!J24</f>
        <v>0</v>
      </c>
      <c r="L15" s="136">
        <f>Inputs!K24</f>
        <v>0</v>
      </c>
      <c r="M15" s="136">
        <f>Inputs!L24</f>
        <v>0</v>
      </c>
      <c r="N15" s="136">
        <f>Inputs!M24</f>
        <v>0</v>
      </c>
      <c r="O15" s="136">
        <f>Inputs!N24</f>
        <v>0</v>
      </c>
      <c r="P15" s="136">
        <f>Inputs!O24</f>
        <v>0</v>
      </c>
      <c r="Q15" s="136" t="str">
        <f>Inputs!P24</f>
        <v>None</v>
      </c>
      <c r="R15" s="136">
        <f>Inputs!Q24</f>
        <v>0</v>
      </c>
      <c r="S15" s="136">
        <f>Inputs!R24</f>
        <v>0</v>
      </c>
      <c r="T15" s="563" t="str">
        <f>'Sys Admin'!AE34</f>
        <v>None</v>
      </c>
      <c r="U15" s="563" t="str">
        <f>'Sys Admin'!AG34</f>
        <v>Prospective</v>
      </c>
      <c r="V15" s="563">
        <f>'Sys Admin'!AI34</f>
        <v>0</v>
      </c>
      <c r="W15" s="576">
        <f>IF(AND(V78=1, 'Sys Admin Calculation'!X64=0, 'Sys Admin Calculation Y2'!V76=0, 'Sys Admin Calculation Y3'!V78=0, 'Sys Admin Calculation Y4'!V78=0), VLOOKUP(U15&amp;T15,$N$48:$Q$65,4,FALSE), VLOOKUP(U15&amp;T15,$N$66:$Q$70,4,FALSE))</f>
        <v>0</v>
      </c>
      <c r="X15" s="563">
        <f t="shared" si="2"/>
        <v>0</v>
      </c>
      <c r="Y15" s="563">
        <f>IF(AND(V78=1,'Sys Admin Calculation'!X64=0, 'Sys Admin Calculation Y2'!V76=0, 'Sys Admin Calculation Y3'!V78=0, 'Sys Admin Calculation Y4'!V78=0),  VLOOKUP(T15,$P$71:$Q$74,2,FALSE), IF(AND(V96=1, OR('Sys Admin Calculation'!X82=1, 'Sys Admin Calculation Y2'!V94=1, 'Sys Admin Calculation Y3'!V96=1, 'Sys Admin Calculation Y4'!V78=1)), 0,IF(U15&lt;&gt;"Active", 0, W15*X15)))</f>
        <v>0</v>
      </c>
      <c r="Z15" s="50">
        <f t="shared" si="3"/>
        <v>0</v>
      </c>
      <c r="AA15" s="50">
        <f t="shared" si="4"/>
        <v>0</v>
      </c>
      <c r="AB15" s="50">
        <f t="shared" si="0"/>
        <v>0</v>
      </c>
      <c r="AC15" s="490">
        <f t="shared" si="5"/>
        <v>0</v>
      </c>
      <c r="AD15" s="50">
        <f t="shared" si="1"/>
        <v>0</v>
      </c>
      <c r="AE15" s="564">
        <f t="shared" si="6"/>
        <v>0</v>
      </c>
    </row>
    <row r="16" spans="1:31">
      <c r="A16" s="15" t="str">
        <f>Inputs!A25</f>
        <v xml:space="preserve">MPI </v>
      </c>
      <c r="B16" s="15">
        <f>Inputs!B25</f>
        <v>12</v>
      </c>
      <c r="C16" s="15" t="s">
        <v>33</v>
      </c>
      <c r="D16" s="15" t="str">
        <f>Inputs!C25</f>
        <v>Prospective</v>
      </c>
      <c r="E16" s="136">
        <f>'Sys Admin Calculation Y4'!E16</f>
        <v>0</v>
      </c>
      <c r="F16" s="136">
        <f>'Sys Admin Calculation Y4'!F16*(1+('Sys Admin'!$AG$21/100))</f>
        <v>0</v>
      </c>
      <c r="G16" s="136">
        <f>'Sys Admin Calculation Y4'!G16*(1+('Sys Admin'!$AG$21/100))</f>
        <v>0</v>
      </c>
      <c r="H16" s="136">
        <f>'Sys Admin Calculation Y4'!H16</f>
        <v>0</v>
      </c>
      <c r="I16" s="136">
        <f>'Sys Admin Calculation Y4'!I16</f>
        <v>0</v>
      </c>
      <c r="J16" s="136">
        <f>Inputs!I25</f>
        <v>0</v>
      </c>
      <c r="K16" s="136">
        <f>Inputs!J25</f>
        <v>0</v>
      </c>
      <c r="L16" s="136">
        <f>Inputs!K25</f>
        <v>0</v>
      </c>
      <c r="M16" s="136">
        <f>Inputs!L25</f>
        <v>0</v>
      </c>
      <c r="N16" s="136">
        <f>Inputs!M25</f>
        <v>0</v>
      </c>
      <c r="O16" s="136">
        <f>Inputs!N25</f>
        <v>0</v>
      </c>
      <c r="P16" s="136">
        <f>Inputs!O25</f>
        <v>0</v>
      </c>
      <c r="Q16" s="136" t="str">
        <f>Inputs!P25</f>
        <v>None</v>
      </c>
      <c r="R16" s="136">
        <f>Inputs!Q25</f>
        <v>0</v>
      </c>
      <c r="S16" s="136">
        <f>Inputs!R25</f>
        <v>0</v>
      </c>
      <c r="T16" s="563" t="str">
        <f>'Sys Admin'!AE35</f>
        <v>None</v>
      </c>
      <c r="U16" s="563" t="str">
        <f>'Sys Admin'!AG35</f>
        <v>Prospective</v>
      </c>
      <c r="V16" s="563">
        <f>'Sys Admin'!AI35</f>
        <v>0</v>
      </c>
      <c r="W16" s="576">
        <f>IF(AND(V79=1, 'Sys Admin Calculation'!X65=0, 'Sys Admin Calculation Y2'!V77=0, 'Sys Admin Calculation Y3'!V79=0, 'Sys Admin Calculation Y4'!V79=0), VLOOKUP(U16&amp;T16,$N$48:$Q$65,4,FALSE), VLOOKUP(U16&amp;T16,$N$66:$Q$70,4,FALSE))</f>
        <v>0</v>
      </c>
      <c r="X16" s="563">
        <f t="shared" si="2"/>
        <v>0</v>
      </c>
      <c r="Y16" s="563">
        <f>IF(AND(V79=1,'Sys Admin Calculation'!X65=0, 'Sys Admin Calculation Y2'!V77=0, 'Sys Admin Calculation Y3'!V79=0, 'Sys Admin Calculation Y4'!V79=0),  VLOOKUP(T16,$P$71:$Q$74,2,FALSE), IF(AND(V97=1, OR('Sys Admin Calculation'!X83=1, 'Sys Admin Calculation Y2'!V95=1, 'Sys Admin Calculation Y3'!V97=1, 'Sys Admin Calculation Y4'!V79=1)), 0,IF(U16&lt;&gt;"Active", 0, W16*X16)))</f>
        <v>0</v>
      </c>
      <c r="Z16" s="50">
        <f t="shared" si="3"/>
        <v>0</v>
      </c>
      <c r="AA16" s="50">
        <f t="shared" si="4"/>
        <v>0</v>
      </c>
      <c r="AB16" s="50">
        <f t="shared" si="0"/>
        <v>0</v>
      </c>
      <c r="AC16" s="490">
        <f t="shared" si="5"/>
        <v>0</v>
      </c>
      <c r="AD16" s="50">
        <f t="shared" si="1"/>
        <v>0</v>
      </c>
      <c r="AE16" s="564">
        <f t="shared" si="6"/>
        <v>0</v>
      </c>
    </row>
    <row r="17" spans="1:31">
      <c r="A17" s="15" t="str">
        <f>Inputs!A26</f>
        <v>WAZE-WAZE</v>
      </c>
      <c r="B17" s="15">
        <f>Inputs!B26</f>
        <v>12</v>
      </c>
      <c r="C17" s="15" t="s">
        <v>31</v>
      </c>
      <c r="D17" s="15" t="str">
        <f>Inputs!C26</f>
        <v>Active</v>
      </c>
      <c r="E17" s="136">
        <f>'Sys Admin Calculation Y4'!E17</f>
        <v>0</v>
      </c>
      <c r="F17" s="136">
        <f>'Sys Admin Calculation Y4'!F17*(1+('Sys Admin'!$AG$21/100))</f>
        <v>1425.5941700000005</v>
      </c>
      <c r="G17" s="136">
        <f>'Sys Admin Calculation Y4'!G17*(1+('Sys Admin'!$AG$21/100))</f>
        <v>0</v>
      </c>
      <c r="H17" s="136">
        <f>'Sys Admin Calculation Y4'!H17</f>
        <v>7190.413333333333</v>
      </c>
      <c r="I17" s="136">
        <f>'Sys Admin Calculation Y4'!I17</f>
        <v>1202.0576888888891</v>
      </c>
      <c r="J17" s="136">
        <f>Inputs!I26</f>
        <v>0</v>
      </c>
      <c r="K17" s="136">
        <f>Inputs!J26</f>
        <v>1109.17</v>
      </c>
      <c r="L17" s="136">
        <f>Inputs!K26</f>
        <v>0</v>
      </c>
      <c r="M17" s="136">
        <f>Inputs!L26</f>
        <v>7190.413333333333</v>
      </c>
      <c r="N17" s="136">
        <f>Inputs!M26</f>
        <v>1202.0576888888891</v>
      </c>
      <c r="O17" s="136">
        <f>Inputs!N26</f>
        <v>0</v>
      </c>
      <c r="P17" s="136">
        <f>Inputs!O26</f>
        <v>3</v>
      </c>
      <c r="Q17" s="136" t="str">
        <f>Inputs!P26</f>
        <v>None</v>
      </c>
      <c r="R17" s="136">
        <f>Inputs!Q26</f>
        <v>0.04</v>
      </c>
      <c r="S17" s="136">
        <f>Inputs!R26</f>
        <v>112394.05226666665</v>
      </c>
      <c r="T17" s="563" t="str">
        <f>'Sys Admin'!AE36</f>
        <v>None</v>
      </c>
      <c r="U17" s="563" t="str">
        <f>'Sys Admin'!AG36</f>
        <v>Active</v>
      </c>
      <c r="V17" s="563">
        <f>'Sys Admin'!AI36</f>
        <v>0</v>
      </c>
      <c r="W17" s="576">
        <f>IF(AND(V80=1, 'Sys Admin Calculation'!X66=0, 'Sys Admin Calculation Y2'!V78=0, 'Sys Admin Calculation Y3'!V80=0, 'Sys Admin Calculation Y4'!V80=0), VLOOKUP(U17&amp;T17,$N$48:$Q$65,4,FALSE), VLOOKUP(U17&amp;T17,$N$66:$Q$70,4,FALSE))</f>
        <v>0</v>
      </c>
      <c r="X17" s="563">
        <f t="shared" si="2"/>
        <v>12</v>
      </c>
      <c r="Y17" s="563">
        <f>IF(AND(V80=1,'Sys Admin Calculation'!X66=0, 'Sys Admin Calculation Y2'!V78=0, 'Sys Admin Calculation Y3'!V80=0, 'Sys Admin Calculation Y4'!V80=0),  VLOOKUP(T17,$P$71:$Q$74,2,FALSE), IF(AND(V98=1, OR('Sys Admin Calculation'!X84=1, 'Sys Admin Calculation Y2'!V96=1, 'Sys Admin Calculation Y3'!V98=1, 'Sys Admin Calculation Y4'!V80=1)), 0,IF(U17&lt;&gt;"Active", 0, W17*X17)))</f>
        <v>0</v>
      </c>
      <c r="Z17" s="50">
        <f t="shared" si="3"/>
        <v>17107.130040000007</v>
      </c>
      <c r="AA17" s="50">
        <f t="shared" si="4"/>
        <v>17107.130040000007</v>
      </c>
      <c r="AB17" s="50">
        <f t="shared" si="0"/>
        <v>86975.239679999999</v>
      </c>
      <c r="AC17" s="490">
        <f t="shared" si="5"/>
        <v>26000</v>
      </c>
      <c r="AD17" s="50">
        <f t="shared" si="1"/>
        <v>19473.334560000003</v>
      </c>
      <c r="AE17" s="564">
        <f t="shared" si="6"/>
        <v>166662.83432000002</v>
      </c>
    </row>
    <row r="18" spans="1:31">
      <c r="A18" s="15" t="str">
        <f>Inputs!A27</f>
        <v>WAZE-SDI</v>
      </c>
      <c r="B18" s="15">
        <f>Inputs!B27</f>
        <v>12</v>
      </c>
      <c r="C18" s="15" t="s">
        <v>31</v>
      </c>
      <c r="D18" s="15" t="str">
        <f>Inputs!C27</f>
        <v>Active</v>
      </c>
      <c r="E18" s="136">
        <f>'Sys Admin Calculation Y4'!E18</f>
        <v>0</v>
      </c>
      <c r="F18" s="136">
        <f>'Sys Admin Calculation Y4'!F18*(1+('Sys Admin'!$AG$21/100))</f>
        <v>0</v>
      </c>
      <c r="G18" s="136">
        <f>'Sys Admin Calculation Y4'!G18*(1+('Sys Admin'!$AG$21/100))</f>
        <v>517.54470900000024</v>
      </c>
      <c r="H18" s="136">
        <f>'Sys Admin Calculation Y4'!H18</f>
        <v>7190.413333333333</v>
      </c>
      <c r="I18" s="136">
        <f>'Sys Admin Calculation Y4'!I18</f>
        <v>1202.0576888888891</v>
      </c>
      <c r="J18" s="136">
        <f>Inputs!I27</f>
        <v>0</v>
      </c>
      <c r="K18" s="136">
        <f>Inputs!J27</f>
        <v>0</v>
      </c>
      <c r="L18" s="136">
        <f>Inputs!K27</f>
        <v>449.72333333333336</v>
      </c>
      <c r="M18" s="136">
        <f>Inputs!L27</f>
        <v>7190.413333333333</v>
      </c>
      <c r="N18" s="136">
        <f>Inputs!M27</f>
        <v>1202.0576888888891</v>
      </c>
      <c r="O18" s="136">
        <f>Inputs!N27</f>
        <v>0</v>
      </c>
      <c r="P18" s="136">
        <f>Inputs!O27</f>
        <v>0</v>
      </c>
      <c r="Q18" s="136" t="str">
        <f>Inputs!P27</f>
        <v>None</v>
      </c>
      <c r="R18" s="136">
        <f>Inputs!Q27</f>
        <v>0.04</v>
      </c>
      <c r="S18" s="136">
        <f>Inputs!R27</f>
        <v>104951.53226666666</v>
      </c>
      <c r="T18" s="563" t="str">
        <f>'Sys Admin'!AE37</f>
        <v>None</v>
      </c>
      <c r="U18" s="563" t="str">
        <f>'Sys Admin'!AG37</f>
        <v>Active</v>
      </c>
      <c r="V18" s="563">
        <f>'Sys Admin'!AI37</f>
        <v>0</v>
      </c>
      <c r="W18" s="576">
        <f>IF(AND(V81=1, 'Sys Admin Calculation'!X67=0, 'Sys Admin Calculation Y2'!V79=0, 'Sys Admin Calculation Y3'!V81=0, 'Sys Admin Calculation Y4'!V81=0), VLOOKUP(U18&amp;T18,$N$48:$Q$65,4,FALSE), VLOOKUP(U18&amp;T18,$N$66:$Q$70,4,FALSE))</f>
        <v>0</v>
      </c>
      <c r="X18" s="563">
        <f t="shared" si="2"/>
        <v>12</v>
      </c>
      <c r="Y18" s="563">
        <f>IF(AND(V81=1,'Sys Admin Calculation'!X67=0, 'Sys Admin Calculation Y2'!V79=0, 'Sys Admin Calculation Y3'!V81=0, 'Sys Admin Calculation Y4'!V81=0),  VLOOKUP(T18,$P$71:$Q$74,2,FALSE), IF(AND(V99=1, OR('Sys Admin Calculation'!X85=1, 'Sys Admin Calculation Y2'!V97=1, 'Sys Admin Calculation Y3'!V99=1, 'Sys Admin Calculation Y4'!V81=1)), 0,IF(U18&lt;&gt;"Active", 0, W18*X18)))</f>
        <v>0</v>
      </c>
      <c r="Z18" s="50">
        <f t="shared" si="3"/>
        <v>0</v>
      </c>
      <c r="AA18" s="50">
        <f t="shared" si="4"/>
        <v>0</v>
      </c>
      <c r="AB18" s="50">
        <f t="shared" si="0"/>
        <v>86975.239679999999</v>
      </c>
      <c r="AC18" s="490">
        <f t="shared" si="5"/>
        <v>26000</v>
      </c>
      <c r="AD18" s="50">
        <f t="shared" si="1"/>
        <v>19473.334560000003</v>
      </c>
      <c r="AE18" s="564">
        <f t="shared" si="6"/>
        <v>132448.57423999999</v>
      </c>
    </row>
    <row r="19" spans="1:31">
      <c r="A19" s="15" t="str">
        <f>Inputs!A28</f>
        <v>Smart Columbus Evaluation</v>
      </c>
      <c r="B19" s="15">
        <f>Inputs!B28</f>
        <v>12</v>
      </c>
      <c r="C19" s="15" t="s">
        <v>33</v>
      </c>
      <c r="D19" s="15" t="str">
        <f>Inputs!C28</f>
        <v>Planning/Discovery</v>
      </c>
      <c r="E19" s="136">
        <f>'Sys Admin Calculation Y4'!E19</f>
        <v>0</v>
      </c>
      <c r="F19" s="136">
        <f>'Sys Admin Calculation Y4'!F19*(1+('Sys Admin'!$AG$21/100))</f>
        <v>0</v>
      </c>
      <c r="G19" s="136">
        <f>'Sys Admin Calculation Y4'!G19*(1+('Sys Admin'!$AG$21/100))</f>
        <v>0</v>
      </c>
      <c r="H19" s="136">
        <f>'Sys Admin Calculation Y4'!H19</f>
        <v>1348.2025000000001</v>
      </c>
      <c r="I19" s="136">
        <f>'Sys Admin Calculation Y4'!I19</f>
        <v>169.03936250000001</v>
      </c>
      <c r="J19" s="136">
        <f>Inputs!I28</f>
        <v>0</v>
      </c>
      <c r="K19" s="136">
        <f>Inputs!J28</f>
        <v>0</v>
      </c>
      <c r="L19" s="136">
        <f>Inputs!K28</f>
        <v>0</v>
      </c>
      <c r="M19" s="136">
        <f>Inputs!L28</f>
        <v>0</v>
      </c>
      <c r="N19" s="136">
        <f>Inputs!M28</f>
        <v>0</v>
      </c>
      <c r="O19" s="136">
        <f>Inputs!N28</f>
        <v>0</v>
      </c>
      <c r="P19" s="136">
        <f>Inputs!O28</f>
        <v>0</v>
      </c>
      <c r="Q19" s="136" t="str">
        <f>Inputs!P28</f>
        <v>None</v>
      </c>
      <c r="R19" s="136">
        <f>Inputs!Q28</f>
        <v>0</v>
      </c>
      <c r="S19" s="136">
        <f>Inputs!R28</f>
        <v>18206.90235</v>
      </c>
      <c r="T19" s="563" t="str">
        <f>'Sys Admin'!AE38</f>
        <v>None</v>
      </c>
      <c r="U19" s="563" t="str">
        <f>'Sys Admin'!AG38</f>
        <v>Prospective</v>
      </c>
      <c r="V19" s="563">
        <f>'Sys Admin'!AI38</f>
        <v>0</v>
      </c>
      <c r="W19" s="576">
        <f>IF(AND(V82=1, 'Sys Admin Calculation'!X68=0, 'Sys Admin Calculation Y2'!V80=0, 'Sys Admin Calculation Y3'!V82=0, 'Sys Admin Calculation Y4'!V82=0), VLOOKUP(U19&amp;T19,$N$48:$Q$65,4,FALSE), VLOOKUP(U19&amp;T19,$N$66:$Q$70,4,FALSE))</f>
        <v>0</v>
      </c>
      <c r="X19" s="563">
        <f t="shared" si="2"/>
        <v>0</v>
      </c>
      <c r="Y19" s="563">
        <f>IF(AND(V82=1,'Sys Admin Calculation'!X68=0, 'Sys Admin Calculation Y2'!V80=0, 'Sys Admin Calculation Y3'!V82=0, 'Sys Admin Calculation Y4'!V82=0),  VLOOKUP(T19,$P$71:$Q$74,2,FALSE), IF(AND(V100=1, OR('Sys Admin Calculation'!X86=1, 'Sys Admin Calculation Y2'!V98=1, 'Sys Admin Calculation Y3'!V100=1, 'Sys Admin Calculation Y4'!V82=1)), 0,IF(U19&lt;&gt;"Active", 0, W19*X19)))</f>
        <v>0</v>
      </c>
      <c r="Z19" s="50">
        <f t="shared" si="3"/>
        <v>0</v>
      </c>
      <c r="AA19" s="50">
        <f t="shared" si="4"/>
        <v>0</v>
      </c>
      <c r="AB19" s="50">
        <f t="shared" si="0"/>
        <v>0</v>
      </c>
      <c r="AC19" s="490">
        <f t="shared" si="5"/>
        <v>0</v>
      </c>
      <c r="AD19" s="50">
        <f t="shared" si="1"/>
        <v>0</v>
      </c>
      <c r="AE19" s="564">
        <f t="shared" si="6"/>
        <v>0</v>
      </c>
    </row>
    <row r="20" spans="1:31">
      <c r="A20" s="15" t="str">
        <f>Inputs!A29</f>
        <v>STAR</v>
      </c>
      <c r="B20" s="15">
        <f>Inputs!B29</f>
        <v>12</v>
      </c>
      <c r="C20" s="15" t="s">
        <v>33</v>
      </c>
      <c r="D20" s="15" t="str">
        <f>Inputs!C29</f>
        <v>Prospective</v>
      </c>
      <c r="E20" s="136">
        <f>'Sys Admin Calculation Y4'!E20</f>
        <v>0</v>
      </c>
      <c r="F20" s="136">
        <f>'Sys Admin Calculation Y4'!F20*(1+('Sys Admin'!$AG$21/100))</f>
        <v>0</v>
      </c>
      <c r="G20" s="136">
        <f>'Sys Admin Calculation Y4'!G20*(1+('Sys Admin'!$AG$21/100))</f>
        <v>0</v>
      </c>
      <c r="H20" s="136">
        <f>'Sys Admin Calculation Y4'!H20</f>
        <v>0</v>
      </c>
      <c r="I20" s="136">
        <f>'Sys Admin Calculation Y4'!I20</f>
        <v>0</v>
      </c>
      <c r="J20" s="136">
        <f>Inputs!I29</f>
        <v>0</v>
      </c>
      <c r="K20" s="136">
        <f>Inputs!J29</f>
        <v>0</v>
      </c>
      <c r="L20" s="136">
        <f>Inputs!K29</f>
        <v>0</v>
      </c>
      <c r="M20" s="136">
        <f>Inputs!L29</f>
        <v>0</v>
      </c>
      <c r="N20" s="136">
        <f>Inputs!M29</f>
        <v>0</v>
      </c>
      <c r="O20" s="136">
        <f>Inputs!N29</f>
        <v>0</v>
      </c>
      <c r="P20" s="136">
        <f>Inputs!O29</f>
        <v>0</v>
      </c>
      <c r="Q20" s="136" t="str">
        <f>Inputs!P29</f>
        <v>None</v>
      </c>
      <c r="R20" s="136">
        <f>Inputs!Q29</f>
        <v>0</v>
      </c>
      <c r="S20" s="136">
        <f>Inputs!R29</f>
        <v>0</v>
      </c>
      <c r="T20" s="563" t="str">
        <f>'Sys Admin'!AE39</f>
        <v>None</v>
      </c>
      <c r="U20" s="563" t="str">
        <f>'Sys Admin'!AG39</f>
        <v>Prospective</v>
      </c>
      <c r="V20" s="563">
        <f>'Sys Admin'!AI39</f>
        <v>0</v>
      </c>
      <c r="W20" s="576">
        <f>IF(AND(V83=1, 'Sys Admin Calculation'!X69=0, 'Sys Admin Calculation Y2'!V81=0, 'Sys Admin Calculation Y3'!V83=0, 'Sys Admin Calculation Y4'!V83=0), VLOOKUP(U20&amp;T20,$N$48:$Q$65,4,FALSE), VLOOKUP(U20&amp;T20,$N$66:$Q$70,4,FALSE))</f>
        <v>0</v>
      </c>
      <c r="X20" s="563">
        <f t="shared" si="2"/>
        <v>0</v>
      </c>
      <c r="Y20" s="563">
        <f>IF(AND(V83=1,'Sys Admin Calculation'!X69=0, 'Sys Admin Calculation Y2'!V81=0, 'Sys Admin Calculation Y3'!V83=0, 'Sys Admin Calculation Y4'!V83=0),  VLOOKUP(T20,$P$71:$Q$74,2,FALSE), IF(AND(V101=1, OR('Sys Admin Calculation'!X87=1, 'Sys Admin Calculation Y2'!V99=1, 'Sys Admin Calculation Y3'!V101=1, 'Sys Admin Calculation Y4'!V83=1)), 0,IF(U20&lt;&gt;"Active", 0, W20*X20)))</f>
        <v>0</v>
      </c>
      <c r="Z20" s="50">
        <f t="shared" si="3"/>
        <v>0</v>
      </c>
      <c r="AA20" s="50">
        <f t="shared" si="4"/>
        <v>0</v>
      </c>
      <c r="AB20" s="50">
        <f t="shared" si="0"/>
        <v>0</v>
      </c>
      <c r="AC20" s="490">
        <f t="shared" si="5"/>
        <v>0</v>
      </c>
      <c r="AD20" s="50">
        <f t="shared" si="1"/>
        <v>0</v>
      </c>
      <c r="AE20" s="564">
        <f t="shared" si="6"/>
        <v>0</v>
      </c>
    </row>
    <row r="21" spans="1:31" ht="14.65" thickBot="1">
      <c r="A21" s="29" t="str">
        <f>Inputs!A30</f>
        <v>T-PLAT</v>
      </c>
      <c r="B21" s="29">
        <f>Inputs!B30</f>
        <v>12</v>
      </c>
      <c r="C21" s="29" t="s">
        <v>33</v>
      </c>
      <c r="D21" s="29" t="str">
        <f>Inputs!C30</f>
        <v>Prospective</v>
      </c>
      <c r="E21" s="538">
        <f>'Sys Admin Calculation Y4'!E21</f>
        <v>0</v>
      </c>
      <c r="F21" s="136">
        <f>'Sys Admin Calculation Y4'!F21*(1+('Sys Admin'!$AG$21/100))</f>
        <v>0</v>
      </c>
      <c r="G21" s="136">
        <f>'Sys Admin Calculation Y4'!G21*(1+('Sys Admin'!$AG$21/100))</f>
        <v>0</v>
      </c>
      <c r="H21" s="538">
        <f>'Sys Admin Calculation Y4'!H21</f>
        <v>0</v>
      </c>
      <c r="I21" s="538">
        <f>'Sys Admin Calculation Y4'!I21</f>
        <v>0</v>
      </c>
      <c r="J21" s="538">
        <f>Inputs!I30</f>
        <v>0</v>
      </c>
      <c r="K21" s="538">
        <f>Inputs!J30</f>
        <v>0</v>
      </c>
      <c r="L21" s="538">
        <f>Inputs!K30</f>
        <v>0</v>
      </c>
      <c r="M21" s="538">
        <f>Inputs!L30</f>
        <v>0</v>
      </c>
      <c r="N21" s="538">
        <f>Inputs!M30</f>
        <v>0</v>
      </c>
      <c r="O21" s="538">
        <f>Inputs!N30</f>
        <v>0</v>
      </c>
      <c r="P21" s="538">
        <f>Inputs!O30</f>
        <v>0</v>
      </c>
      <c r="Q21" s="538" t="str">
        <f>Inputs!P30</f>
        <v>None</v>
      </c>
      <c r="R21" s="538">
        <f>Inputs!Q30</f>
        <v>0</v>
      </c>
      <c r="S21" s="538">
        <f>Inputs!R30</f>
        <v>0</v>
      </c>
      <c r="T21" s="563" t="str">
        <f>'Sys Admin'!AE40</f>
        <v>None</v>
      </c>
      <c r="U21" s="563" t="str">
        <f>'Sys Admin'!AG40</f>
        <v>Prospective</v>
      </c>
      <c r="V21" s="563">
        <f>'Sys Admin'!AI40</f>
        <v>0</v>
      </c>
      <c r="W21" s="576">
        <f>IF(AND(V84=1, 'Sys Admin Calculation'!X70=0, 'Sys Admin Calculation Y2'!V82=0, 'Sys Admin Calculation Y3'!V84=0, 'Sys Admin Calculation Y4'!V84=0), VLOOKUP(U21&amp;T21,$N$48:$Q$65,4,FALSE), VLOOKUP(U21&amp;T21,$N$66:$Q$70,4,FALSE))</f>
        <v>0</v>
      </c>
      <c r="X21" s="563">
        <f t="shared" si="2"/>
        <v>0</v>
      </c>
      <c r="Y21" s="563">
        <f>IF(AND(V84=1,'Sys Admin Calculation'!X70=0, 'Sys Admin Calculation Y2'!V82=0, 'Sys Admin Calculation Y3'!V84=0, 'Sys Admin Calculation Y4'!V84=0),  VLOOKUP(T21,$P$71:$Q$74,2,FALSE), IF(AND(V102=1, OR('Sys Admin Calculation'!X88=1, 'Sys Admin Calculation Y2'!V100=1, 'Sys Admin Calculation Y3'!V102=1, 'Sys Admin Calculation Y4'!V84=1)), 0,IF(U21&lt;&gt;"Active", 0, W21*X21)))</f>
        <v>0</v>
      </c>
      <c r="Z21" s="50">
        <f t="shared" si="3"/>
        <v>0</v>
      </c>
      <c r="AA21" s="50">
        <f t="shared" si="4"/>
        <v>0</v>
      </c>
      <c r="AB21" s="50">
        <f t="shared" si="0"/>
        <v>0</v>
      </c>
      <c r="AC21" s="490">
        <f t="shared" si="5"/>
        <v>0</v>
      </c>
      <c r="AD21" s="50">
        <f t="shared" si="1"/>
        <v>0</v>
      </c>
      <c r="AE21" s="564">
        <f t="shared" si="6"/>
        <v>0</v>
      </c>
    </row>
    <row r="22" spans="1:31" s="449" customFormat="1" ht="14.65" thickBot="1">
      <c r="A22" s="568" t="str">
        <f>Inputs!A31</f>
        <v>New Project 1</v>
      </c>
      <c r="B22" s="611">
        <f>Inputs!B31</f>
        <v>12</v>
      </c>
      <c r="C22" s="611" t="str">
        <f>'Sys Admin'!F43</f>
        <v>Low</v>
      </c>
      <c r="D22" s="611" t="str">
        <f>'Sys Admin'!O43</f>
        <v>Prospective</v>
      </c>
      <c r="E22" s="612">
        <f>'Sys Admin Calculation Y4'!E22</f>
        <v>0</v>
      </c>
      <c r="F22" s="612">
        <f>'Sys Admin Calculation Y4'!Z22*(1+('Sys Admin'!$AG$21/100))</f>
        <v>0</v>
      </c>
      <c r="G22" s="612">
        <f>'Sys Admin Calculation Y4'!AA22*(1+('Sys Admin'!$AG$21/100))</f>
        <v>0</v>
      </c>
      <c r="H22" s="598"/>
      <c r="I22" s="598"/>
      <c r="J22" s="598"/>
      <c r="K22" s="598"/>
      <c r="L22" s="598"/>
      <c r="M22" s="598"/>
      <c r="N22" s="598"/>
      <c r="O22" s="598"/>
      <c r="P22" s="598"/>
      <c r="Q22" s="598"/>
      <c r="R22" s="598"/>
      <c r="S22" s="598"/>
      <c r="T22" s="571" t="str">
        <f>'Sys Admin'!AE43</f>
        <v>None</v>
      </c>
      <c r="U22" s="571" t="str">
        <f>'Sys Admin'!AG43</f>
        <v>Prospective</v>
      </c>
      <c r="V22" s="571">
        <f>'Sys Admin'!AI43</f>
        <v>0</v>
      </c>
      <c r="W22" s="572">
        <f>IF(AND(V85=1, 'Sys Admin Calculation'!X71=0, 'Sys Admin Calculation Y2'!V83=0, 'Sys Admin Calculation Y3'!V85=0, 'Sys Admin Calculation Y4'!V85=0), VLOOKUP(U22&amp;T22,$N$48:$Q$65,4,FALSE), VLOOKUP(U22&amp;T22,$N$66:$Q$70,4,FALSE))</f>
        <v>0</v>
      </c>
      <c r="X22" s="608">
        <f t="shared" si="2"/>
        <v>0</v>
      </c>
      <c r="Y22" s="608">
        <f>IF(AND(V85=1,'Sys Admin Calculation'!X71=0, 'Sys Admin Calculation Y2'!V83=0, 'Sys Admin Calculation Y3'!V85=0, 'Sys Admin Calculation Y4'!V85=0),  VLOOKUP(T22,$P$71:$Q$74,2,FALSE), IF(AND(V103=1, OR('Sys Admin Calculation'!X89=1, 'Sys Admin Calculation Y2'!V101=1, 'Sys Admin Calculation Y3'!V103=1, 'Sys Admin Calculation Y4'!V85=1)), 0,IF(U22&lt;&gt;"Active", 0, W22*X22)))</f>
        <v>0</v>
      </c>
      <c r="Z22" s="569">
        <f>IF(U22=D22,F22,IF(U22="Prospective",0,IF(U22="Onboarding",$J$85,IF(U22="Planning/Discovery",$J$84,IF(U22="Export/Retirement",$J$89,IF(AND(U22="Active",C22="Low"),$J$88,IF(AND(U22="Active",C22="High"),$J$86,$J$87))))))*(12-V22))</f>
        <v>0</v>
      </c>
      <c r="AA22" s="569">
        <f>IF(U22=D22,G22,IF(U22="Prospective",0,IF(U22="Onboarding",$K$85,IF(U22="Planning/Discovery",$K$84,IF(U22="Export/Retirement",$K$89,IF(AND(U22="Active",C22="Low"),$K$88,IF(AND(U22="Active",C22="High"),$K$86,$K$87))))))*(12-V22))</f>
        <v>0</v>
      </c>
      <c r="AB22" s="569">
        <f>IF(U22="Prospective",0,IF(U22="Onboarding",$L$85,IF(U22="Planning/Discovery",$L$84,IF(U22="Export/Retirement",$L$89,IF(AND(U22="Active",C22="Low"),$L$88*(12-V22),IF(AND(U22="Active",C22="High"),$L$86*(12-V22),$L$87*(12-V22)))))))</f>
        <v>0</v>
      </c>
      <c r="AC22" s="572">
        <f t="shared" si="5"/>
        <v>0</v>
      </c>
      <c r="AD22" s="569">
        <f>IF(U22="Prospective",0,IF(U22="Onboarding",$M$85,IF(U22="Planning/Discovery",$M$84,IF(U22="Export/Retirement",$M$89,IF(AND(U22="Active",C22="Low"),$M$88*(12-V22),IF(AND(U22="Active",C22="High"),$M$86*(12-V22),$M$87*(12-V22)))))))</f>
        <v>0</v>
      </c>
      <c r="AE22" s="573">
        <f t="shared" si="6"/>
        <v>0</v>
      </c>
    </row>
    <row r="23" spans="1:31" ht="14.65" thickBot="1">
      <c r="A23" s="15" t="str">
        <f>Inputs!A32</f>
        <v>New Project 2</v>
      </c>
      <c r="B23" s="9">
        <f>Inputs!B32</f>
        <v>12</v>
      </c>
      <c r="C23" s="9" t="str">
        <f>'Sys Admin'!F44</f>
        <v>Low</v>
      </c>
      <c r="D23" s="9" t="str">
        <f>'Sys Admin'!O44</f>
        <v>Prospective</v>
      </c>
      <c r="E23" s="609">
        <f>'Sys Admin Calculation Y4'!E23</f>
        <v>0</v>
      </c>
      <c r="F23" s="612">
        <f>'Sys Admin Calculation Y4'!Z23*(1+('Sys Admin'!$AG$21/100))</f>
        <v>0</v>
      </c>
      <c r="G23" s="612">
        <f>'Sys Admin Calculation Y4'!AA23*(1+('Sys Admin'!$AG$21/100))</f>
        <v>0</v>
      </c>
      <c r="H23" s="506"/>
      <c r="I23" s="506"/>
      <c r="J23" s="506"/>
      <c r="K23" s="506"/>
      <c r="L23" s="506"/>
      <c r="M23" s="506"/>
      <c r="N23" s="506"/>
      <c r="O23" s="506"/>
      <c r="P23" s="506"/>
      <c r="Q23" s="506"/>
      <c r="R23" s="506"/>
      <c r="S23" s="506"/>
      <c r="T23" s="575" t="str">
        <f>'Sys Admin'!AE44</f>
        <v>None</v>
      </c>
      <c r="U23" s="575" t="str">
        <f>'Sys Admin'!AG44</f>
        <v>Prospective</v>
      </c>
      <c r="V23" s="575">
        <f>'Sys Admin'!AI44</f>
        <v>0</v>
      </c>
      <c r="W23" s="576">
        <f>IF(AND(V86=1, 'Sys Admin Calculation'!X72=0, 'Sys Admin Calculation Y2'!V84=0, 'Sys Admin Calculation Y3'!V86=0, 'Sys Admin Calculation Y4'!V86=0), VLOOKUP(U23&amp;T23,$N$48:$Q$65,4,FALSE), VLOOKUP(U23&amp;T23,$N$66:$Q$70,4,FALSE))</f>
        <v>0</v>
      </c>
      <c r="X23" s="563">
        <f t="shared" si="2"/>
        <v>0</v>
      </c>
      <c r="Y23" s="563">
        <f>IF(AND(V86=1,'Sys Admin Calculation'!X72=0, 'Sys Admin Calculation Y2'!V84=0, 'Sys Admin Calculation Y3'!V86=0, 'Sys Admin Calculation Y4'!V86=0),  VLOOKUP(T23,$P$71:$Q$74,2,FALSE), IF(AND(V104=1, OR('Sys Admin Calculation'!X90=1, 'Sys Admin Calculation Y2'!V102=1, 'Sys Admin Calculation Y3'!V104=1, 'Sys Admin Calculation Y4'!V86=1)), 0,IF(U23&lt;&gt;"Active", 0, W23*X23)))</f>
        <v>0</v>
      </c>
      <c r="Z23" s="65">
        <f t="shared" ref="Z23:Z36" si="7">IF(U23=D23,F23,IF(U23="Prospective",0,IF(U23="Onboarding",$J$85,IF(U23="Planning/Discovery",$J$84,IF(U23="Export/Retirement",$J$89,IF(AND(U23="Active",C23="Low"),$J$88,IF(AND(U23="Active",C23="High"),$J$86,$J$87))))))*(12-V23))</f>
        <v>0</v>
      </c>
      <c r="AA23" s="65">
        <f t="shared" ref="AA23:AA36" si="8">IF(U23=D23,G23,IF(U23="Prospective",0,IF(U23="Onboarding",$K$85,IF(U23="Planning/Discovery",$K$84,IF(U23="Export/Retirement",$K$89,IF(AND(U23="Active",C23="Low"),$K$88,IF(AND(U23="Active",C23="High"),$K$86,$K$87))))))*(12-V23))</f>
        <v>0</v>
      </c>
      <c r="AB23" s="65">
        <f t="shared" ref="AB23:AB36" si="9">IF(U23="Prospective",0,IF(U23="Onboarding",$L$85,IF(U23="Planning/Discovery",$L$84,IF(U23="Export/Retirement",$L$89,IF(AND(U23="Active",C23="Low"),$L$88*(12-V23),IF(AND(U23="Active",C23="High"),$L$86*(12-V23),$L$87*(12-V23)))))))</f>
        <v>0</v>
      </c>
      <c r="AC23" s="576">
        <f t="shared" si="5"/>
        <v>0</v>
      </c>
      <c r="AD23" s="65">
        <f t="shared" ref="AD23:AD36" si="10">IF(U23="Prospective",0,IF(U23="Onboarding",$M$85,IF(U23="Planning/Discovery",$M$84,IF(U23="Export/Retirement",$M$89,IF(AND(U23="Active",C23="Low"),$M$88*(12-V23),IF(AND(U23="Active",C23="High"),$M$86*(12-V23),$M$87*(12-V23)))))))</f>
        <v>0</v>
      </c>
      <c r="AE23" s="577">
        <f t="shared" si="6"/>
        <v>0</v>
      </c>
    </row>
    <row r="24" spans="1:31" ht="14.65" thickBot="1">
      <c r="A24" s="15" t="str">
        <f>Inputs!A33</f>
        <v>New Project 3</v>
      </c>
      <c r="B24" s="9">
        <f>Inputs!B33</f>
        <v>12</v>
      </c>
      <c r="C24" s="9" t="str">
        <f>'Sys Admin'!F45</f>
        <v>Low</v>
      </c>
      <c r="D24" s="9" t="str">
        <f>'Sys Admin'!O45</f>
        <v>Prospective</v>
      </c>
      <c r="E24" s="609">
        <f>'Sys Admin Calculation Y4'!E24</f>
        <v>0</v>
      </c>
      <c r="F24" s="612">
        <f>'Sys Admin Calculation Y4'!Z24*(1+('Sys Admin'!$AG$21/100))</f>
        <v>0</v>
      </c>
      <c r="G24" s="612">
        <f>'Sys Admin Calculation Y4'!AA24*(1+('Sys Admin'!$AG$21/100))</f>
        <v>0</v>
      </c>
      <c r="H24" s="506"/>
      <c r="I24" s="506"/>
      <c r="J24" s="506"/>
      <c r="K24" s="506"/>
      <c r="L24" s="506"/>
      <c r="M24" s="506"/>
      <c r="N24" s="506"/>
      <c r="O24" s="506"/>
      <c r="P24" s="506"/>
      <c r="Q24" s="506"/>
      <c r="R24" s="506"/>
      <c r="S24" s="506"/>
      <c r="T24" s="575" t="str">
        <f>'Sys Admin'!AE45</f>
        <v>None</v>
      </c>
      <c r="U24" s="575" t="str">
        <f>'Sys Admin'!AG45</f>
        <v>Prospective</v>
      </c>
      <c r="V24" s="575">
        <f>'Sys Admin'!AI45</f>
        <v>0</v>
      </c>
      <c r="W24" s="576">
        <f>IF(AND(V87=1, 'Sys Admin Calculation'!X73=0, 'Sys Admin Calculation Y2'!V85=0, 'Sys Admin Calculation Y3'!V87=0, 'Sys Admin Calculation Y4'!V87=0), VLOOKUP(U24&amp;T24,$N$48:$Q$65,4,FALSE), VLOOKUP(U24&amp;T24,$N$66:$Q$70,4,FALSE))</f>
        <v>0</v>
      </c>
      <c r="X24" s="563">
        <f t="shared" si="2"/>
        <v>0</v>
      </c>
      <c r="Y24" s="563">
        <f>IF(AND(V87=1,'Sys Admin Calculation'!X73=0, 'Sys Admin Calculation Y2'!V85=0, 'Sys Admin Calculation Y3'!V87=0, 'Sys Admin Calculation Y4'!V87=0),  VLOOKUP(T24,$P$71:$Q$74,2,FALSE), IF(AND(V105=1, OR('Sys Admin Calculation'!X91=1, 'Sys Admin Calculation Y2'!V103=1, 'Sys Admin Calculation Y3'!V105=1, 'Sys Admin Calculation Y4'!V87=1)), 0,IF(U24&lt;&gt;"Active", 0, W24*X24)))</f>
        <v>0</v>
      </c>
      <c r="Z24" s="65">
        <f t="shared" si="7"/>
        <v>0</v>
      </c>
      <c r="AA24" s="65">
        <f t="shared" si="8"/>
        <v>0</v>
      </c>
      <c r="AB24" s="65">
        <f t="shared" si="9"/>
        <v>0</v>
      </c>
      <c r="AC24" s="576">
        <f t="shared" si="5"/>
        <v>0</v>
      </c>
      <c r="AD24" s="65">
        <f t="shared" si="10"/>
        <v>0</v>
      </c>
      <c r="AE24" s="577">
        <f t="shared" si="6"/>
        <v>0</v>
      </c>
    </row>
    <row r="25" spans="1:31" ht="14.65" thickBot="1">
      <c r="A25" s="15" t="str">
        <f>Inputs!A34</f>
        <v>New Project 4</v>
      </c>
      <c r="B25" s="9">
        <f>Inputs!B34</f>
        <v>12</v>
      </c>
      <c r="C25" s="9" t="str">
        <f>'Sys Admin'!F46</f>
        <v>Low</v>
      </c>
      <c r="D25" s="9" t="str">
        <f>'Sys Admin'!O46</f>
        <v>Prospective</v>
      </c>
      <c r="E25" s="609">
        <f>'Sys Admin Calculation Y4'!E25</f>
        <v>0</v>
      </c>
      <c r="F25" s="612">
        <f>'Sys Admin Calculation Y4'!Z25*(1+('Sys Admin'!$AG$21/100))</f>
        <v>0</v>
      </c>
      <c r="G25" s="612">
        <f>'Sys Admin Calculation Y4'!AA25*(1+('Sys Admin'!$AG$21/100))</f>
        <v>0</v>
      </c>
      <c r="H25" s="506"/>
      <c r="I25" s="506"/>
      <c r="J25" s="506"/>
      <c r="K25" s="506"/>
      <c r="L25" s="506"/>
      <c r="M25" s="506"/>
      <c r="N25" s="506"/>
      <c r="O25" s="506"/>
      <c r="P25" s="506"/>
      <c r="Q25" s="506"/>
      <c r="R25" s="506"/>
      <c r="S25" s="506"/>
      <c r="T25" s="575" t="str">
        <f>'Sys Admin'!AE46</f>
        <v>None</v>
      </c>
      <c r="U25" s="575" t="str">
        <f>'Sys Admin'!AG46</f>
        <v>Prospective</v>
      </c>
      <c r="V25" s="575">
        <f>'Sys Admin'!AI46</f>
        <v>0</v>
      </c>
      <c r="W25" s="576">
        <f>IF(AND(V88=1, 'Sys Admin Calculation'!X74=0, 'Sys Admin Calculation Y2'!V86=0, 'Sys Admin Calculation Y3'!V88=0, 'Sys Admin Calculation Y4'!V88=0), VLOOKUP(U25&amp;T25,$N$48:$Q$65,4,FALSE), VLOOKUP(U25&amp;T25,$N$66:$Q$70,4,FALSE))</f>
        <v>0</v>
      </c>
      <c r="X25" s="563">
        <f t="shared" si="2"/>
        <v>0</v>
      </c>
      <c r="Y25" s="563">
        <f>IF(AND(V88=1,'Sys Admin Calculation'!X74=0, 'Sys Admin Calculation Y2'!V86=0, 'Sys Admin Calculation Y3'!V88=0, 'Sys Admin Calculation Y4'!V88=0),  VLOOKUP(T25,$P$71:$Q$74,2,FALSE), IF(AND(V106=1, OR('Sys Admin Calculation'!X92=1, 'Sys Admin Calculation Y2'!V104=1, 'Sys Admin Calculation Y3'!V106=1, 'Sys Admin Calculation Y4'!V88=1)), 0,IF(U25&lt;&gt;"Active", 0, W25*X25)))</f>
        <v>0</v>
      </c>
      <c r="Z25" s="65">
        <f t="shared" si="7"/>
        <v>0</v>
      </c>
      <c r="AA25" s="65">
        <f t="shared" si="8"/>
        <v>0</v>
      </c>
      <c r="AB25" s="65">
        <f t="shared" si="9"/>
        <v>0</v>
      </c>
      <c r="AC25" s="576">
        <f t="shared" si="5"/>
        <v>0</v>
      </c>
      <c r="AD25" s="65">
        <f t="shared" si="10"/>
        <v>0</v>
      </c>
      <c r="AE25" s="577">
        <f t="shared" si="6"/>
        <v>0</v>
      </c>
    </row>
    <row r="26" spans="1:31" ht="14.65" thickBot="1">
      <c r="A26" s="15" t="str">
        <f>Inputs!A35</f>
        <v>New Project 5</v>
      </c>
      <c r="B26" s="9">
        <f>Inputs!B35</f>
        <v>12</v>
      </c>
      <c r="C26" s="9" t="str">
        <f>'Sys Admin'!F47</f>
        <v>Low</v>
      </c>
      <c r="D26" s="9" t="str">
        <f>'Sys Admin'!O47</f>
        <v>Prospective</v>
      </c>
      <c r="E26" s="609">
        <f>'Sys Admin Calculation Y4'!E26</f>
        <v>0</v>
      </c>
      <c r="F26" s="612">
        <f>'Sys Admin Calculation Y4'!Z26*(1+('Sys Admin'!$AG$21/100))</f>
        <v>0</v>
      </c>
      <c r="G26" s="612">
        <f>'Sys Admin Calculation Y4'!AA26*(1+('Sys Admin'!$AG$21/100))</f>
        <v>0</v>
      </c>
      <c r="H26" s="506"/>
      <c r="I26" s="506"/>
      <c r="J26" s="506"/>
      <c r="K26" s="506"/>
      <c r="L26" s="506"/>
      <c r="M26" s="506"/>
      <c r="N26" s="506"/>
      <c r="O26" s="506"/>
      <c r="P26" s="506"/>
      <c r="Q26" s="506"/>
      <c r="R26" s="506"/>
      <c r="S26" s="506"/>
      <c r="T26" s="575" t="str">
        <f>'Sys Admin'!AE47</f>
        <v>None</v>
      </c>
      <c r="U26" s="575" t="str">
        <f>'Sys Admin'!AG47</f>
        <v>Prospective</v>
      </c>
      <c r="V26" s="575">
        <f>'Sys Admin'!AI47</f>
        <v>0</v>
      </c>
      <c r="W26" s="576">
        <f>IF(AND(V89=1, 'Sys Admin Calculation'!X75=0, 'Sys Admin Calculation Y2'!V87=0, 'Sys Admin Calculation Y3'!V89=0, 'Sys Admin Calculation Y4'!V89=0), VLOOKUP(U26&amp;T26,$N$48:$Q$65,4,FALSE), VLOOKUP(U26&amp;T26,$N$66:$Q$70,4,FALSE))</f>
        <v>0</v>
      </c>
      <c r="X26" s="563">
        <f t="shared" si="2"/>
        <v>0</v>
      </c>
      <c r="Y26" s="563">
        <f>IF(AND(V89=1,'Sys Admin Calculation'!X75=0, 'Sys Admin Calculation Y2'!V87=0, 'Sys Admin Calculation Y3'!V89=0, 'Sys Admin Calculation Y4'!V89=0),  VLOOKUP(T26,$P$71:$Q$74,2,FALSE), IF(AND(V107=1, OR('Sys Admin Calculation'!X93=1, 'Sys Admin Calculation Y2'!V105=1, 'Sys Admin Calculation Y3'!V107=1, 'Sys Admin Calculation Y4'!V89=1)), 0,IF(U26&lt;&gt;"Active", 0, W26*X26)))</f>
        <v>0</v>
      </c>
      <c r="Z26" s="65">
        <f t="shared" si="7"/>
        <v>0</v>
      </c>
      <c r="AA26" s="65">
        <f t="shared" si="8"/>
        <v>0</v>
      </c>
      <c r="AB26" s="65">
        <f t="shared" si="9"/>
        <v>0</v>
      </c>
      <c r="AC26" s="576">
        <f t="shared" si="5"/>
        <v>0</v>
      </c>
      <c r="AD26" s="65">
        <f t="shared" si="10"/>
        <v>0</v>
      </c>
      <c r="AE26" s="577">
        <f t="shared" si="6"/>
        <v>0</v>
      </c>
    </row>
    <row r="27" spans="1:31" ht="14.65" thickBot="1">
      <c r="A27" s="15" t="str">
        <f>Inputs!A36</f>
        <v>New Project 6</v>
      </c>
      <c r="B27" s="9">
        <f>Inputs!B36</f>
        <v>12</v>
      </c>
      <c r="C27" s="9" t="str">
        <f>'Sys Admin'!F48</f>
        <v>Low</v>
      </c>
      <c r="D27" s="9" t="str">
        <f>'Sys Admin'!O48</f>
        <v>Prospective</v>
      </c>
      <c r="E27" s="609">
        <f>'Sys Admin Calculation Y4'!E27</f>
        <v>0</v>
      </c>
      <c r="F27" s="612">
        <f>'Sys Admin Calculation Y4'!Z27*(1+('Sys Admin'!$AG$21/100))</f>
        <v>0</v>
      </c>
      <c r="G27" s="612">
        <f>'Sys Admin Calculation Y4'!AA27*(1+('Sys Admin'!$AG$21/100))</f>
        <v>0</v>
      </c>
      <c r="H27" s="506"/>
      <c r="I27" s="506"/>
      <c r="J27" s="506"/>
      <c r="K27" s="506"/>
      <c r="L27" s="506"/>
      <c r="M27" s="506"/>
      <c r="N27" s="506"/>
      <c r="O27" s="506"/>
      <c r="P27" s="506"/>
      <c r="Q27" s="506"/>
      <c r="R27" s="506"/>
      <c r="S27" s="506"/>
      <c r="T27" s="575" t="str">
        <f>'Sys Admin'!AE48</f>
        <v>None</v>
      </c>
      <c r="U27" s="575" t="str">
        <f>'Sys Admin'!AG48</f>
        <v>Prospective</v>
      </c>
      <c r="V27" s="575">
        <f>'Sys Admin'!AI48</f>
        <v>0</v>
      </c>
      <c r="W27" s="576">
        <f>IF(AND(V90=1, 'Sys Admin Calculation'!X76=0, 'Sys Admin Calculation Y2'!V88=0, 'Sys Admin Calculation Y3'!V90=0, 'Sys Admin Calculation Y4'!V90=0), VLOOKUP(U27&amp;T27,$N$48:$Q$65,4,FALSE), VLOOKUP(U27&amp;T27,$N$66:$Q$70,4,FALSE))</f>
        <v>0</v>
      </c>
      <c r="X27" s="563">
        <f t="shared" si="2"/>
        <v>0</v>
      </c>
      <c r="Y27" s="563">
        <f>IF(AND(V90=1,'Sys Admin Calculation'!X76=0, 'Sys Admin Calculation Y2'!V88=0, 'Sys Admin Calculation Y3'!V90=0, 'Sys Admin Calculation Y4'!V90=0),  VLOOKUP(T27,$P$71:$Q$74,2,FALSE), IF(AND(V108=1, OR('Sys Admin Calculation'!X94=1, 'Sys Admin Calculation Y2'!V106=1, 'Sys Admin Calculation Y3'!V108=1, 'Sys Admin Calculation Y4'!V90=1)), 0,IF(U27&lt;&gt;"Active", 0, W27*X27)))</f>
        <v>0</v>
      </c>
      <c r="Z27" s="65">
        <f t="shared" si="7"/>
        <v>0</v>
      </c>
      <c r="AA27" s="65">
        <f t="shared" si="8"/>
        <v>0</v>
      </c>
      <c r="AB27" s="65">
        <f t="shared" si="9"/>
        <v>0</v>
      </c>
      <c r="AC27" s="576">
        <f t="shared" si="5"/>
        <v>0</v>
      </c>
      <c r="AD27" s="65">
        <f t="shared" si="10"/>
        <v>0</v>
      </c>
      <c r="AE27" s="577">
        <f t="shared" si="6"/>
        <v>0</v>
      </c>
    </row>
    <row r="28" spans="1:31" ht="14.65" thickBot="1">
      <c r="A28" s="15" t="str">
        <f>Inputs!A37</f>
        <v>New Project 7</v>
      </c>
      <c r="B28" s="9">
        <f>Inputs!B37</f>
        <v>12</v>
      </c>
      <c r="C28" s="9" t="str">
        <f>'Sys Admin'!F49</f>
        <v>Low</v>
      </c>
      <c r="D28" s="9" t="str">
        <f>'Sys Admin'!O49</f>
        <v>Prospective</v>
      </c>
      <c r="E28" s="609">
        <f>'Sys Admin Calculation Y4'!E28</f>
        <v>0</v>
      </c>
      <c r="F28" s="612">
        <f>'Sys Admin Calculation Y4'!Z28*(1+('Sys Admin'!$AG$21/100))</f>
        <v>0</v>
      </c>
      <c r="G28" s="612">
        <f>'Sys Admin Calculation Y4'!AA28*(1+('Sys Admin'!$AG$21/100))</f>
        <v>0</v>
      </c>
      <c r="H28" s="506"/>
      <c r="I28" s="506"/>
      <c r="J28" s="506"/>
      <c r="K28" s="506"/>
      <c r="L28" s="506"/>
      <c r="M28" s="506"/>
      <c r="N28" s="506"/>
      <c r="O28" s="506"/>
      <c r="P28" s="506"/>
      <c r="Q28" s="506"/>
      <c r="R28" s="506"/>
      <c r="S28" s="506"/>
      <c r="T28" s="575" t="str">
        <f>'Sys Admin'!AE49</f>
        <v>None</v>
      </c>
      <c r="U28" s="575" t="str">
        <f>'Sys Admin'!AG49</f>
        <v>Prospective</v>
      </c>
      <c r="V28" s="575">
        <f>'Sys Admin'!AI49</f>
        <v>0</v>
      </c>
      <c r="W28" s="576">
        <f>IF(AND(V91=1, 'Sys Admin Calculation'!X77=0, 'Sys Admin Calculation Y2'!V89=0, 'Sys Admin Calculation Y3'!V91=0, 'Sys Admin Calculation Y4'!V91=0), VLOOKUP(U28&amp;T28,$N$48:$Q$65,4,FALSE), VLOOKUP(U28&amp;T28,$N$66:$Q$70,4,FALSE))</f>
        <v>0</v>
      </c>
      <c r="X28" s="563">
        <f t="shared" si="2"/>
        <v>0</v>
      </c>
      <c r="Y28" s="563">
        <f>IF(AND(V91=1,'Sys Admin Calculation'!X77=0, 'Sys Admin Calculation Y2'!V89=0, 'Sys Admin Calculation Y3'!V91=0, 'Sys Admin Calculation Y4'!V91=0),  VLOOKUP(T28,$P$71:$Q$74,2,FALSE), IF(AND(V109=1, OR('Sys Admin Calculation'!X95=1, 'Sys Admin Calculation Y2'!V107=1, 'Sys Admin Calculation Y3'!V109=1, 'Sys Admin Calculation Y4'!V91=1)), 0,IF(U28&lt;&gt;"Active", 0, W28*X28)))</f>
        <v>0</v>
      </c>
      <c r="Z28" s="65">
        <f t="shared" si="7"/>
        <v>0</v>
      </c>
      <c r="AA28" s="65">
        <f t="shared" si="8"/>
        <v>0</v>
      </c>
      <c r="AB28" s="65">
        <f t="shared" si="9"/>
        <v>0</v>
      </c>
      <c r="AC28" s="576">
        <f t="shared" si="5"/>
        <v>0</v>
      </c>
      <c r="AD28" s="65">
        <f t="shared" si="10"/>
        <v>0</v>
      </c>
      <c r="AE28" s="577">
        <f t="shared" si="6"/>
        <v>0</v>
      </c>
    </row>
    <row r="29" spans="1:31" ht="14.65" thickBot="1">
      <c r="A29" s="15" t="str">
        <f>Inputs!A38</f>
        <v>New Project 8</v>
      </c>
      <c r="B29" s="9">
        <f>Inputs!B38</f>
        <v>12</v>
      </c>
      <c r="C29" s="9" t="str">
        <f>'Sys Admin'!F50</f>
        <v>Low</v>
      </c>
      <c r="D29" s="9" t="str">
        <f>'Sys Admin'!O50</f>
        <v>Prospective</v>
      </c>
      <c r="E29" s="609">
        <f>'Sys Admin Calculation Y4'!E29</f>
        <v>0</v>
      </c>
      <c r="F29" s="612">
        <f>'Sys Admin Calculation Y4'!Z29*(1+('Sys Admin'!$AG$21/100))</f>
        <v>0</v>
      </c>
      <c r="G29" s="612">
        <f>'Sys Admin Calculation Y4'!AA29*(1+('Sys Admin'!$AG$21/100))</f>
        <v>0</v>
      </c>
      <c r="H29" s="506"/>
      <c r="I29" s="506"/>
      <c r="J29" s="506"/>
      <c r="K29" s="506"/>
      <c r="L29" s="506"/>
      <c r="M29" s="506"/>
      <c r="N29" s="506"/>
      <c r="O29" s="506"/>
      <c r="P29" s="506"/>
      <c r="Q29" s="506"/>
      <c r="R29" s="506"/>
      <c r="S29" s="506"/>
      <c r="T29" s="575" t="str">
        <f>'Sys Admin'!AE50</f>
        <v>None</v>
      </c>
      <c r="U29" s="575" t="str">
        <f>'Sys Admin'!AG50</f>
        <v>Prospective</v>
      </c>
      <c r="V29" s="575">
        <f>'Sys Admin'!AI50</f>
        <v>0</v>
      </c>
      <c r="W29" s="576">
        <f>IF(AND(V92=1, 'Sys Admin Calculation'!X78=0, 'Sys Admin Calculation Y2'!V90=0, 'Sys Admin Calculation Y3'!V92=0, 'Sys Admin Calculation Y4'!V92=0), VLOOKUP(U29&amp;T29,$N$48:$Q$65,4,FALSE), VLOOKUP(U29&amp;T29,$N$66:$Q$70,4,FALSE))</f>
        <v>0</v>
      </c>
      <c r="X29" s="563">
        <f t="shared" si="2"/>
        <v>0</v>
      </c>
      <c r="Y29" s="563">
        <f>IF(AND(V92=1,'Sys Admin Calculation'!X78=0, 'Sys Admin Calculation Y2'!V90=0, 'Sys Admin Calculation Y3'!V92=0, 'Sys Admin Calculation Y4'!V92=0),  VLOOKUP(T29,$P$71:$Q$74,2,FALSE), IF(AND(V110=1, OR('Sys Admin Calculation'!X96=1, 'Sys Admin Calculation Y2'!V108=1, 'Sys Admin Calculation Y3'!V110=1, 'Sys Admin Calculation Y4'!V92=1)), 0,IF(U29&lt;&gt;"Active", 0, W29*X29)))</f>
        <v>0</v>
      </c>
      <c r="Z29" s="65">
        <f t="shared" si="7"/>
        <v>0</v>
      </c>
      <c r="AA29" s="65">
        <f t="shared" si="8"/>
        <v>0</v>
      </c>
      <c r="AB29" s="65">
        <f t="shared" si="9"/>
        <v>0</v>
      </c>
      <c r="AC29" s="576">
        <f t="shared" si="5"/>
        <v>0</v>
      </c>
      <c r="AD29" s="65">
        <f t="shared" si="10"/>
        <v>0</v>
      </c>
      <c r="AE29" s="577">
        <f t="shared" si="6"/>
        <v>0</v>
      </c>
    </row>
    <row r="30" spans="1:31" ht="14.65" thickBot="1">
      <c r="A30" s="15" t="str">
        <f>Inputs!A39</f>
        <v>New Project 9</v>
      </c>
      <c r="B30" s="9">
        <f>Inputs!B39</f>
        <v>12</v>
      </c>
      <c r="C30" s="9" t="str">
        <f>'Sys Admin'!F51</f>
        <v>Low</v>
      </c>
      <c r="D30" s="9" t="str">
        <f>'Sys Admin'!O51</f>
        <v>Prospective</v>
      </c>
      <c r="E30" s="609">
        <f>'Sys Admin Calculation Y4'!E30</f>
        <v>0</v>
      </c>
      <c r="F30" s="612">
        <f>'Sys Admin Calculation Y4'!Z30*(1+('Sys Admin'!$AG$21/100))</f>
        <v>0</v>
      </c>
      <c r="G30" s="612">
        <f>'Sys Admin Calculation Y4'!AA30*(1+('Sys Admin'!$AG$21/100))</f>
        <v>0</v>
      </c>
      <c r="H30" s="506"/>
      <c r="I30" s="506"/>
      <c r="J30" s="506"/>
      <c r="K30" s="506"/>
      <c r="L30" s="506"/>
      <c r="M30" s="506"/>
      <c r="N30" s="506"/>
      <c r="O30" s="506"/>
      <c r="P30" s="506"/>
      <c r="Q30" s="506"/>
      <c r="R30" s="506"/>
      <c r="S30" s="506"/>
      <c r="T30" s="575" t="str">
        <f>'Sys Admin'!AE51</f>
        <v>None</v>
      </c>
      <c r="U30" s="575" t="str">
        <f>'Sys Admin'!AG51</f>
        <v>Prospective</v>
      </c>
      <c r="V30" s="575">
        <f>'Sys Admin'!AI51</f>
        <v>0</v>
      </c>
      <c r="W30" s="576">
        <f>IF(AND(V93=1, 'Sys Admin Calculation'!X79=0, 'Sys Admin Calculation Y2'!V91=0, 'Sys Admin Calculation Y3'!V93=0, 'Sys Admin Calculation Y4'!V93=0), VLOOKUP(U30&amp;T30,$N$48:$Q$65,4,FALSE), VLOOKUP(U30&amp;T30,$N$66:$Q$70,4,FALSE))</f>
        <v>0</v>
      </c>
      <c r="X30" s="563">
        <f t="shared" si="2"/>
        <v>0</v>
      </c>
      <c r="Y30" s="563">
        <f>IF(AND(V93=1,'Sys Admin Calculation'!X79=0, 'Sys Admin Calculation Y2'!V91=0, 'Sys Admin Calculation Y3'!V93=0, 'Sys Admin Calculation Y4'!V93=0),  VLOOKUP(T30,$P$71:$Q$74,2,FALSE), IF(AND(V111=1, OR('Sys Admin Calculation'!X97=1, 'Sys Admin Calculation Y2'!V109=1, 'Sys Admin Calculation Y3'!V111=1, 'Sys Admin Calculation Y4'!V93=1)), 0,IF(U30&lt;&gt;"Active", 0, W30*X30)))</f>
        <v>0</v>
      </c>
      <c r="Z30" s="65">
        <f t="shared" si="7"/>
        <v>0</v>
      </c>
      <c r="AA30" s="65">
        <f t="shared" si="8"/>
        <v>0</v>
      </c>
      <c r="AB30" s="65">
        <f t="shared" si="9"/>
        <v>0</v>
      </c>
      <c r="AC30" s="576">
        <f t="shared" si="5"/>
        <v>0</v>
      </c>
      <c r="AD30" s="65">
        <f t="shared" si="10"/>
        <v>0</v>
      </c>
      <c r="AE30" s="577">
        <f t="shared" si="6"/>
        <v>0</v>
      </c>
    </row>
    <row r="31" spans="1:31" ht="14.65" thickBot="1">
      <c r="A31" s="15" t="str">
        <f>Inputs!A40</f>
        <v>New Project 10</v>
      </c>
      <c r="B31" s="9">
        <f>Inputs!B40</f>
        <v>12</v>
      </c>
      <c r="C31" s="9" t="str">
        <f>'Sys Admin'!F52</f>
        <v>Low</v>
      </c>
      <c r="D31" s="9" t="str">
        <f>'Sys Admin'!O52</f>
        <v>Prospective</v>
      </c>
      <c r="E31" s="609">
        <f>'Sys Admin Calculation Y4'!E31</f>
        <v>0</v>
      </c>
      <c r="F31" s="612">
        <f>'Sys Admin Calculation Y4'!Z31*(1+('Sys Admin'!$AG$21/100))</f>
        <v>0</v>
      </c>
      <c r="G31" s="612">
        <f>'Sys Admin Calculation Y4'!AA31*(1+('Sys Admin'!$AG$21/100))</f>
        <v>0</v>
      </c>
      <c r="H31" s="506"/>
      <c r="I31" s="506"/>
      <c r="J31" s="506"/>
      <c r="K31" s="506"/>
      <c r="L31" s="506"/>
      <c r="M31" s="506"/>
      <c r="N31" s="506"/>
      <c r="O31" s="506"/>
      <c r="P31" s="506"/>
      <c r="Q31" s="506"/>
      <c r="R31" s="506"/>
      <c r="S31" s="506"/>
      <c r="T31" s="575" t="str">
        <f>'Sys Admin'!AE52</f>
        <v>None</v>
      </c>
      <c r="U31" s="575" t="str">
        <f>'Sys Admin'!AG52</f>
        <v>Prospective</v>
      </c>
      <c r="V31" s="575">
        <f>'Sys Admin'!AI52</f>
        <v>0</v>
      </c>
      <c r="W31" s="576">
        <f>IF(AND(V94=1, 'Sys Admin Calculation'!X80=0, 'Sys Admin Calculation Y2'!V92=0, 'Sys Admin Calculation Y3'!V94=0, 'Sys Admin Calculation Y4'!V94=0), VLOOKUP(U31&amp;T31,$N$48:$Q$65,4,FALSE), VLOOKUP(U31&amp;T31,$N$66:$Q$70,4,FALSE))</f>
        <v>0</v>
      </c>
      <c r="X31" s="563">
        <f t="shared" si="2"/>
        <v>0</v>
      </c>
      <c r="Y31" s="563">
        <f>IF(AND(V94=1,'Sys Admin Calculation'!X80=0, 'Sys Admin Calculation Y2'!V92=0, 'Sys Admin Calculation Y3'!V94=0, 'Sys Admin Calculation Y4'!V94=0),  VLOOKUP(T31,$P$71:$Q$74,2,FALSE), IF(AND(V112=1, OR('Sys Admin Calculation'!X98=1, 'Sys Admin Calculation Y2'!V110=1, 'Sys Admin Calculation Y3'!V112=1, 'Sys Admin Calculation Y4'!V94=1)), 0,IF(U31&lt;&gt;"Active", 0, W31*X31)))</f>
        <v>0</v>
      </c>
      <c r="Z31" s="65">
        <f t="shared" si="7"/>
        <v>0</v>
      </c>
      <c r="AA31" s="65">
        <f t="shared" si="8"/>
        <v>0</v>
      </c>
      <c r="AB31" s="65">
        <f t="shared" si="9"/>
        <v>0</v>
      </c>
      <c r="AC31" s="576">
        <f t="shared" si="5"/>
        <v>0</v>
      </c>
      <c r="AD31" s="65">
        <f t="shared" si="10"/>
        <v>0</v>
      </c>
      <c r="AE31" s="577">
        <f t="shared" si="6"/>
        <v>0</v>
      </c>
    </row>
    <row r="32" spans="1:31" ht="14.65" thickBot="1">
      <c r="A32" s="15" t="str">
        <f>Inputs!A41</f>
        <v>New Project 11</v>
      </c>
      <c r="B32" s="9">
        <f>Inputs!B41</f>
        <v>12</v>
      </c>
      <c r="C32" s="9" t="str">
        <f>'Sys Admin'!F53</f>
        <v>Low</v>
      </c>
      <c r="D32" s="9" t="str">
        <f>'Sys Admin'!O53</f>
        <v>Prospective</v>
      </c>
      <c r="E32" s="609">
        <f>'Sys Admin Calculation Y4'!E32</f>
        <v>0</v>
      </c>
      <c r="F32" s="612">
        <f>'Sys Admin Calculation Y4'!Z32*(1+('Sys Admin'!$AG$21/100))</f>
        <v>0</v>
      </c>
      <c r="G32" s="612">
        <f>'Sys Admin Calculation Y4'!AA32*(1+('Sys Admin'!$AG$21/100))</f>
        <v>0</v>
      </c>
      <c r="H32" s="506"/>
      <c r="I32" s="506"/>
      <c r="J32" s="506"/>
      <c r="K32" s="506"/>
      <c r="L32" s="506"/>
      <c r="M32" s="506"/>
      <c r="N32" s="506"/>
      <c r="O32" s="506"/>
      <c r="P32" s="506"/>
      <c r="Q32" s="506"/>
      <c r="R32" s="506"/>
      <c r="S32" s="506"/>
      <c r="T32" s="575" t="str">
        <f>'Sys Admin'!AE53</f>
        <v>None</v>
      </c>
      <c r="U32" s="575" t="str">
        <f>'Sys Admin'!AG53</f>
        <v>Prospective</v>
      </c>
      <c r="V32" s="575">
        <f>'Sys Admin'!AI53</f>
        <v>0</v>
      </c>
      <c r="W32" s="576">
        <f>IF(AND(V95=1, 'Sys Admin Calculation'!X81=0, 'Sys Admin Calculation Y2'!V93=0, 'Sys Admin Calculation Y3'!V95=0, 'Sys Admin Calculation Y4'!V95=0), VLOOKUP(U32&amp;T32,$N$48:$Q$65,4,FALSE), VLOOKUP(U32&amp;T32,$N$66:$Q$70,4,FALSE))</f>
        <v>0</v>
      </c>
      <c r="X32" s="563">
        <f t="shared" si="2"/>
        <v>0</v>
      </c>
      <c r="Y32" s="563">
        <f>IF(AND(V95=1,'Sys Admin Calculation'!X81=0, 'Sys Admin Calculation Y2'!V93=0, 'Sys Admin Calculation Y3'!V95=0, 'Sys Admin Calculation Y4'!V95=0),  VLOOKUP(T32,$P$71:$Q$74,2,FALSE), IF(AND(V113=1, OR('Sys Admin Calculation'!X99=1, 'Sys Admin Calculation Y2'!V111=1, 'Sys Admin Calculation Y3'!V113=1, 'Sys Admin Calculation Y4'!V95=1)), 0,IF(U32&lt;&gt;"Active", 0, W32*X32)))</f>
        <v>0</v>
      </c>
      <c r="Z32" s="65">
        <f t="shared" si="7"/>
        <v>0</v>
      </c>
      <c r="AA32" s="65">
        <f t="shared" si="8"/>
        <v>0</v>
      </c>
      <c r="AB32" s="65">
        <f t="shared" si="9"/>
        <v>0</v>
      </c>
      <c r="AC32" s="576">
        <f t="shared" si="5"/>
        <v>0</v>
      </c>
      <c r="AD32" s="65">
        <f t="shared" si="10"/>
        <v>0</v>
      </c>
      <c r="AE32" s="577">
        <f t="shared" si="6"/>
        <v>0</v>
      </c>
    </row>
    <row r="33" spans="1:31" ht="14.65" thickBot="1">
      <c r="A33" s="15" t="str">
        <f>Inputs!A42</f>
        <v>New Project 12</v>
      </c>
      <c r="B33" s="9">
        <f>Inputs!B42</f>
        <v>12</v>
      </c>
      <c r="C33" s="9" t="str">
        <f>'Sys Admin'!F54</f>
        <v>Low</v>
      </c>
      <c r="D33" s="9" t="str">
        <f>'Sys Admin'!O54</f>
        <v>Prospective</v>
      </c>
      <c r="E33" s="609">
        <f>'Sys Admin Calculation Y4'!E33</f>
        <v>0</v>
      </c>
      <c r="F33" s="612">
        <f>'Sys Admin Calculation Y4'!Z33*(1+('Sys Admin'!$AG$21/100))</f>
        <v>0</v>
      </c>
      <c r="G33" s="612">
        <f>'Sys Admin Calculation Y4'!AA33*(1+('Sys Admin'!$AG$21/100))</f>
        <v>0</v>
      </c>
      <c r="H33" s="506"/>
      <c r="I33" s="506"/>
      <c r="J33" s="506"/>
      <c r="K33" s="506"/>
      <c r="L33" s="506"/>
      <c r="M33" s="506"/>
      <c r="N33" s="506"/>
      <c r="O33" s="506"/>
      <c r="P33" s="506"/>
      <c r="Q33" s="506"/>
      <c r="R33" s="506"/>
      <c r="S33" s="506"/>
      <c r="T33" s="575" t="str">
        <f>'Sys Admin'!AE54</f>
        <v>None</v>
      </c>
      <c r="U33" s="575" t="str">
        <f>'Sys Admin'!AG54</f>
        <v>Prospective</v>
      </c>
      <c r="V33" s="575">
        <f>'Sys Admin'!AI54</f>
        <v>0</v>
      </c>
      <c r="W33" s="576">
        <f>IF(AND(V96=1, 'Sys Admin Calculation'!X82=0, 'Sys Admin Calculation Y2'!V94=0, 'Sys Admin Calculation Y3'!V96=0, 'Sys Admin Calculation Y4'!V96=0), VLOOKUP(U33&amp;T33,$N$48:$Q$65,4,FALSE), VLOOKUP(U33&amp;T33,$N$66:$Q$70,4,FALSE))</f>
        <v>0</v>
      </c>
      <c r="X33" s="563">
        <f t="shared" si="2"/>
        <v>0</v>
      </c>
      <c r="Y33" s="563">
        <f>IF(AND(V96=1,'Sys Admin Calculation'!X82=0, 'Sys Admin Calculation Y2'!V94=0, 'Sys Admin Calculation Y3'!V96=0, 'Sys Admin Calculation Y4'!V96=0),  VLOOKUP(T33,$P$71:$Q$74,2,FALSE), IF(AND(V114=1, OR('Sys Admin Calculation'!X100=1, 'Sys Admin Calculation Y2'!V112=1, 'Sys Admin Calculation Y3'!V114=1, 'Sys Admin Calculation Y4'!V96=1)), 0,IF(U33&lt;&gt;"Active", 0, W33*X33)))</f>
        <v>0</v>
      </c>
      <c r="Z33" s="65">
        <f t="shared" si="7"/>
        <v>0</v>
      </c>
      <c r="AA33" s="65">
        <f t="shared" si="8"/>
        <v>0</v>
      </c>
      <c r="AB33" s="65">
        <f t="shared" si="9"/>
        <v>0</v>
      </c>
      <c r="AC33" s="576">
        <f t="shared" si="5"/>
        <v>0</v>
      </c>
      <c r="AD33" s="65">
        <f t="shared" si="10"/>
        <v>0</v>
      </c>
      <c r="AE33" s="577">
        <f t="shared" si="6"/>
        <v>0</v>
      </c>
    </row>
    <row r="34" spans="1:31" ht="14.65" thickBot="1">
      <c r="A34" s="15" t="str">
        <f>Inputs!A43</f>
        <v>New Project 13</v>
      </c>
      <c r="B34" s="9">
        <f>Inputs!B43</f>
        <v>12</v>
      </c>
      <c r="C34" s="9" t="str">
        <f>'Sys Admin'!F55</f>
        <v>Low</v>
      </c>
      <c r="D34" s="9" t="str">
        <f>'Sys Admin'!O55</f>
        <v>Prospective</v>
      </c>
      <c r="E34" s="609">
        <f>'Sys Admin Calculation Y4'!E34</f>
        <v>0</v>
      </c>
      <c r="F34" s="612">
        <f>'Sys Admin Calculation Y4'!Z34*(1+('Sys Admin'!$AG$21/100))</f>
        <v>0</v>
      </c>
      <c r="G34" s="612">
        <f>'Sys Admin Calculation Y4'!AA34*(1+('Sys Admin'!$AG$21/100))</f>
        <v>0</v>
      </c>
      <c r="H34" s="506"/>
      <c r="I34" s="506"/>
      <c r="J34" s="506"/>
      <c r="K34" s="506"/>
      <c r="L34" s="506"/>
      <c r="M34" s="506"/>
      <c r="N34" s="506"/>
      <c r="O34" s="506"/>
      <c r="P34" s="506"/>
      <c r="Q34" s="506"/>
      <c r="R34" s="506"/>
      <c r="S34" s="506"/>
      <c r="T34" s="575" t="str">
        <f>'Sys Admin'!AE55</f>
        <v>None</v>
      </c>
      <c r="U34" s="575" t="str">
        <f>'Sys Admin'!AG55</f>
        <v>Prospective</v>
      </c>
      <c r="V34" s="575">
        <f>'Sys Admin'!AI55</f>
        <v>0</v>
      </c>
      <c r="W34" s="576">
        <f>IF(AND(V97=1, 'Sys Admin Calculation'!X83=0, 'Sys Admin Calculation Y2'!V95=0, 'Sys Admin Calculation Y3'!V97=0, 'Sys Admin Calculation Y4'!V97=0), VLOOKUP(U34&amp;T34,$N$48:$Q$65,4,FALSE), VLOOKUP(U34&amp;T34,$N$66:$Q$70,4,FALSE))</f>
        <v>0</v>
      </c>
      <c r="X34" s="563">
        <f t="shared" si="2"/>
        <v>0</v>
      </c>
      <c r="Y34" s="563">
        <f>IF(AND(V97=1,'Sys Admin Calculation'!X83=0, 'Sys Admin Calculation Y2'!V95=0, 'Sys Admin Calculation Y3'!V97=0, 'Sys Admin Calculation Y4'!V97=0),  VLOOKUP(T34,$P$71:$Q$74,2,FALSE), IF(AND(V115=1, OR('Sys Admin Calculation'!X101=1, 'Sys Admin Calculation Y2'!V113=1, 'Sys Admin Calculation Y3'!V115=1, 'Sys Admin Calculation Y4'!V97=1)), 0,IF(U34&lt;&gt;"Active", 0, W34*X34)))</f>
        <v>0</v>
      </c>
      <c r="Z34" s="65">
        <f t="shared" si="7"/>
        <v>0</v>
      </c>
      <c r="AA34" s="65">
        <f t="shared" si="8"/>
        <v>0</v>
      </c>
      <c r="AB34" s="65">
        <f t="shared" si="9"/>
        <v>0</v>
      </c>
      <c r="AC34" s="576">
        <f t="shared" si="5"/>
        <v>0</v>
      </c>
      <c r="AD34" s="65">
        <f t="shared" si="10"/>
        <v>0</v>
      </c>
      <c r="AE34" s="577">
        <f t="shared" si="6"/>
        <v>0</v>
      </c>
    </row>
    <row r="35" spans="1:31" ht="14.65" thickBot="1">
      <c r="A35" s="15" t="str">
        <f>Inputs!A44</f>
        <v>New Project 14</v>
      </c>
      <c r="B35" s="9">
        <f>Inputs!B44</f>
        <v>12</v>
      </c>
      <c r="C35" s="9" t="str">
        <f>'Sys Admin'!F56</f>
        <v>Low</v>
      </c>
      <c r="D35" s="9" t="str">
        <f>'Sys Admin'!O56</f>
        <v>Prospective</v>
      </c>
      <c r="E35" s="609">
        <f>'Sys Admin Calculation Y4'!E35</f>
        <v>0</v>
      </c>
      <c r="F35" s="612">
        <f>'Sys Admin Calculation Y4'!Z35*(1+('Sys Admin'!$AG$21/100))</f>
        <v>0</v>
      </c>
      <c r="G35" s="612">
        <f>'Sys Admin Calculation Y4'!AA35*(1+('Sys Admin'!$AG$21/100))</f>
        <v>0</v>
      </c>
      <c r="H35" s="506"/>
      <c r="I35" s="506"/>
      <c r="J35" s="506"/>
      <c r="K35" s="506"/>
      <c r="L35" s="506"/>
      <c r="M35" s="506"/>
      <c r="N35" s="506"/>
      <c r="O35" s="506"/>
      <c r="P35" s="506"/>
      <c r="Q35" s="506"/>
      <c r="R35" s="506"/>
      <c r="S35" s="506"/>
      <c r="T35" s="575" t="str">
        <f>'Sys Admin'!AE56</f>
        <v>None</v>
      </c>
      <c r="U35" s="575" t="str">
        <f>'Sys Admin'!AG56</f>
        <v>Prospective</v>
      </c>
      <c r="V35" s="575">
        <f>'Sys Admin'!AI56</f>
        <v>0</v>
      </c>
      <c r="W35" s="576">
        <f>IF(AND(V98=1, 'Sys Admin Calculation'!X84=0, 'Sys Admin Calculation Y2'!V96=0, 'Sys Admin Calculation Y3'!V98=0, 'Sys Admin Calculation Y4'!V98=0), VLOOKUP(U35&amp;T35,$N$48:$Q$65,4,FALSE), VLOOKUP(U35&amp;T35,$N$66:$Q$70,4,FALSE))</f>
        <v>0</v>
      </c>
      <c r="X35" s="563">
        <f t="shared" si="2"/>
        <v>0</v>
      </c>
      <c r="Y35" s="563">
        <f>IF(AND(V98=1,'Sys Admin Calculation'!X84=0, 'Sys Admin Calculation Y2'!V96=0, 'Sys Admin Calculation Y3'!V98=0, 'Sys Admin Calculation Y4'!V98=0),  VLOOKUP(T35,$P$71:$Q$74,2,FALSE), IF(AND(V116=1, OR('Sys Admin Calculation'!X102=1, 'Sys Admin Calculation Y2'!V114=1, 'Sys Admin Calculation Y3'!V116=1, 'Sys Admin Calculation Y4'!V98=1)), 0,IF(U35&lt;&gt;"Active", 0, W35*X35)))</f>
        <v>0</v>
      </c>
      <c r="Z35" s="65">
        <f t="shared" si="7"/>
        <v>0</v>
      </c>
      <c r="AA35" s="65">
        <f t="shared" si="8"/>
        <v>0</v>
      </c>
      <c r="AB35" s="65">
        <f t="shared" si="9"/>
        <v>0</v>
      </c>
      <c r="AC35" s="576">
        <f t="shared" si="5"/>
        <v>0</v>
      </c>
      <c r="AD35" s="65">
        <f t="shared" si="10"/>
        <v>0</v>
      </c>
      <c r="AE35" s="577">
        <f t="shared" si="6"/>
        <v>0</v>
      </c>
    </row>
    <row r="36" spans="1:31" ht="14.65" thickBot="1">
      <c r="A36" s="18" t="str">
        <f>Inputs!A45</f>
        <v>New Project 15</v>
      </c>
      <c r="B36" s="19">
        <f>Inputs!B45</f>
        <v>12</v>
      </c>
      <c r="C36" s="19" t="str">
        <f>'Sys Admin'!F57</f>
        <v>Low</v>
      </c>
      <c r="D36" s="19" t="str">
        <f>'Sys Admin'!O57</f>
        <v>Prospective</v>
      </c>
      <c r="E36" s="610">
        <f>'Sys Admin Calculation Y4'!E36</f>
        <v>0</v>
      </c>
      <c r="F36" s="612">
        <f>'Sys Admin Calculation Y4'!Z36*(1+('Sys Admin'!$AG$21/100))</f>
        <v>0</v>
      </c>
      <c r="G36" s="612">
        <f>'Sys Admin Calculation Y4'!AA36*(1+('Sys Admin'!$AG$21/100))</f>
        <v>0</v>
      </c>
      <c r="H36" s="565"/>
      <c r="I36" s="565"/>
      <c r="J36" s="565"/>
      <c r="K36" s="565"/>
      <c r="L36" s="565"/>
      <c r="M36" s="565"/>
      <c r="N36" s="565"/>
      <c r="O36" s="565"/>
      <c r="P36" s="565"/>
      <c r="Q36" s="565"/>
      <c r="R36" s="565"/>
      <c r="S36" s="565"/>
      <c r="T36" s="580" t="str">
        <f>'Sys Admin'!AE57</f>
        <v>None</v>
      </c>
      <c r="U36" s="580" t="str">
        <f>'Sys Admin'!AG57</f>
        <v>Prospective</v>
      </c>
      <c r="V36" s="580">
        <f>'Sys Admin'!AI57</f>
        <v>0</v>
      </c>
      <c r="W36" s="581">
        <f>IF(AND(V99=1, 'Sys Admin Calculation'!X85=0, 'Sys Admin Calculation Y2'!V97=0, 'Sys Admin Calculation Y3'!V99=0, 'Sys Admin Calculation Y4'!V99=0), VLOOKUP(U36&amp;T36,$N$48:$Q$65,4,FALSE), VLOOKUP(U36&amp;T36,$N$66:$Q$70,4,FALSE))</f>
        <v>0</v>
      </c>
      <c r="X36" s="566">
        <f t="shared" si="2"/>
        <v>0</v>
      </c>
      <c r="Y36" s="566">
        <f>IF(AND(V99=1,'Sys Admin Calculation'!X85=0, 'Sys Admin Calculation Y2'!V97=0, 'Sys Admin Calculation Y3'!V99=0, 'Sys Admin Calculation Y4'!V99=0),  VLOOKUP(T36,$P$71:$Q$74,2,FALSE), IF(AND(V117=1, OR('Sys Admin Calculation'!X103=1, 'Sys Admin Calculation Y2'!V115=1, 'Sys Admin Calculation Y3'!V117=1, 'Sys Admin Calculation Y4'!V99=1)), 0,IF(U36&lt;&gt;"Active", 0, W36*X36)))</f>
        <v>0</v>
      </c>
      <c r="Z36" s="547">
        <f t="shared" si="7"/>
        <v>0</v>
      </c>
      <c r="AA36" s="547">
        <f t="shared" si="8"/>
        <v>0</v>
      </c>
      <c r="AB36" s="547">
        <f t="shared" si="9"/>
        <v>0</v>
      </c>
      <c r="AC36" s="581">
        <f t="shared" si="5"/>
        <v>0</v>
      </c>
      <c r="AD36" s="547">
        <f t="shared" si="10"/>
        <v>0</v>
      </c>
      <c r="AE36" s="582">
        <f t="shared" si="6"/>
        <v>0</v>
      </c>
    </row>
    <row r="37" spans="1:31">
      <c r="W37" s="137"/>
      <c r="Y37" s="137">
        <f t="shared" ref="Y37:AE37" si="11">SUM(Y5:Y36)</f>
        <v>0</v>
      </c>
      <c r="Z37" s="137">
        <f t="shared" si="11"/>
        <v>45548.992368000007</v>
      </c>
      <c r="AA37" s="137">
        <f t="shared" si="11"/>
        <v>25382.032368000007</v>
      </c>
      <c r="AB37" s="137">
        <f t="shared" si="11"/>
        <v>869752.39679999999</v>
      </c>
      <c r="AC37" s="145">
        <f t="shared" si="11"/>
        <v>260000</v>
      </c>
      <c r="AD37" s="137">
        <f t="shared" si="11"/>
        <v>194733.3456</v>
      </c>
      <c r="AE37" s="72">
        <f t="shared" si="11"/>
        <v>1395416.7671360001</v>
      </c>
    </row>
    <row r="38" spans="1:31">
      <c r="E38" s="824" t="s">
        <v>68</v>
      </c>
      <c r="F38" s="824"/>
      <c r="G38" s="824"/>
      <c r="H38" s="824"/>
      <c r="I38" s="824"/>
    </row>
    <row r="39" spans="1:31">
      <c r="A39" t="s">
        <v>310</v>
      </c>
      <c r="B39" t="s">
        <v>301</v>
      </c>
      <c r="E39" t="str">
        <f>E4</f>
        <v>Enablement Cost</v>
      </c>
      <c r="F39" t="str">
        <f>F4</f>
        <v>Data Related Cost</v>
      </c>
      <c r="G39" t="str">
        <f>G4</f>
        <v>Analysts Cost</v>
      </c>
      <c r="H39" t="str">
        <f>H4</f>
        <v>Overhead Costs</v>
      </c>
      <c r="I39" t="str">
        <f>I4</f>
        <v>Platform Services</v>
      </c>
      <c r="J39" t="s">
        <v>340</v>
      </c>
      <c r="K39" t="s">
        <v>341</v>
      </c>
      <c r="L39" t="s">
        <v>342</v>
      </c>
      <c r="M39" t="s">
        <v>12</v>
      </c>
      <c r="N39" t="s">
        <v>185</v>
      </c>
      <c r="O39" t="s">
        <v>40</v>
      </c>
      <c r="P39" t="s">
        <v>312</v>
      </c>
      <c r="Q39" t="s">
        <v>275</v>
      </c>
      <c r="R39" t="s">
        <v>184</v>
      </c>
      <c r="S39" t="s">
        <v>198</v>
      </c>
      <c r="T39" t="s">
        <v>199</v>
      </c>
      <c r="U39" t="s">
        <v>200</v>
      </c>
      <c r="V39" t="s">
        <v>192</v>
      </c>
    </row>
    <row r="40" spans="1:31">
      <c r="A40" t="e">
        <f>'Sys Admin'!#REF!</f>
        <v>#REF!</v>
      </c>
      <c r="B40" t="e">
        <f>'Sys Admin'!#REF!</f>
        <v>#REF!</v>
      </c>
      <c r="D40" t="s">
        <v>83</v>
      </c>
      <c r="E40" s="144">
        <f>'Enablement Services '!E22</f>
        <v>18000</v>
      </c>
      <c r="F40" s="144">
        <v>0</v>
      </c>
      <c r="G40" s="144">
        <v>0</v>
      </c>
      <c r="H40" s="144">
        <f>L49</f>
        <v>1</v>
      </c>
      <c r="I40" s="144">
        <f>L56</f>
        <v>1</v>
      </c>
      <c r="J40" s="145" t="e">
        <f>B40*Q40*E40</f>
        <v>#REF!</v>
      </c>
      <c r="K40" s="145" t="e">
        <f>F40*B40*(12-A40)</f>
        <v>#REF!</v>
      </c>
      <c r="L40" t="e">
        <f>G40*B40*(12-A40)</f>
        <v>#REF!</v>
      </c>
      <c r="M40" s="72" t="e">
        <f>H40*Q40*B40</f>
        <v>#REF!</v>
      </c>
      <c r="N40" s="72" t="e">
        <f>I40*B40*Q40</f>
        <v>#REF!</v>
      </c>
      <c r="O40" s="144" t="e">
        <f>SUM(J40:N40)</f>
        <v>#REF!</v>
      </c>
      <c r="P40" s="145" t="e">
        <f>O40</f>
        <v>#REF!</v>
      </c>
      <c r="Q40">
        <v>1</v>
      </c>
      <c r="R40" t="s">
        <v>83</v>
      </c>
      <c r="S40" s="145"/>
    </row>
    <row r="41" spans="1:31">
      <c r="A41" t="e">
        <f>'Sys Admin'!#REF!</f>
        <v>#REF!</v>
      </c>
      <c r="B41" t="e">
        <f>'Sys Admin'!#REF!</f>
        <v>#REF!</v>
      </c>
      <c r="D41" t="s">
        <v>30</v>
      </c>
      <c r="E41" s="144">
        <f>'Enablement Services '!E23+'Enablement Services '!E24</f>
        <v>40000</v>
      </c>
      <c r="F41" s="144">
        <v>0</v>
      </c>
      <c r="G41" s="144">
        <v>0</v>
      </c>
      <c r="H41" s="144">
        <f>L50</f>
        <v>1</v>
      </c>
      <c r="I41" s="144">
        <f>L57</f>
        <v>1</v>
      </c>
      <c r="J41" s="145" t="e">
        <f>B41*Q41*E41</f>
        <v>#REF!</v>
      </c>
      <c r="K41" t="e">
        <f>F41*B41*(12-A41)</f>
        <v>#REF!</v>
      </c>
      <c r="L41" t="e">
        <f>G41*B41*(12-A41)</f>
        <v>#REF!</v>
      </c>
      <c r="M41" s="72" t="e">
        <f>H41*Q41*B41</f>
        <v>#REF!</v>
      </c>
      <c r="N41" s="72" t="e">
        <f>I41*B41*Q41</f>
        <v>#REF!</v>
      </c>
      <c r="O41" s="144">
        <f>E41*Q41+F41+G41+H41+I41</f>
        <v>40002</v>
      </c>
      <c r="P41" t="e">
        <f>'Sys Admin Calculation Y5'!O41*B41</f>
        <v>#REF!</v>
      </c>
      <c r="Q41">
        <v>1</v>
      </c>
      <c r="R41" t="s">
        <v>30</v>
      </c>
      <c r="S41" s="145"/>
      <c r="V41" s="146">
        <v>5000</v>
      </c>
    </row>
    <row r="42" spans="1:31">
      <c r="A42" t="e">
        <f>'Sys Admin'!#REF!</f>
        <v>#REF!</v>
      </c>
      <c r="B42" t="e">
        <f>'Sys Admin'!#REF!</f>
        <v>#REF!</v>
      </c>
      <c r="D42" t="s">
        <v>313</v>
      </c>
      <c r="E42" s="144">
        <f>'Prospective Project Calculation'!X2</f>
        <v>4600</v>
      </c>
      <c r="F42" s="144">
        <f>'Prospective Project Calculation'!S2</f>
        <v>2056.34</v>
      </c>
      <c r="G42" s="144">
        <f>'Prospective Project Calculation'!P2</f>
        <v>375.76</v>
      </c>
      <c r="H42" s="144">
        <f>$L$51</f>
        <v>7247.9366399999999</v>
      </c>
      <c r="I42" s="144">
        <f>$L$58</f>
        <v>1622.7778800000001</v>
      </c>
      <c r="J42" t="e">
        <f>E42*MIN(6,(12-A42))*B42</f>
        <v>#REF!</v>
      </c>
      <c r="K42" t="e">
        <f>(F42*(1+0.05)^(12-A42))*B42</f>
        <v>#REF!</v>
      </c>
      <c r="L42" t="e">
        <f>(G42*(1+0.05)^(12-A42))*B42</f>
        <v>#REF!</v>
      </c>
      <c r="M42" t="e">
        <f>H42*(12-A42)*B42</f>
        <v>#REF!</v>
      </c>
      <c r="N42" t="e">
        <f>I42*(12-A42)*B42</f>
        <v>#REF!</v>
      </c>
      <c r="O42" s="144" t="e">
        <f>SUM(J42:N42)</f>
        <v>#REF!</v>
      </c>
      <c r="P42" s="145" t="e">
        <f>O42</f>
        <v>#REF!</v>
      </c>
      <c r="Q42" t="e">
        <f>'Sys Admin'!#REF!</f>
        <v>#REF!</v>
      </c>
      <c r="R42" t="s">
        <v>8</v>
      </c>
      <c r="S42" s="145">
        <f>E42</f>
        <v>4600</v>
      </c>
      <c r="T42" s="145">
        <f>E43</f>
        <v>4600</v>
      </c>
      <c r="U42" s="145">
        <f>E44</f>
        <v>0</v>
      </c>
    </row>
    <row r="43" spans="1:31">
      <c r="A43" t="e">
        <f>'Sys Admin'!#REF!</f>
        <v>#REF!</v>
      </c>
      <c r="B43" t="e">
        <f>'Sys Admin'!#REF!</f>
        <v>#REF!</v>
      </c>
      <c r="D43" t="s">
        <v>314</v>
      </c>
      <c r="E43" s="144">
        <f>'Prospective Project Calculation'!W2</f>
        <v>4600</v>
      </c>
      <c r="F43" s="144">
        <f>'Prospective Project Calculation'!R2</f>
        <v>853.07416666666666</v>
      </c>
      <c r="G43" s="144">
        <f>'Prospective Project Calculation'!O2</f>
        <v>250.50666666666666</v>
      </c>
      <c r="H43" s="144">
        <f>$L$51</f>
        <v>7247.9366399999999</v>
      </c>
      <c r="I43" s="144">
        <f>$L$58</f>
        <v>1622.7778800000001</v>
      </c>
      <c r="J43" t="e">
        <f>E43*MIN(4,(12-A43))*B43</f>
        <v>#REF!</v>
      </c>
      <c r="K43" t="e">
        <f>(F43*(1+0.05)^(12-A43))*B43</f>
        <v>#REF!</v>
      </c>
      <c r="L43" t="e">
        <f>(G43*(1+0.05)^(12-A43))*B43</f>
        <v>#REF!</v>
      </c>
      <c r="M43" t="e">
        <f>H43*(12-A43)*B43</f>
        <v>#REF!</v>
      </c>
      <c r="N43" t="e">
        <f>I43*(12-A43)*B43</f>
        <v>#REF!</v>
      </c>
      <c r="O43" s="144" t="e">
        <f>SUM(J43:N43)</f>
        <v>#REF!</v>
      </c>
      <c r="P43" s="145" t="e">
        <f>O43</f>
        <v>#REF!</v>
      </c>
      <c r="Q43" t="e">
        <f>'Sys Admin'!#REF!</f>
        <v>#REF!</v>
      </c>
    </row>
    <row r="44" spans="1:31">
      <c r="A44" t="e">
        <f>'Sys Admin'!#REF!</f>
        <v>#REF!</v>
      </c>
      <c r="B44" t="e">
        <f>'Sys Admin'!#REF!</f>
        <v>#REF!</v>
      </c>
      <c r="D44" t="s">
        <v>315</v>
      </c>
      <c r="E44" s="144">
        <f>'Prospective Project Calculation'!V2</f>
        <v>0</v>
      </c>
      <c r="F44" s="144">
        <f>'Prospective Project Calculation'!Q2</f>
        <v>435.04333333333335</v>
      </c>
      <c r="G44" s="144">
        <f>'Prospective Project Calculation'!N2</f>
        <v>125.25333333333333</v>
      </c>
      <c r="H44" s="144">
        <f>$L$51</f>
        <v>7247.9366399999999</v>
      </c>
      <c r="I44" s="144">
        <f>$L$58</f>
        <v>1622.7778800000001</v>
      </c>
      <c r="J44" t="e">
        <f>E44*MIN(2,(12-A44))*B44</f>
        <v>#REF!</v>
      </c>
      <c r="K44" t="e">
        <f>(F44*(1+0.05)^(12-A44))*B44</f>
        <v>#REF!</v>
      </c>
      <c r="L44" t="e">
        <f>(G44*(1+0.05)^(12-A44))*B44</f>
        <v>#REF!</v>
      </c>
      <c r="M44" t="e">
        <f>H44*(12-A44)*B44</f>
        <v>#REF!</v>
      </c>
      <c r="N44" t="e">
        <f>I44*(12-A44)*B44</f>
        <v>#REF!</v>
      </c>
      <c r="O44" s="144" t="e">
        <f>SUM(J44:N44)</f>
        <v>#REF!</v>
      </c>
      <c r="P44" s="145" t="e">
        <f>O44</f>
        <v>#REF!</v>
      </c>
      <c r="Q44" t="e">
        <f>'Sys Admin'!#REF!</f>
        <v>#REF!</v>
      </c>
    </row>
    <row r="45" spans="1:31">
      <c r="J45" s="145" t="e">
        <f>SUM(J40:J44)</f>
        <v>#REF!</v>
      </c>
      <c r="K45" s="145" t="e">
        <f>SUM(K40:K44)</f>
        <v>#REF!</v>
      </c>
      <c r="L45" s="145" t="e">
        <f>SUM(L40:L44)</f>
        <v>#REF!</v>
      </c>
      <c r="M45" s="145" t="e">
        <f>SUM(M40:M44)</f>
        <v>#REF!</v>
      </c>
      <c r="N45" s="145" t="e">
        <f>SUM(N40:N44)</f>
        <v>#REF!</v>
      </c>
    </row>
    <row r="46" spans="1:31">
      <c r="F46" t="s">
        <v>325</v>
      </c>
      <c r="G46" t="s">
        <v>326</v>
      </c>
      <c r="H46" t="s">
        <v>230</v>
      </c>
      <c r="T46" t="s">
        <v>8</v>
      </c>
      <c r="U46" t="s">
        <v>31</v>
      </c>
      <c r="V46" t="str">
        <f>T46&amp;U46</f>
        <v>ActiveHigh</v>
      </c>
      <c r="W46">
        <v>6</v>
      </c>
      <c r="X46" s="145">
        <f t="shared" ref="X46:Y48" si="12">F42</f>
        <v>2056.34</v>
      </c>
      <c r="Y46" s="145">
        <f t="shared" si="12"/>
        <v>375.76</v>
      </c>
    </row>
    <row r="47" spans="1:31" ht="14.65" thickBot="1">
      <c r="A47" s="448" t="s">
        <v>316</v>
      </c>
      <c r="B47" s="448"/>
      <c r="C47" s="448"/>
      <c r="D47" s="448" t="s">
        <v>295</v>
      </c>
      <c r="E47" s="448" t="s">
        <v>307</v>
      </c>
      <c r="F47" s="448" t="s">
        <v>40</v>
      </c>
      <c r="H47" t="s">
        <v>12</v>
      </c>
      <c r="T47" t="s">
        <v>8</v>
      </c>
      <c r="U47" t="s">
        <v>32</v>
      </c>
      <c r="V47" t="str">
        <f>T47&amp;U47</f>
        <v>ActiveMedium</v>
      </c>
      <c r="W47">
        <v>4</v>
      </c>
      <c r="X47" s="145">
        <f t="shared" si="12"/>
        <v>853.07416666666666</v>
      </c>
      <c r="Y47" s="145">
        <f t="shared" si="12"/>
        <v>250.50666666666666</v>
      </c>
    </row>
    <row r="48" spans="1:31">
      <c r="A48" s="448" t="str">
        <f>'Platform Overhead C '!A24</f>
        <v>Platform DevOps (including testing, features)</v>
      </c>
      <c r="B48" s="448"/>
      <c r="C48" s="448"/>
      <c r="D48" s="448">
        <f>'Sys Admin'!U19</f>
        <v>1.5</v>
      </c>
      <c r="E48" s="487">
        <f>D48*'Rate Sheet'!B4*'Rate Sheet'!B9</f>
        <v>36720</v>
      </c>
      <c r="F48" s="487">
        <f>E48*12</f>
        <v>440640</v>
      </c>
      <c r="H48" s="44" t="s">
        <v>66</v>
      </c>
      <c r="I48" s="45" t="s">
        <v>69</v>
      </c>
      <c r="J48" s="45" t="s">
        <v>68</v>
      </c>
      <c r="K48" s="45" t="s">
        <v>101</v>
      </c>
      <c r="L48" s="46" t="s">
        <v>70</v>
      </c>
      <c r="N48" t="s">
        <v>332</v>
      </c>
      <c r="O48" t="s">
        <v>330</v>
      </c>
      <c r="P48" t="s">
        <v>331</v>
      </c>
      <c r="Q48" t="s">
        <v>307</v>
      </c>
      <c r="T48" t="s">
        <v>8</v>
      </c>
      <c r="U48" t="s">
        <v>33</v>
      </c>
      <c r="V48" t="str">
        <f>T48&amp;U48</f>
        <v>ActiveLow</v>
      </c>
      <c r="W48">
        <v>2</v>
      </c>
      <c r="X48" s="145">
        <f t="shared" si="12"/>
        <v>435.04333333333335</v>
      </c>
      <c r="Y48" s="145">
        <f t="shared" si="12"/>
        <v>125.25333333333333</v>
      </c>
    </row>
    <row r="49" spans="1:17">
      <c r="A49" s="448" t="str">
        <f>'Platform Overhead C '!A25</f>
        <v>Standard O&amp;M/Support</v>
      </c>
      <c r="B49" s="448"/>
      <c r="C49" s="448"/>
      <c r="D49" s="448">
        <f>'Sys Admin'!U20</f>
        <v>1.5</v>
      </c>
      <c r="E49" s="487">
        <f>D49*'Rate Sheet'!B5*'Rate Sheet'!B9</f>
        <v>34320</v>
      </c>
      <c r="F49" s="487">
        <f>E49*12</f>
        <v>411840</v>
      </c>
      <c r="H49" s="15" t="s">
        <v>228</v>
      </c>
      <c r="I49" s="43">
        <f>'Platform Overhead C '!J21</f>
        <v>0.05</v>
      </c>
      <c r="J49" s="11">
        <f>$G$50*I49</f>
        <v>6039.9472000000005</v>
      </c>
      <c r="K49" s="27">
        <f>'Sys Admin'!AG10</f>
        <v>0</v>
      </c>
      <c r="L49" s="17">
        <f>IF(K49&lt;&gt;0,J49/K49,1)</f>
        <v>1</v>
      </c>
      <c r="N49" s="492" t="str">
        <f t="shared" ref="N49:N62" si="13">O49&amp;P49</f>
        <v>Planning/DiscoveryGold</v>
      </c>
      <c r="O49" s="492" t="s">
        <v>83</v>
      </c>
      <c r="P49" s="492" t="s">
        <v>198</v>
      </c>
      <c r="Q49" s="493">
        <f>'ESPO Calculator'!D73</f>
        <v>4600</v>
      </c>
    </row>
    <row r="50" spans="1:17">
      <c r="A50" s="448" t="s">
        <v>323</v>
      </c>
      <c r="B50" s="448"/>
      <c r="C50" s="448"/>
      <c r="D50" s="448"/>
      <c r="E50" s="487">
        <f>'Platform Overhead C '!F20</f>
        <v>272976</v>
      </c>
      <c r="F50" s="487">
        <f>SUM(F48:F49,E50)*(1+(4*(3/100)))</f>
        <v>1260510.7200000002</v>
      </c>
      <c r="G50" s="72">
        <f>F50/12* (1+'Rate Sheet'!B8)</f>
        <v>120798.944</v>
      </c>
      <c r="H50" s="15" t="s">
        <v>30</v>
      </c>
      <c r="I50" s="43">
        <f>'Platform Overhead C '!J22</f>
        <v>0.3</v>
      </c>
      <c r="J50" s="11">
        <f>$G$50*I50</f>
        <v>36239.683199999999</v>
      </c>
      <c r="K50" s="27">
        <f>'Sys Admin'!AG12</f>
        <v>0</v>
      </c>
      <c r="L50" s="17">
        <f>IF(K50=0,1,J50/K50)</f>
        <v>1</v>
      </c>
      <c r="N50" s="492" t="str">
        <f t="shared" si="13"/>
        <v>Planning/DiscoverySilver</v>
      </c>
      <c r="O50" s="492" t="s">
        <v>83</v>
      </c>
      <c r="P50" s="492" t="s">
        <v>199</v>
      </c>
      <c r="Q50" s="493">
        <f>'ESPO Calculator'!D56</f>
        <v>4600</v>
      </c>
    </row>
    <row r="51" spans="1:17">
      <c r="A51" s="448" t="s">
        <v>324</v>
      </c>
      <c r="B51" s="448"/>
      <c r="C51" s="448"/>
      <c r="D51" s="448"/>
      <c r="E51" s="448">
        <f>'Platform Overhead C '!M32*(1+((5*'Sys Admin'!$AG$21)/100))</f>
        <v>20284.7235</v>
      </c>
      <c r="F51" s="448"/>
      <c r="H51" s="15" t="s">
        <v>8</v>
      </c>
      <c r="I51" s="43">
        <f>'Platform Overhead C '!J23</f>
        <v>0.6</v>
      </c>
      <c r="J51" s="11">
        <f>$G$50*I51</f>
        <v>72479.366399999999</v>
      </c>
      <c r="K51" s="27">
        <f>'Sys Admin'!AG14</f>
        <v>10</v>
      </c>
      <c r="L51" s="17">
        <f>J51/K51</f>
        <v>7247.9366399999999</v>
      </c>
      <c r="N51" s="492" t="str">
        <f t="shared" si="13"/>
        <v>Planning/DiscoveryCustome</v>
      </c>
      <c r="O51" s="492" t="s">
        <v>83</v>
      </c>
      <c r="P51" s="492" t="s">
        <v>602</v>
      </c>
      <c r="Q51" s="493">
        <f>'Custom ESPO Selection'!D30</f>
        <v>0</v>
      </c>
    </row>
    <row r="52" spans="1:17">
      <c r="A52" s="448" t="s">
        <v>604</v>
      </c>
      <c r="B52" s="448"/>
      <c r="C52" s="448"/>
      <c r="D52" s="448"/>
      <c r="E52" s="448"/>
      <c r="F52" s="489">
        <f>Y100</f>
        <v>260000</v>
      </c>
      <c r="H52" s="15" t="s">
        <v>84</v>
      </c>
      <c r="I52" s="43">
        <f>'Platform Overhead C '!J24</f>
        <v>0.05</v>
      </c>
      <c r="J52" s="11">
        <f>$G$50*I52</f>
        <v>6039.9472000000005</v>
      </c>
      <c r="K52" s="27">
        <f>'Sys Admin'!AG16</f>
        <v>0</v>
      </c>
      <c r="L52" s="17">
        <f>IF(K52=0,1,J52/K52)</f>
        <v>1</v>
      </c>
      <c r="N52" s="492" t="str">
        <f t="shared" si="13"/>
        <v>Planning/DiscoveryNone</v>
      </c>
      <c r="O52" s="492" t="s">
        <v>83</v>
      </c>
      <c r="P52" s="492" t="s">
        <v>192</v>
      </c>
      <c r="Q52" s="493">
        <f>'Enablement Services '!C64</f>
        <v>0</v>
      </c>
    </row>
    <row r="53" spans="1:17">
      <c r="N53" s="492" t="str">
        <f t="shared" si="13"/>
        <v>OnboardingGold</v>
      </c>
      <c r="O53" s="492" t="s">
        <v>30</v>
      </c>
      <c r="P53" s="492" t="s">
        <v>198</v>
      </c>
      <c r="Q53" s="493">
        <f>'ESPO Calculator'!D74</f>
        <v>60075</v>
      </c>
    </row>
    <row r="54" spans="1:17" ht="14.65" thickBot="1">
      <c r="H54" t="s">
        <v>185</v>
      </c>
      <c r="N54" s="492" t="str">
        <f t="shared" si="13"/>
        <v>OnboardingSilver</v>
      </c>
      <c r="O54" s="492" t="s">
        <v>30</v>
      </c>
      <c r="P54" s="492" t="s">
        <v>199</v>
      </c>
      <c r="Q54" s="493">
        <f>'ESPO Calculator'!D57</f>
        <v>33125</v>
      </c>
    </row>
    <row r="55" spans="1:17">
      <c r="H55" s="44" t="s">
        <v>66</v>
      </c>
      <c r="I55" s="45" t="s">
        <v>69</v>
      </c>
      <c r="J55" s="45" t="s">
        <v>68</v>
      </c>
      <c r="K55" s="45" t="s">
        <v>101</v>
      </c>
      <c r="L55" s="46" t="s">
        <v>70</v>
      </c>
      <c r="N55" s="492" t="str">
        <f t="shared" si="13"/>
        <v>OnboardingCustome</v>
      </c>
      <c r="O55" s="492" t="s">
        <v>30</v>
      </c>
      <c r="P55" s="492" t="s">
        <v>602</v>
      </c>
      <c r="Q55" s="493">
        <f>'Custom ESPO Selection'!D31</f>
        <v>0</v>
      </c>
    </row>
    <row r="56" spans="1:17">
      <c r="H56" s="15" t="s">
        <v>228</v>
      </c>
      <c r="I56" s="43">
        <f>'Platform Overhead C '!J36</f>
        <v>0.05</v>
      </c>
      <c r="J56" s="11">
        <f>$E$51*I56</f>
        <v>1014.236175</v>
      </c>
      <c r="K56" s="27">
        <f>'Sys Admin'!AG10</f>
        <v>0</v>
      </c>
      <c r="L56" s="17">
        <f>IF(K56&lt;&gt;0,J56/K56,1)</f>
        <v>1</v>
      </c>
      <c r="N56" s="492" t="str">
        <f t="shared" si="13"/>
        <v>OnboardingNone</v>
      </c>
      <c r="O56" s="492" t="s">
        <v>30</v>
      </c>
      <c r="P56" s="492" t="s">
        <v>192</v>
      </c>
      <c r="Q56" s="493">
        <f>'Enablement Services '!C68</f>
        <v>0</v>
      </c>
    </row>
    <row r="57" spans="1:17">
      <c r="H57" s="15" t="s">
        <v>30</v>
      </c>
      <c r="I57" s="43">
        <f>'Platform Overhead C '!J37</f>
        <v>0.15</v>
      </c>
      <c r="J57" s="11">
        <f>$E$51*I57</f>
        <v>3042.708525</v>
      </c>
      <c r="K57" s="27">
        <f>'Sys Admin'!AG12</f>
        <v>0</v>
      </c>
      <c r="L57" s="17">
        <f>IF(K57=0,1,J57/K57)</f>
        <v>1</v>
      </c>
      <c r="N57" s="492" t="str">
        <f t="shared" si="13"/>
        <v>ActiveGold</v>
      </c>
      <c r="O57" s="492" t="s">
        <v>8</v>
      </c>
      <c r="P57" s="492" t="s">
        <v>198</v>
      </c>
      <c r="Q57" s="493">
        <f>'ESPO Calculator'!D84</f>
        <v>49008.333333333336</v>
      </c>
    </row>
    <row r="58" spans="1:17">
      <c r="H58" s="15" t="s">
        <v>8</v>
      </c>
      <c r="I58" s="43">
        <f>'Platform Overhead C '!J38</f>
        <v>0.8</v>
      </c>
      <c r="J58" s="11">
        <f>$E$51*I58</f>
        <v>16227.7788</v>
      </c>
      <c r="K58" s="27">
        <f>'Sys Admin'!AG14</f>
        <v>10</v>
      </c>
      <c r="L58" s="17">
        <f>J58/K58</f>
        <v>1622.7778800000001</v>
      </c>
      <c r="N58" s="492" t="str">
        <f t="shared" si="13"/>
        <v>ActiveSilver</v>
      </c>
      <c r="O58" s="492" t="s">
        <v>8</v>
      </c>
      <c r="P58" s="492" t="s">
        <v>199</v>
      </c>
      <c r="Q58" s="493">
        <f>'ESPO Calculator'!D67</f>
        <v>15250</v>
      </c>
    </row>
    <row r="59" spans="1:17">
      <c r="H59" s="15" t="s">
        <v>84</v>
      </c>
      <c r="I59" s="43">
        <f>'Platform Overhead C '!J39</f>
        <v>0.05</v>
      </c>
      <c r="J59" s="11">
        <f>$E$51*I59</f>
        <v>1014.236175</v>
      </c>
      <c r="K59" s="27">
        <f>'Sys Admin'!AG16</f>
        <v>0</v>
      </c>
      <c r="L59" s="17">
        <f>IF(K59=0,1,J59/K59)</f>
        <v>1</v>
      </c>
      <c r="N59" s="492" t="str">
        <f t="shared" si="13"/>
        <v>ActiveCustome</v>
      </c>
      <c r="O59" s="492" t="s">
        <v>8</v>
      </c>
      <c r="P59" s="492" t="s">
        <v>602</v>
      </c>
      <c r="Q59" s="493">
        <f>'Custom ESPO Selection'!D41</f>
        <v>0</v>
      </c>
    </row>
    <row r="60" spans="1:17">
      <c r="N60" s="492" t="str">
        <f t="shared" si="13"/>
        <v>ActiveNone</v>
      </c>
      <c r="O60" s="492" t="s">
        <v>8</v>
      </c>
      <c r="P60" s="492" t="s">
        <v>192</v>
      </c>
      <c r="Q60" s="493">
        <f>'Enablement Services '!C72</f>
        <v>0</v>
      </c>
    </row>
    <row r="61" spans="1:17">
      <c r="N61" s="492" t="str">
        <f t="shared" si="13"/>
        <v>ProspectiveNone</v>
      </c>
      <c r="O61" s="492" t="s">
        <v>67</v>
      </c>
      <c r="P61" s="492" t="s">
        <v>192</v>
      </c>
      <c r="Q61" s="494">
        <v>0</v>
      </c>
    </row>
    <row r="62" spans="1:17">
      <c r="B62" t="s">
        <v>334</v>
      </c>
      <c r="N62" s="492" t="str">
        <f t="shared" si="13"/>
        <v>Export/RetirementGold</v>
      </c>
      <c r="O62" s="492" t="s">
        <v>84</v>
      </c>
      <c r="P62" s="492" t="s">
        <v>198</v>
      </c>
      <c r="Q62" s="492">
        <f>'ESPO Calculator'!D76</f>
        <v>2550</v>
      </c>
    </row>
    <row r="63" spans="1:17">
      <c r="C63" t="s">
        <v>301</v>
      </c>
      <c r="D63" t="s">
        <v>337</v>
      </c>
      <c r="E63" t="s">
        <v>338</v>
      </c>
      <c r="F63" t="s">
        <v>339</v>
      </c>
      <c r="N63" s="492" t="str">
        <f>O63&amp;P63</f>
        <v>Export/RetirementSilver</v>
      </c>
      <c r="O63" s="492" t="s">
        <v>84</v>
      </c>
      <c r="P63" s="492" t="s">
        <v>199</v>
      </c>
      <c r="Q63" s="492">
        <f>'ESPO Calculator'!D59</f>
        <v>2550</v>
      </c>
    </row>
    <row r="64" spans="1:17">
      <c r="B64" t="s">
        <v>184</v>
      </c>
      <c r="C64" s="145" t="e">
        <f>J45</f>
        <v>#REF!</v>
      </c>
      <c r="D64">
        <f>Y37</f>
        <v>0</v>
      </c>
      <c r="E64" s="145" t="e">
        <f>SUM(C64:D64)</f>
        <v>#REF!</v>
      </c>
      <c r="N64" s="492" t="str">
        <f>O64&amp;P64</f>
        <v>Export/RetirementCustome</v>
      </c>
      <c r="O64" s="492" t="s">
        <v>84</v>
      </c>
      <c r="P64" s="492" t="s">
        <v>602</v>
      </c>
      <c r="Q64" s="492">
        <f>'Custom ESPO Selection'!D33</f>
        <v>0</v>
      </c>
    </row>
    <row r="65" spans="2:25">
      <c r="B65" t="s">
        <v>252</v>
      </c>
      <c r="C65" s="145" t="e">
        <f>K45</f>
        <v>#REF!</v>
      </c>
      <c r="D65">
        <f>Z37</f>
        <v>45548.992368000007</v>
      </c>
      <c r="N65" s="492" t="str">
        <f>O65&amp;P65</f>
        <v>Export/RetirementNone</v>
      </c>
      <c r="O65" s="492" t="s">
        <v>84</v>
      </c>
      <c r="P65" s="492" t="s">
        <v>192</v>
      </c>
      <c r="Q65" s="492">
        <v>0</v>
      </c>
    </row>
    <row r="66" spans="2:25">
      <c r="B66" t="s">
        <v>335</v>
      </c>
      <c r="C66" s="145" t="e">
        <f>L45</f>
        <v>#REF!</v>
      </c>
      <c r="D66">
        <f>AA37</f>
        <v>25382.032368000007</v>
      </c>
      <c r="E66" s="145" t="e">
        <f>SUM(C65:D66)</f>
        <v>#REF!</v>
      </c>
      <c r="N66" s="448" t="str">
        <f t="shared" ref="N66:N70" si="14">O66&amp;P66</f>
        <v>ActiveGold</v>
      </c>
      <c r="O66" s="448" t="s">
        <v>8</v>
      </c>
      <c r="P66" s="448" t="s">
        <v>198</v>
      </c>
      <c r="Q66" s="477">
        <f>'ESPO Calculator'!D84</f>
        <v>49008.333333333336</v>
      </c>
    </row>
    <row r="67" spans="2:25" ht="42.75">
      <c r="B67" t="s">
        <v>12</v>
      </c>
      <c r="C67" s="145" t="e">
        <f>M45</f>
        <v>#REF!</v>
      </c>
      <c r="D67">
        <f>AB37</f>
        <v>869752.39679999999</v>
      </c>
      <c r="E67" s="145" t="e">
        <f>SUM(C67:D67)</f>
        <v>#REF!</v>
      </c>
      <c r="N67" s="448" t="str">
        <f t="shared" si="14"/>
        <v>ActiveSilver</v>
      </c>
      <c r="O67" s="448" t="s">
        <v>8</v>
      </c>
      <c r="P67" s="448" t="s">
        <v>199</v>
      </c>
      <c r="Q67" s="477">
        <f>'ESPO Calculator'!D67</f>
        <v>15250</v>
      </c>
      <c r="S67" s="9" t="s">
        <v>187</v>
      </c>
      <c r="T67" s="104" t="s">
        <v>637</v>
      </c>
      <c r="U67" s="104" t="s">
        <v>638</v>
      </c>
      <c r="V67" s="591" t="s">
        <v>603</v>
      </c>
      <c r="W67" s="592" t="s">
        <v>607</v>
      </c>
      <c r="X67" s="592" t="s">
        <v>606</v>
      </c>
      <c r="Y67" s="592" t="s">
        <v>608</v>
      </c>
    </row>
    <row r="68" spans="2:25">
      <c r="B68" t="s">
        <v>336</v>
      </c>
      <c r="C68" s="145" t="e">
        <f>N45</f>
        <v>#REF!</v>
      </c>
      <c r="D68">
        <f>AD37</f>
        <v>194733.3456</v>
      </c>
      <c r="E68" s="145" t="e">
        <f>SUM(C68:D68)</f>
        <v>#REF!</v>
      </c>
      <c r="N68" s="448" t="str">
        <f t="shared" si="14"/>
        <v>ActiveCustom</v>
      </c>
      <c r="O68" s="448" t="s">
        <v>8</v>
      </c>
      <c r="P68" s="448" t="s">
        <v>575</v>
      </c>
      <c r="Q68" s="477">
        <f>'Custom ESPO Selection'!D41</f>
        <v>0</v>
      </c>
      <c r="S68" s="9" t="s">
        <v>147</v>
      </c>
      <c r="T68" s="486" t="str">
        <f>'Sys Admin'!AA24</f>
        <v>Active</v>
      </c>
      <c r="U68" s="9" t="str">
        <f>'Sys Admin'!AG24</f>
        <v>Active</v>
      </c>
      <c r="V68" s="593">
        <f>IF(AND(T68="Active",U68="Export/Retirement"),1,IF(T68="Export/Retirement",1,IF(AND(T68="Prospective",U68&lt;&gt;"Prospective"),1,IF(AND(OR(T68="Planning/Discovery",T68="Onboarding"),OR(U68="Planning/Discovery",U68="Onboarding",U68="Export/Retirement")),1,IF(OR(U68="Prospective",T68="Active"),0,0)))))</f>
        <v>0</v>
      </c>
      <c r="W68" s="507">
        <f>IF(U68="Prospective",0, IF(OR('Sys Admin Calculation'!Y54&lt;&gt;0,'Sys Admin Calculation Y2'!W66&lt;&gt;0,'Sys Admin Calculation Y3'!W68&lt;&gt;0,'Sys Admin Calculation Y4'!W68&lt;&gt;0),0,'ESPO Calculator'!$B$41))</f>
        <v>0</v>
      </c>
      <c r="X68" s="507">
        <f>IF(OR(V68=1, U68="Prospective"), 0, 'ESPO Calculator'!$D$48)</f>
        <v>2166.6666666666665</v>
      </c>
      <c r="Y68" s="507">
        <f>W68+X68*IF('Sys Admin'!W24 &lt;&gt; 0, (12 - 'Sys Admin'!W24), 12)</f>
        <v>26000</v>
      </c>
    </row>
    <row r="69" spans="2:25">
      <c r="N69" s="448" t="str">
        <f t="shared" si="14"/>
        <v>ActiveNone</v>
      </c>
      <c r="O69" s="448" t="s">
        <v>8</v>
      </c>
      <c r="P69" s="448" t="s">
        <v>192</v>
      </c>
      <c r="Q69" s="477">
        <f>'Enablement Services '!C72</f>
        <v>0</v>
      </c>
      <c r="S69" s="9" t="s">
        <v>146</v>
      </c>
      <c r="T69" s="486" t="str">
        <f>'Sys Admin'!AA25</f>
        <v>Active</v>
      </c>
      <c r="U69" s="9" t="str">
        <f>'Sys Admin'!AG25</f>
        <v>Active</v>
      </c>
      <c r="V69" s="593">
        <f t="shared" ref="V69:V99" si="15">IF(AND(T69="Active",U69="Export/Retirement"),1,IF(T69="Export/Retirement",1,IF(AND(T69="Prospective",U69&lt;&gt;"Prospective"),1,IF(AND(OR(T69="Planning/Discovery",T69="Onboarding"),OR(U69="Planning/Discovery",U69="Onboarding",U69="Export/Retirement")),1,IF(OR(U69="Prospective",T69="Active"),0,0)))))</f>
        <v>0</v>
      </c>
      <c r="W69" s="507">
        <f>IF(U69="Prospective",0, IF(OR('Sys Admin Calculation'!Y55&lt;&gt;0,'Sys Admin Calculation Y2'!W67&lt;&gt;0,'Sys Admin Calculation Y3'!W69&lt;&gt;0,'Sys Admin Calculation Y4'!W69&lt;&gt;0),0,'ESPO Calculator'!$B$41))</f>
        <v>0</v>
      </c>
      <c r="X69" s="507">
        <f>IF(OR(V69=1, U69="Prospective"), 0, 'ESPO Calculator'!$D$48)</f>
        <v>2166.6666666666665</v>
      </c>
      <c r="Y69" s="507">
        <f>W69+X69*IF('Sys Admin'!W25 &lt;&gt; 0, (12 - 'Sys Admin'!W25), 12)</f>
        <v>26000</v>
      </c>
    </row>
    <row r="70" spans="2:25" ht="14.65" thickBot="1">
      <c r="N70" s="448" t="str">
        <f t="shared" si="14"/>
        <v>ProspectiveNone</v>
      </c>
      <c r="O70" s="448" t="s">
        <v>67</v>
      </c>
      <c r="P70" s="448" t="s">
        <v>192</v>
      </c>
      <c r="Q70" s="488">
        <v>0</v>
      </c>
      <c r="S70" s="9" t="s">
        <v>145</v>
      </c>
      <c r="T70" s="486" t="str">
        <f>'Sys Admin'!AA26</f>
        <v>Active</v>
      </c>
      <c r="U70" s="9" t="str">
        <f>'Sys Admin'!AG26</f>
        <v>Active</v>
      </c>
      <c r="V70" s="593">
        <f t="shared" si="15"/>
        <v>0</v>
      </c>
      <c r="W70" s="507">
        <f>IF(U70="Prospective",0, IF(OR('Sys Admin Calculation'!Y56&lt;&gt;0,'Sys Admin Calculation Y2'!W68&lt;&gt;0,'Sys Admin Calculation Y3'!W70&lt;&gt;0,'Sys Admin Calculation Y4'!W70&lt;&gt;0),0,'ESPO Calculator'!$B$41))</f>
        <v>0</v>
      </c>
      <c r="X70" s="507">
        <f>IF(OR(V70=1, U70="Prospective"), 0, 'ESPO Calculator'!$D$48)</f>
        <v>2166.6666666666665</v>
      </c>
      <c r="Y70" s="507">
        <f>W70+X70*IF('Sys Admin'!W26 &lt;&gt; 0, (12 - 'Sys Admin'!W26), 12)</f>
        <v>26000</v>
      </c>
    </row>
    <row r="71" spans="2:25">
      <c r="N71" s="516"/>
      <c r="O71" s="517"/>
      <c r="P71" s="517" t="s">
        <v>198</v>
      </c>
      <c r="Q71" s="518">
        <f>'ESPO Calculator'!B77</f>
        <v>720000</v>
      </c>
      <c r="S71" s="9" t="s">
        <v>203</v>
      </c>
      <c r="T71" s="486" t="str">
        <f>'Sys Admin'!AA27</f>
        <v>Active</v>
      </c>
      <c r="U71" s="9" t="str">
        <f>'Sys Admin'!AG27</f>
        <v>Active</v>
      </c>
      <c r="V71" s="593">
        <f t="shared" si="15"/>
        <v>0</v>
      </c>
      <c r="W71" s="507">
        <f>IF(U71="Prospective",0, IF(OR('Sys Admin Calculation'!Y57&lt;&gt;0,'Sys Admin Calculation Y2'!W69&lt;&gt;0,'Sys Admin Calculation Y3'!W71&lt;&gt;0,'Sys Admin Calculation Y4'!W71&lt;&gt;0),0,'ESPO Calculator'!$B$41))</f>
        <v>0</v>
      </c>
      <c r="X71" s="507">
        <f>IF(OR(V71=1, U71="Prospective"), 0, 'ESPO Calculator'!$D$48)</f>
        <v>2166.6666666666665</v>
      </c>
      <c r="Y71" s="507">
        <f>W71+X71*IF('Sys Admin'!W27 &lt;&gt; 0, (12 - 'Sys Admin'!W27), 12)</f>
        <v>26000</v>
      </c>
    </row>
    <row r="72" spans="2:25">
      <c r="N72" s="519"/>
      <c r="O72" s="515"/>
      <c r="P72" s="515" t="s">
        <v>199</v>
      </c>
      <c r="Q72" s="520">
        <f>'ESPO Calculator'!B60</f>
        <v>261000</v>
      </c>
      <c r="S72" s="9" t="s">
        <v>159</v>
      </c>
      <c r="T72" s="486" t="str">
        <f>'Sys Admin'!AA28</f>
        <v>Active</v>
      </c>
      <c r="U72" s="9" t="str">
        <f>'Sys Admin'!AG28</f>
        <v>Active</v>
      </c>
      <c r="V72" s="593">
        <f t="shared" si="15"/>
        <v>0</v>
      </c>
      <c r="W72" s="507">
        <f>IF(U72="Prospective",0, IF(OR('Sys Admin Calculation'!Y58&lt;&gt;0,'Sys Admin Calculation Y2'!W70&lt;&gt;0,'Sys Admin Calculation Y3'!W72&lt;&gt;0,'Sys Admin Calculation Y4'!W72&lt;&gt;0),0,'ESPO Calculator'!$B$41))</f>
        <v>0</v>
      </c>
      <c r="X72" s="507">
        <f>IF(OR(V72=1, U72="Prospective"), 0, 'ESPO Calculator'!$D$48)</f>
        <v>2166.6666666666665</v>
      </c>
      <c r="Y72" s="507">
        <f>W72+X72*IF('Sys Admin'!W28 &lt;&gt; 0, (12 - 'Sys Admin'!W28), 12)</f>
        <v>26000</v>
      </c>
    </row>
    <row r="73" spans="2:25">
      <c r="N73" s="519"/>
      <c r="O73" s="515"/>
      <c r="P73" s="515" t="s">
        <v>575</v>
      </c>
      <c r="Q73" s="520">
        <f>'Custom ESPO Selection'!B34</f>
        <v>0</v>
      </c>
      <c r="S73" s="9" t="s">
        <v>204</v>
      </c>
      <c r="T73" s="486" t="str">
        <f>'Sys Admin'!AA29</f>
        <v>Prospective</v>
      </c>
      <c r="U73" s="9" t="str">
        <f>'Sys Admin'!AG29</f>
        <v>Prospective</v>
      </c>
      <c r="V73" s="593">
        <f t="shared" si="15"/>
        <v>0</v>
      </c>
      <c r="W73" s="507">
        <f>IF(U73="Prospective",0, IF(OR('Sys Admin Calculation'!Y59&lt;&gt;0,'Sys Admin Calculation Y2'!W71&lt;&gt;0,'Sys Admin Calculation Y3'!W73&lt;&gt;0,'Sys Admin Calculation Y4'!W73&lt;&gt;0),0,'ESPO Calculator'!$B$41))</f>
        <v>0</v>
      </c>
      <c r="X73" s="507">
        <f>IF(OR(V73=1, U73="Prospective"), 0, 'ESPO Calculator'!$D$48)</f>
        <v>0</v>
      </c>
      <c r="Y73" s="507">
        <f>W73+X73*IF('Sys Admin'!W29 &lt;&gt; 0, (12 - 'Sys Admin'!W29), 12)</f>
        <v>0</v>
      </c>
    </row>
    <row r="74" spans="2:25" ht="14.65" thickBot="1">
      <c r="N74" s="521"/>
      <c r="O74" s="522"/>
      <c r="P74" s="522" t="s">
        <v>192</v>
      </c>
      <c r="Q74" s="523">
        <v>0</v>
      </c>
      <c r="S74" s="9" t="s">
        <v>205</v>
      </c>
      <c r="T74" s="486" t="str">
        <f>'Sys Admin'!AA30</f>
        <v>Prospective</v>
      </c>
      <c r="U74" s="9" t="str">
        <f>'Sys Admin'!AG30</f>
        <v>Prospective</v>
      </c>
      <c r="V74" s="593">
        <f t="shared" si="15"/>
        <v>0</v>
      </c>
      <c r="W74" s="507">
        <f>IF(U74="Prospective",0, IF(OR('Sys Admin Calculation'!Y60&lt;&gt;0,'Sys Admin Calculation Y2'!W72&lt;&gt;0,'Sys Admin Calculation Y3'!W74&lt;&gt;0,'Sys Admin Calculation Y4'!W74&lt;&gt;0),0,'ESPO Calculator'!$B$41))</f>
        <v>0</v>
      </c>
      <c r="X74" s="507">
        <f>IF(OR(V74=1, U74="Prospective"), 0, 'ESPO Calculator'!$D$48)</f>
        <v>0</v>
      </c>
      <c r="Y74" s="507">
        <f>W74+X74*IF('Sys Admin'!W30 &lt;&gt; 0, (12 - 'Sys Admin'!W30), 12)</f>
        <v>0</v>
      </c>
    </row>
    <row r="75" spans="2:25">
      <c r="S75" s="9" t="s">
        <v>148</v>
      </c>
      <c r="T75" s="486" t="str">
        <f>'Sys Admin'!AA31</f>
        <v>Active</v>
      </c>
      <c r="U75" s="9" t="str">
        <f>'Sys Admin'!AG31</f>
        <v>Active</v>
      </c>
      <c r="V75" s="593">
        <f t="shared" si="15"/>
        <v>0</v>
      </c>
      <c r="W75" s="507">
        <f>IF(U75="Prospective",0, IF(OR('Sys Admin Calculation'!Y61&lt;&gt;0,'Sys Admin Calculation Y2'!W73&lt;&gt;0,'Sys Admin Calculation Y3'!W75&lt;&gt;0,'Sys Admin Calculation Y4'!W75&lt;&gt;0),0,'ESPO Calculator'!$B$41))</f>
        <v>0</v>
      </c>
      <c r="X75" s="507">
        <f>IF(OR(V75=1, U75="Prospective"), 0, 'ESPO Calculator'!$D$48)</f>
        <v>2166.6666666666665</v>
      </c>
      <c r="Y75" s="507">
        <f>W75+X75*IF('Sys Admin'!W31 &lt;&gt; 0, (12 - 'Sys Admin'!W31), 12)</f>
        <v>26000</v>
      </c>
    </row>
    <row r="76" spans="2:25">
      <c r="S76" s="9" t="s">
        <v>206</v>
      </c>
      <c r="T76" s="486" t="str">
        <f>'Sys Admin'!AA32</f>
        <v>Active</v>
      </c>
      <c r="U76" s="9" t="str">
        <f>'Sys Admin'!AG32</f>
        <v>Active</v>
      </c>
      <c r="V76" s="593">
        <f t="shared" si="15"/>
        <v>0</v>
      </c>
      <c r="W76" s="507">
        <f>IF(U76="Prospective",0, IF(OR('Sys Admin Calculation'!Y62&lt;&gt;0,'Sys Admin Calculation Y2'!W74&lt;&gt;0,'Sys Admin Calculation Y3'!W76&lt;&gt;0,'Sys Admin Calculation Y4'!W76&lt;&gt;0),0,'ESPO Calculator'!$B$41))</f>
        <v>0</v>
      </c>
      <c r="X76" s="507">
        <f>IF(OR(V76=1, U76="Prospective"), 0, 'ESPO Calculator'!$D$48)</f>
        <v>2166.6666666666665</v>
      </c>
      <c r="Y76" s="507">
        <f>W76+X76*IF('Sys Admin'!W32 &lt;&gt; 0, (12 - 'Sys Admin'!W32), 12)</f>
        <v>26000</v>
      </c>
    </row>
    <row r="77" spans="2:25">
      <c r="S77" s="9" t="s">
        <v>207</v>
      </c>
      <c r="T77" s="486" t="str">
        <f>'Sys Admin'!AA33</f>
        <v>Active</v>
      </c>
      <c r="U77" s="9" t="str">
        <f>'Sys Admin'!AG33</f>
        <v>Active</v>
      </c>
      <c r="V77" s="593">
        <f t="shared" si="15"/>
        <v>0</v>
      </c>
      <c r="W77" s="507">
        <f>IF(U77="Prospective",0, IF(OR('Sys Admin Calculation'!Y63&lt;&gt;0,'Sys Admin Calculation Y2'!W75&lt;&gt;0,'Sys Admin Calculation Y3'!W77&lt;&gt;0,'Sys Admin Calculation Y4'!W77&lt;&gt;0),0,'ESPO Calculator'!$B$41))</f>
        <v>0</v>
      </c>
      <c r="X77" s="507">
        <f>IF(OR(V77=1, U77="Prospective"), 0, 'ESPO Calculator'!$D$48)</f>
        <v>2166.6666666666665</v>
      </c>
      <c r="Y77" s="507">
        <f>W77+X77*IF('Sys Admin'!W33 &lt;&gt; 0, (12 - 'Sys Admin'!W33), 12)</f>
        <v>26000</v>
      </c>
    </row>
    <row r="78" spans="2:25">
      <c r="S78" s="9" t="s">
        <v>208</v>
      </c>
      <c r="T78" s="486" t="str">
        <f>'Sys Admin'!AA34</f>
        <v>Prospective</v>
      </c>
      <c r="U78" s="9" t="str">
        <f>'Sys Admin'!AG34</f>
        <v>Prospective</v>
      </c>
      <c r="V78" s="593">
        <f t="shared" si="15"/>
        <v>0</v>
      </c>
      <c r="W78" s="507">
        <f>IF(U78="Prospective",0, IF(OR('Sys Admin Calculation'!Y64&lt;&gt;0,'Sys Admin Calculation Y2'!W76&lt;&gt;0,'Sys Admin Calculation Y3'!W78&lt;&gt;0,'Sys Admin Calculation Y4'!W78&lt;&gt;0),0,'ESPO Calculator'!$B$41))</f>
        <v>0</v>
      </c>
      <c r="X78" s="507">
        <f>IF(OR(V78=1, U78="Prospective"), 0, 'ESPO Calculator'!$D$48)</f>
        <v>0</v>
      </c>
      <c r="Y78" s="507">
        <f>W78+X78*IF('Sys Admin'!W34 &lt;&gt; 0, (12 - 'Sys Admin'!W34), 12)</f>
        <v>0</v>
      </c>
    </row>
    <row r="79" spans="2:25">
      <c r="S79" s="9" t="s">
        <v>209</v>
      </c>
      <c r="T79" s="486" t="str">
        <f>'Sys Admin'!AA35</f>
        <v>Prospective</v>
      </c>
      <c r="U79" s="9" t="str">
        <f>'Sys Admin'!AG35</f>
        <v>Prospective</v>
      </c>
      <c r="V79" s="593">
        <f t="shared" si="15"/>
        <v>0</v>
      </c>
      <c r="W79" s="507">
        <f>IF(U79="Prospective",0, IF(OR('Sys Admin Calculation'!Y65&lt;&gt;0,'Sys Admin Calculation Y2'!W77&lt;&gt;0,'Sys Admin Calculation Y3'!W79&lt;&gt;0,'Sys Admin Calculation Y4'!W79&lt;&gt;0),0,'ESPO Calculator'!$B$41))</f>
        <v>0</v>
      </c>
      <c r="X79" s="507">
        <f>IF(OR(V79=1, U79="Prospective"), 0, 'ESPO Calculator'!$D$48)</f>
        <v>0</v>
      </c>
      <c r="Y79" s="507">
        <f>W79+X79*IF('Sys Admin'!W35 &lt;&gt; 0, (12 - 'Sys Admin'!W35), 12)</f>
        <v>0</v>
      </c>
    </row>
    <row r="80" spans="2:25">
      <c r="S80" s="9" t="s">
        <v>144</v>
      </c>
      <c r="T80" s="486" t="str">
        <f>'Sys Admin'!AA36</f>
        <v>Active</v>
      </c>
      <c r="U80" s="9" t="str">
        <f>'Sys Admin'!AG36</f>
        <v>Active</v>
      </c>
      <c r="V80" s="593">
        <f t="shared" si="15"/>
        <v>0</v>
      </c>
      <c r="W80" s="507">
        <f>IF(U80="Prospective",0, IF(OR('Sys Admin Calculation'!Y66&lt;&gt;0,'Sys Admin Calculation Y2'!W78&lt;&gt;0,'Sys Admin Calculation Y3'!W80&lt;&gt;0,'Sys Admin Calculation Y4'!W80&lt;&gt;0),0,'ESPO Calculator'!$B$41))</f>
        <v>0</v>
      </c>
      <c r="X80" s="507">
        <f>IF(OR(V80=1, U80="Prospective"), 0, 'ESPO Calculator'!$D$48)</f>
        <v>2166.6666666666665</v>
      </c>
      <c r="Y80" s="507">
        <f>W80+X80*IF('Sys Admin'!W36 &lt;&gt; 0, (12 - 'Sys Admin'!W36), 12)</f>
        <v>26000</v>
      </c>
    </row>
    <row r="81" spans="7:25">
      <c r="S81" s="9" t="s">
        <v>157</v>
      </c>
      <c r="T81" s="486" t="str">
        <f>'Sys Admin'!AA37</f>
        <v>Active</v>
      </c>
      <c r="U81" s="9" t="str">
        <f>'Sys Admin'!AG37</f>
        <v>Active</v>
      </c>
      <c r="V81" s="593">
        <f t="shared" si="15"/>
        <v>0</v>
      </c>
      <c r="W81" s="507">
        <f>IF(U81="Prospective",0, IF(OR('Sys Admin Calculation'!Y67&lt;&gt;0,'Sys Admin Calculation Y2'!W79&lt;&gt;0,'Sys Admin Calculation Y3'!W81&lt;&gt;0,'Sys Admin Calculation Y4'!W81&lt;&gt;0),0,'ESPO Calculator'!$B$41))</f>
        <v>0</v>
      </c>
      <c r="X81" s="507">
        <f>IF(OR(V81=1, U81="Prospective"), 0, 'ESPO Calculator'!$D$48)</f>
        <v>2166.6666666666665</v>
      </c>
      <c r="Y81" s="507">
        <f>W81+X81*IF('Sys Admin'!W37 &lt;&gt; 0, (12 - 'Sys Admin'!W37), 12)</f>
        <v>26000</v>
      </c>
    </row>
    <row r="82" spans="7:25" ht="14.65" thickBot="1">
      <c r="S82" s="9" t="s">
        <v>210</v>
      </c>
      <c r="T82" s="486" t="str">
        <f>'Sys Admin'!AA38</f>
        <v>Prospective</v>
      </c>
      <c r="U82" s="9" t="str">
        <f>'Sys Admin'!AG38</f>
        <v>Prospective</v>
      </c>
      <c r="V82" s="593">
        <f t="shared" si="15"/>
        <v>0</v>
      </c>
      <c r="W82" s="507">
        <f>IF(U82="Prospective",0, IF(OR('Sys Admin Calculation'!Y68&lt;&gt;0,'Sys Admin Calculation Y2'!W80&lt;&gt;0,'Sys Admin Calculation Y3'!W82&lt;&gt;0,'Sys Admin Calculation Y4'!W82&lt;&gt;0),0,'ESPO Calculator'!$B$41))</f>
        <v>0</v>
      </c>
      <c r="X82" s="507">
        <f>IF(OR(V82=1, U82="Prospective"), 0, 'ESPO Calculator'!$D$48)</f>
        <v>0</v>
      </c>
      <c r="Y82" s="507">
        <f>W82+X82*IF('Sys Admin'!W38 &lt;&gt; 0, (12 - 'Sys Admin'!W38), 12)</f>
        <v>0</v>
      </c>
    </row>
    <row r="83" spans="7:25">
      <c r="G83" s="528" t="s">
        <v>332</v>
      </c>
      <c r="H83" s="529" t="s">
        <v>330</v>
      </c>
      <c r="I83" s="529" t="s">
        <v>331</v>
      </c>
      <c r="J83" s="529" t="s">
        <v>252</v>
      </c>
      <c r="K83" s="529" t="s">
        <v>335</v>
      </c>
      <c r="L83" s="529" t="s">
        <v>12</v>
      </c>
      <c r="M83" s="530" t="s">
        <v>336</v>
      </c>
      <c r="S83" s="9" t="s">
        <v>201</v>
      </c>
      <c r="T83" s="486" t="str">
        <f>'Sys Admin'!AA39</f>
        <v>Prospective</v>
      </c>
      <c r="U83" s="9" t="str">
        <f>'Sys Admin'!AG39</f>
        <v>Prospective</v>
      </c>
      <c r="V83" s="593">
        <f t="shared" si="15"/>
        <v>0</v>
      </c>
      <c r="W83" s="507">
        <f>IF(U83="Prospective",0, IF(OR('Sys Admin Calculation'!Y69&lt;&gt;0,'Sys Admin Calculation Y2'!W81&lt;&gt;0,'Sys Admin Calculation Y3'!W83&lt;&gt;0,'Sys Admin Calculation Y4'!W83&lt;&gt;0),0,'ESPO Calculator'!$B$41))</f>
        <v>0</v>
      </c>
      <c r="X83" s="507">
        <f>IF(OR(V83=1, U83="Prospective"), 0, 'ESPO Calculator'!$D$48)</f>
        <v>0</v>
      </c>
      <c r="Y83" s="507">
        <f>W83+X83*IF('Sys Admin'!W39 &lt;&gt; 0, (12 - 'Sys Admin'!W39), 12)</f>
        <v>0</v>
      </c>
    </row>
    <row r="84" spans="7:25">
      <c r="G84" s="531" t="s">
        <v>83</v>
      </c>
      <c r="H84" s="532" t="s">
        <v>83</v>
      </c>
      <c r="I84" s="532"/>
      <c r="J84" s="533">
        <v>0</v>
      </c>
      <c r="K84" s="533">
        <v>0</v>
      </c>
      <c r="L84" s="533">
        <f>L49</f>
        <v>1</v>
      </c>
      <c r="M84" s="534">
        <f>L56</f>
        <v>1</v>
      </c>
      <c r="S84" s="9" t="s">
        <v>202</v>
      </c>
      <c r="T84" s="486" t="str">
        <f>'Sys Admin'!AA40</f>
        <v>Prospective</v>
      </c>
      <c r="U84" s="9" t="str">
        <f>'Sys Admin'!AG40</f>
        <v>Prospective</v>
      </c>
      <c r="V84" s="593">
        <f t="shared" si="15"/>
        <v>0</v>
      </c>
      <c r="W84" s="507">
        <f>IF(U84="Prospective",0, IF(OR('Sys Admin Calculation'!Y70&lt;&gt;0,'Sys Admin Calculation Y2'!W82&lt;&gt;0,'Sys Admin Calculation Y3'!W84&lt;&gt;0,'Sys Admin Calculation Y4'!W84&lt;&gt;0),0,'ESPO Calculator'!$B$41))</f>
        <v>0</v>
      </c>
      <c r="X84" s="507">
        <f>IF(OR(V84=1, U84="Prospective"), 0, 'ESPO Calculator'!$D$48)</f>
        <v>0</v>
      </c>
      <c r="Y84" s="507">
        <f>W84+X84*IF('Sys Admin'!W40 &lt;&gt; 0, (12 - 'Sys Admin'!W40), 12)</f>
        <v>0</v>
      </c>
    </row>
    <row r="85" spans="7:25">
      <c r="G85" s="531" t="s">
        <v>30</v>
      </c>
      <c r="H85" s="532" t="s">
        <v>30</v>
      </c>
      <c r="I85" s="532"/>
      <c r="J85" s="533">
        <v>0</v>
      </c>
      <c r="K85" s="533">
        <v>0</v>
      </c>
      <c r="L85" s="533">
        <f>L50</f>
        <v>1</v>
      </c>
      <c r="M85" s="534">
        <f>L57</f>
        <v>1</v>
      </c>
      <c r="S85" s="600" t="str">
        <f>A22</f>
        <v>New Project 1</v>
      </c>
      <c r="T85" s="600" t="str">
        <f>'Sys Admin'!AA43</f>
        <v>Prospective</v>
      </c>
      <c r="U85" s="600" t="str">
        <f>'Sys Admin'!AG43</f>
        <v>Prospective</v>
      </c>
      <c r="V85" s="601">
        <f t="shared" si="15"/>
        <v>0</v>
      </c>
      <c r="W85" s="602">
        <f>IF(U85="Prospective",0, IF(OR('Sys Admin Calculation'!Y71&lt;&gt;0,'Sys Admin Calculation Y2'!W83&lt;&gt;0,'Sys Admin Calculation Y3'!W85&lt;&gt;0,'Sys Admin Calculation Y4'!W85&lt;&gt;0),0,'ESPO Calculator'!$B$41))</f>
        <v>0</v>
      </c>
      <c r="X85" s="602">
        <f>IF(OR(V85=1, U85="Prospective"), 0, 'ESPO Calculator'!$D$48)</f>
        <v>0</v>
      </c>
      <c r="Y85" s="602">
        <f>W85+X85*IF('Sys Admin'!W43 &lt;&gt; 0, (12 - 'Sys Admin'!W43), 12)</f>
        <v>0</v>
      </c>
    </row>
    <row r="86" spans="7:25">
      <c r="G86" s="531" t="s">
        <v>628</v>
      </c>
      <c r="H86" s="532" t="s">
        <v>8</v>
      </c>
      <c r="I86" s="532" t="s">
        <v>31</v>
      </c>
      <c r="J86" s="533">
        <v>3038.1507272812009</v>
      </c>
      <c r="K86" s="533">
        <v>555.1686575581781</v>
      </c>
      <c r="L86" s="533">
        <f>L51</f>
        <v>7247.9366399999999</v>
      </c>
      <c r="M86" s="534">
        <f>L58</f>
        <v>1622.7778800000001</v>
      </c>
      <c r="S86" s="600" t="str">
        <f t="shared" ref="S86:S99" si="16">A23</f>
        <v>New Project 2</v>
      </c>
      <c r="T86" s="600" t="str">
        <f>'Sys Admin'!AA44</f>
        <v>Prospective</v>
      </c>
      <c r="U86" s="600" t="str">
        <f>'Sys Admin'!AG44</f>
        <v>Prospective</v>
      </c>
      <c r="V86" s="601">
        <f t="shared" si="15"/>
        <v>0</v>
      </c>
      <c r="W86" s="602">
        <f>IF(U86="Prospective",0, IF(OR('Sys Admin Calculation'!Y72&lt;&gt;0,'Sys Admin Calculation Y2'!W84&lt;&gt;0,'Sys Admin Calculation Y3'!W86&lt;&gt;0,'Sys Admin Calculation Y4'!W86&lt;&gt;0),0,'ESPO Calculator'!$B$41))</f>
        <v>0</v>
      </c>
      <c r="X86" s="602">
        <f>IF(OR(V86=1, U86="Prospective"), 0, 'ESPO Calculator'!$D$48)</f>
        <v>0</v>
      </c>
      <c r="Y86" s="602">
        <f>W86+X86*IF('Sys Admin'!W44 &lt;&gt; 0, (12 - 'Sys Admin'!W44), 12)</f>
        <v>0</v>
      </c>
    </row>
    <row r="87" spans="7:25">
      <c r="G87" s="531" t="s">
        <v>629</v>
      </c>
      <c r="H87" s="532" t="s">
        <v>8</v>
      </c>
      <c r="I87" s="532" t="s">
        <v>32</v>
      </c>
      <c r="J87" s="533">
        <v>1323.3980250723589</v>
      </c>
      <c r="K87" s="533">
        <v>388.61806029072471</v>
      </c>
      <c r="L87" s="533">
        <f>L51</f>
        <v>7247.9366399999999</v>
      </c>
      <c r="M87" s="534">
        <f>L58</f>
        <v>1622.7778800000001</v>
      </c>
      <c r="S87" s="600" t="str">
        <f t="shared" si="16"/>
        <v>New Project 3</v>
      </c>
      <c r="T87" s="600" t="str">
        <f>'Sys Admin'!AA45</f>
        <v>Prospective</v>
      </c>
      <c r="U87" s="600" t="str">
        <f>'Sys Admin'!AG45</f>
        <v>Prospective</v>
      </c>
      <c r="V87" s="601">
        <f t="shared" si="15"/>
        <v>0</v>
      </c>
      <c r="W87" s="602">
        <f>IF(U87="Prospective",0, IF(OR('Sys Admin Calculation'!Y73&lt;&gt;0,'Sys Admin Calculation Y2'!W85&lt;&gt;0,'Sys Admin Calculation Y3'!W87&lt;&gt;0,'Sys Admin Calculation Y4'!W87&lt;&gt;0),0,'ESPO Calculator'!$B$41))</f>
        <v>0</v>
      </c>
      <c r="X87" s="602">
        <f>IF(OR(V87=1, U87="Prospective"), 0, 'ESPO Calculator'!$D$48)</f>
        <v>0</v>
      </c>
      <c r="Y87" s="602">
        <f>W87+X87*IF('Sys Admin'!W45 &lt;&gt; 0, (12 - 'Sys Admin'!W45), 12)</f>
        <v>0</v>
      </c>
    </row>
    <row r="88" spans="7:25">
      <c r="G88" s="531" t="s">
        <v>630</v>
      </c>
      <c r="H88" s="532" t="s">
        <v>8</v>
      </c>
      <c r="I88" s="532" t="s">
        <v>33</v>
      </c>
      <c r="J88" s="533">
        <v>708.63974808201408</v>
      </c>
      <c r="K88" s="533">
        <v>204.02448165263047</v>
      </c>
      <c r="L88" s="533">
        <f>L51</f>
        <v>7247.9366399999999</v>
      </c>
      <c r="M88" s="534">
        <f>L58</f>
        <v>1622.7778800000001</v>
      </c>
      <c r="S88" s="600" t="str">
        <f t="shared" si="16"/>
        <v>New Project 4</v>
      </c>
      <c r="T88" s="600" t="str">
        <f>'Sys Admin'!AA46</f>
        <v>Prospective</v>
      </c>
      <c r="U88" s="600" t="str">
        <f>'Sys Admin'!AG46</f>
        <v>Prospective</v>
      </c>
      <c r="V88" s="601">
        <f t="shared" si="15"/>
        <v>0</v>
      </c>
      <c r="W88" s="602">
        <f>IF(U88="Prospective",0, IF(OR('Sys Admin Calculation'!Y74&lt;&gt;0,'Sys Admin Calculation Y2'!W86&lt;&gt;0,'Sys Admin Calculation Y3'!W88&lt;&gt;0,'Sys Admin Calculation Y4'!W88&lt;&gt;0),0,'ESPO Calculator'!$B$41))</f>
        <v>0</v>
      </c>
      <c r="X88" s="602">
        <f>IF(OR(V88=1, U88="Prospective"), 0, 'ESPO Calculator'!$D$48)</f>
        <v>0</v>
      </c>
      <c r="Y88" s="602">
        <f>W88+X88*IF('Sys Admin'!W46 &lt;&gt; 0, (12 - 'Sys Admin'!W46), 12)</f>
        <v>0</v>
      </c>
    </row>
    <row r="89" spans="7:25" ht="14.65" thickBot="1">
      <c r="G89" s="535" t="s">
        <v>84</v>
      </c>
      <c r="H89" s="536"/>
      <c r="I89" s="536"/>
      <c r="J89" s="537">
        <v>0</v>
      </c>
      <c r="K89" s="537">
        <v>0</v>
      </c>
      <c r="L89" s="595">
        <f>L52</f>
        <v>1</v>
      </c>
      <c r="M89" s="596">
        <f>L59</f>
        <v>1</v>
      </c>
      <c r="S89" s="600" t="str">
        <f t="shared" si="16"/>
        <v>New Project 5</v>
      </c>
      <c r="T89" s="600" t="str">
        <f>'Sys Admin'!AA47</f>
        <v>Prospective</v>
      </c>
      <c r="U89" s="600" t="str">
        <f>'Sys Admin'!AG47</f>
        <v>Prospective</v>
      </c>
      <c r="V89" s="601">
        <f t="shared" si="15"/>
        <v>0</v>
      </c>
      <c r="W89" s="602">
        <f>IF(U89="Prospective",0, IF(OR('Sys Admin Calculation'!Y75&lt;&gt;0,'Sys Admin Calculation Y2'!W87&lt;&gt;0,'Sys Admin Calculation Y3'!W89&lt;&gt;0,'Sys Admin Calculation Y4'!W89&lt;&gt;0),0,'ESPO Calculator'!$B$41))</f>
        <v>0</v>
      </c>
      <c r="X89" s="602">
        <f>IF(OR(V89=1, U89="Prospective"), 0, 'ESPO Calculator'!$D$48)</f>
        <v>0</v>
      </c>
      <c r="Y89" s="602">
        <f>W89+X89*IF('Sys Admin'!W47 &lt;&gt; 0, (12 - 'Sys Admin'!W47), 12)</f>
        <v>0</v>
      </c>
    </row>
    <row r="90" spans="7:25">
      <c r="S90" s="600" t="str">
        <f t="shared" si="16"/>
        <v>New Project 6</v>
      </c>
      <c r="T90" s="600" t="str">
        <f>'Sys Admin'!AA48</f>
        <v>Prospective</v>
      </c>
      <c r="U90" s="600" t="str">
        <f>'Sys Admin'!AG48</f>
        <v>Prospective</v>
      </c>
      <c r="V90" s="601">
        <f t="shared" si="15"/>
        <v>0</v>
      </c>
      <c r="W90" s="602">
        <f>IF(U90="Prospective",0, IF(OR('Sys Admin Calculation'!Y76&lt;&gt;0,'Sys Admin Calculation Y2'!W88&lt;&gt;0,'Sys Admin Calculation Y3'!W90&lt;&gt;0,'Sys Admin Calculation Y4'!W90&lt;&gt;0),0,'ESPO Calculator'!$B$41))</f>
        <v>0</v>
      </c>
      <c r="X90" s="602">
        <f>IF(OR(V90=1, U90="Prospective"), 0, 'ESPO Calculator'!$D$48)</f>
        <v>0</v>
      </c>
      <c r="Y90" s="602">
        <f>W90+X90*IF('Sys Admin'!W48 &lt;&gt; 0, (12 - 'Sys Admin'!W48), 12)</f>
        <v>0</v>
      </c>
    </row>
    <row r="91" spans="7:25">
      <c r="S91" s="600" t="str">
        <f t="shared" si="16"/>
        <v>New Project 7</v>
      </c>
      <c r="T91" s="600" t="str">
        <f>'Sys Admin'!AA49</f>
        <v>Prospective</v>
      </c>
      <c r="U91" s="600" t="str">
        <f>'Sys Admin'!AG49</f>
        <v>Prospective</v>
      </c>
      <c r="V91" s="601">
        <f t="shared" si="15"/>
        <v>0</v>
      </c>
      <c r="W91" s="602">
        <f>IF(U91="Prospective",0, IF(OR('Sys Admin Calculation'!Y77&lt;&gt;0,'Sys Admin Calculation Y2'!W89&lt;&gt;0,'Sys Admin Calculation Y3'!W91&lt;&gt;0,'Sys Admin Calculation Y4'!W91&lt;&gt;0),0,'ESPO Calculator'!$B$41))</f>
        <v>0</v>
      </c>
      <c r="X91" s="602">
        <f>IF(OR(V91=1, U91="Prospective"), 0, 'ESPO Calculator'!$D$48)</f>
        <v>0</v>
      </c>
      <c r="Y91" s="602">
        <f>W91+X91*IF('Sys Admin'!W49 &lt;&gt; 0, (12 - 'Sys Admin'!W49), 12)</f>
        <v>0</v>
      </c>
    </row>
    <row r="92" spans="7:25">
      <c r="S92" s="600" t="str">
        <f t="shared" si="16"/>
        <v>New Project 8</v>
      </c>
      <c r="T92" s="600" t="str">
        <f>'Sys Admin'!AA50</f>
        <v>Prospective</v>
      </c>
      <c r="U92" s="600" t="str">
        <f>'Sys Admin'!AG50</f>
        <v>Prospective</v>
      </c>
      <c r="V92" s="601">
        <f t="shared" si="15"/>
        <v>0</v>
      </c>
      <c r="W92" s="602">
        <f>IF(U92="Prospective",0, IF(OR('Sys Admin Calculation'!Y78&lt;&gt;0,'Sys Admin Calculation Y2'!W90&lt;&gt;0,'Sys Admin Calculation Y3'!W92&lt;&gt;0,'Sys Admin Calculation Y4'!W92&lt;&gt;0),0,'ESPO Calculator'!$B$41))</f>
        <v>0</v>
      </c>
      <c r="X92" s="602">
        <f>IF(OR(V92=1, U92="Prospective"), 0, 'ESPO Calculator'!$D$48)</f>
        <v>0</v>
      </c>
      <c r="Y92" s="602">
        <f>W92+X92*IF('Sys Admin'!W50 &lt;&gt; 0, (12 - 'Sys Admin'!W50), 12)</f>
        <v>0</v>
      </c>
    </row>
    <row r="93" spans="7:25">
      <c r="S93" s="600" t="str">
        <f t="shared" si="16"/>
        <v>New Project 9</v>
      </c>
      <c r="T93" s="600" t="str">
        <f>'Sys Admin'!AA51</f>
        <v>Prospective</v>
      </c>
      <c r="U93" s="600" t="str">
        <f>'Sys Admin'!AG51</f>
        <v>Prospective</v>
      </c>
      <c r="V93" s="601">
        <f t="shared" si="15"/>
        <v>0</v>
      </c>
      <c r="W93" s="602">
        <f>IF(U93="Prospective",0, IF(OR('Sys Admin Calculation'!Y79&lt;&gt;0,'Sys Admin Calculation Y2'!W91&lt;&gt;0,'Sys Admin Calculation Y3'!W93&lt;&gt;0,'Sys Admin Calculation Y4'!W93&lt;&gt;0),0,'ESPO Calculator'!$B$41))</f>
        <v>0</v>
      </c>
      <c r="X93" s="602">
        <f>IF(OR(V93=1, U93="Prospective"), 0, 'ESPO Calculator'!$D$48)</f>
        <v>0</v>
      </c>
      <c r="Y93" s="602">
        <f>W93+X93*IF('Sys Admin'!W51 &lt;&gt; 0, (12 - 'Sys Admin'!W51), 12)</f>
        <v>0</v>
      </c>
    </row>
    <row r="94" spans="7:25">
      <c r="S94" s="600" t="str">
        <f t="shared" si="16"/>
        <v>New Project 10</v>
      </c>
      <c r="T94" s="600" t="str">
        <f>'Sys Admin'!AA52</f>
        <v>Prospective</v>
      </c>
      <c r="U94" s="600" t="str">
        <f>'Sys Admin'!AG52</f>
        <v>Prospective</v>
      </c>
      <c r="V94" s="601">
        <f t="shared" si="15"/>
        <v>0</v>
      </c>
      <c r="W94" s="602">
        <f>IF(U94="Prospective",0, IF(OR('Sys Admin Calculation'!Y80&lt;&gt;0,'Sys Admin Calculation Y2'!W92&lt;&gt;0,'Sys Admin Calculation Y3'!W94&lt;&gt;0,'Sys Admin Calculation Y4'!W94&lt;&gt;0),0,'ESPO Calculator'!$B$41))</f>
        <v>0</v>
      </c>
      <c r="X94" s="602">
        <f>IF(OR(V94=1, U94="Prospective"), 0, 'ESPO Calculator'!$D$48)</f>
        <v>0</v>
      </c>
      <c r="Y94" s="602">
        <f>W94+X94*IF('Sys Admin'!W52 &lt;&gt; 0, (12 - 'Sys Admin'!W52), 12)</f>
        <v>0</v>
      </c>
    </row>
    <row r="95" spans="7:25">
      <c r="S95" s="600" t="str">
        <f t="shared" si="16"/>
        <v>New Project 11</v>
      </c>
      <c r="T95" s="600" t="str">
        <f>'Sys Admin'!AA53</f>
        <v>Prospective</v>
      </c>
      <c r="U95" s="600" t="str">
        <f>'Sys Admin'!AG53</f>
        <v>Prospective</v>
      </c>
      <c r="V95" s="601">
        <f t="shared" si="15"/>
        <v>0</v>
      </c>
      <c r="W95" s="602">
        <f>IF(U95="Prospective",0, IF(OR('Sys Admin Calculation'!Y81&lt;&gt;0,'Sys Admin Calculation Y2'!W93&lt;&gt;0,'Sys Admin Calculation Y3'!W95&lt;&gt;0,'Sys Admin Calculation Y4'!W95&lt;&gt;0),0,'ESPO Calculator'!$B$41))</f>
        <v>0</v>
      </c>
      <c r="X95" s="602">
        <f>IF(OR(V95=1, U95="Prospective"), 0, 'ESPO Calculator'!$D$48)</f>
        <v>0</v>
      </c>
      <c r="Y95" s="602">
        <f>W95+X95*IF('Sys Admin'!W53 &lt;&gt; 0, (12 - 'Sys Admin'!W53), 12)</f>
        <v>0</v>
      </c>
    </row>
    <row r="96" spans="7:25">
      <c r="S96" s="600" t="str">
        <f t="shared" si="16"/>
        <v>New Project 12</v>
      </c>
      <c r="T96" s="600" t="str">
        <f>'Sys Admin'!AA54</f>
        <v>Prospective</v>
      </c>
      <c r="U96" s="600" t="str">
        <f>'Sys Admin'!AG54</f>
        <v>Prospective</v>
      </c>
      <c r="V96" s="601">
        <f t="shared" si="15"/>
        <v>0</v>
      </c>
      <c r="W96" s="602">
        <f>IF(U96="Prospective",0, IF(OR('Sys Admin Calculation'!Y82&lt;&gt;0,'Sys Admin Calculation Y2'!W94&lt;&gt;0,'Sys Admin Calculation Y3'!W96&lt;&gt;0,'Sys Admin Calculation Y4'!W96&lt;&gt;0),0,'ESPO Calculator'!$B$41))</f>
        <v>0</v>
      </c>
      <c r="X96" s="602">
        <f>IF(OR(V96=1, U96="Prospective"), 0, 'ESPO Calculator'!$D$48)</f>
        <v>0</v>
      </c>
      <c r="Y96" s="602">
        <f>W96+X96*IF('Sys Admin'!W54 &lt;&gt; 0, (12 - 'Sys Admin'!W54), 12)</f>
        <v>0</v>
      </c>
    </row>
    <row r="97" spans="19:25">
      <c r="S97" s="600" t="str">
        <f t="shared" si="16"/>
        <v>New Project 13</v>
      </c>
      <c r="T97" s="600" t="str">
        <f>'Sys Admin'!AA55</f>
        <v>Prospective</v>
      </c>
      <c r="U97" s="600" t="str">
        <f>'Sys Admin'!AG55</f>
        <v>Prospective</v>
      </c>
      <c r="V97" s="601">
        <f t="shared" si="15"/>
        <v>0</v>
      </c>
      <c r="W97" s="602">
        <f>IF(U97="Prospective",0, IF(OR('Sys Admin Calculation'!Y83&lt;&gt;0,'Sys Admin Calculation Y2'!W95&lt;&gt;0,'Sys Admin Calculation Y3'!W97&lt;&gt;0,'Sys Admin Calculation Y4'!W97&lt;&gt;0),0,'ESPO Calculator'!$B$41))</f>
        <v>0</v>
      </c>
      <c r="X97" s="602">
        <f>IF(OR(V97=1, U97="Prospective"), 0, 'ESPO Calculator'!$D$48)</f>
        <v>0</v>
      </c>
      <c r="Y97" s="602">
        <f>W97+X97*IF('Sys Admin'!W55 &lt;&gt; 0, (12 - 'Sys Admin'!W55), 12)</f>
        <v>0</v>
      </c>
    </row>
    <row r="98" spans="19:25">
      <c r="S98" s="600" t="str">
        <f>A35</f>
        <v>New Project 14</v>
      </c>
      <c r="T98" s="600" t="str">
        <f>'Sys Admin'!AA56</f>
        <v>Prospective</v>
      </c>
      <c r="U98" s="600" t="str">
        <f>'Sys Admin'!AG56</f>
        <v>Prospective</v>
      </c>
      <c r="V98" s="601">
        <f t="shared" si="15"/>
        <v>0</v>
      </c>
      <c r="W98" s="602">
        <f>IF(U98="Prospective",0, IF(OR('Sys Admin Calculation'!Y84&lt;&gt;0,'Sys Admin Calculation Y2'!W96&lt;&gt;0,'Sys Admin Calculation Y3'!W98&lt;&gt;0,'Sys Admin Calculation Y4'!W98&lt;&gt;0),0,'ESPO Calculator'!$B$41))</f>
        <v>0</v>
      </c>
      <c r="X98" s="602">
        <f>IF(OR(V98=1, U98="Prospective"), 0, 'ESPO Calculator'!$D$48)</f>
        <v>0</v>
      </c>
      <c r="Y98" s="602">
        <f>W98+X98*IF('Sys Admin'!W56 &lt;&gt; 0, (12 - 'Sys Admin'!W56), 12)</f>
        <v>0</v>
      </c>
    </row>
    <row r="99" spans="19:25">
      <c r="S99" s="600" t="str">
        <f t="shared" si="16"/>
        <v>New Project 15</v>
      </c>
      <c r="T99" s="600" t="str">
        <f>'Sys Admin'!AA57</f>
        <v>Prospective</v>
      </c>
      <c r="U99" s="600" t="str">
        <f>'Sys Admin'!AG57</f>
        <v>Prospective</v>
      </c>
      <c r="V99" s="601">
        <f t="shared" si="15"/>
        <v>0</v>
      </c>
      <c r="W99" s="602">
        <f>IF(U99="Prospective",0, IF(OR('Sys Admin Calculation'!Y85&lt;&gt;0,'Sys Admin Calculation Y2'!W97&lt;&gt;0,'Sys Admin Calculation Y3'!W99&lt;&gt;0,'Sys Admin Calculation Y4'!W99&lt;&gt;0),0,'ESPO Calculator'!$B$41))</f>
        <v>0</v>
      </c>
      <c r="X99" s="602">
        <f>IF(OR(V99=1, U99="Prospective"), 0, 'ESPO Calculator'!$D$48)</f>
        <v>0</v>
      </c>
      <c r="Y99" s="602">
        <f>W99+X99*IF('Sys Admin'!W57 &lt;&gt; 0, (12 - 'Sys Admin'!W57), 12)</f>
        <v>0</v>
      </c>
    </row>
    <row r="100" spans="19:25">
      <c r="Y100" s="145">
        <f>SUM(Y68:Y99)</f>
        <v>260000</v>
      </c>
    </row>
  </sheetData>
  <sheetProtection algorithmName="SHA-512" hashValue="Qbn+uTJBi/AcJoqIvA/dTP7e9Xcsy1fsHu8klndvEthYSkKSgV2tuSggo40iJ3dCq+0CUERyU65oC7lkuCQRNA==" saltValue="2fYiSt3VsJrlSeH5REKDdw==" spinCount="100000" sheet="1" objects="1" scenarios="1" selectLockedCells="1" selectUnlockedCells="1"/>
  <mergeCells count="5">
    <mergeCell ref="Z2:AD2"/>
    <mergeCell ref="A3:D3"/>
    <mergeCell ref="E3:I3"/>
    <mergeCell ref="J3:N3"/>
    <mergeCell ref="E38:I38"/>
  </mergeCells>
  <pageMargins left="0.7" right="0.7" top="0.75" bottom="0.75" header="0.3" footer="0.3"/>
  <pageSetup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tabColor theme="9" tint="-0.499984740745262"/>
  </sheetPr>
  <dimension ref="A1:T159"/>
  <sheetViews>
    <sheetView zoomScale="85" zoomScaleNormal="85" workbookViewId="0">
      <selection activeCell="J4" sqref="J4"/>
    </sheetView>
  </sheetViews>
  <sheetFormatPr defaultRowHeight="14.25"/>
  <cols>
    <col min="1" max="1" width="39.3984375" customWidth="1"/>
    <col min="2" max="2" width="21.1328125" customWidth="1"/>
    <col min="3" max="3" width="35.86328125" customWidth="1"/>
    <col min="4" max="4" width="22.59765625" customWidth="1"/>
    <col min="5" max="5" width="21.3984375" customWidth="1"/>
    <col min="6" max="7" width="21.1328125" customWidth="1"/>
    <col min="8" max="8" width="20.73046875" customWidth="1"/>
    <col min="9" max="9" width="30.73046875" customWidth="1"/>
    <col min="10" max="10" width="19" bestFit="1" customWidth="1"/>
    <col min="11" max="11" width="15" bestFit="1" customWidth="1"/>
    <col min="12" max="12" width="19.1328125" customWidth="1"/>
    <col min="13" max="13" width="21.73046875" bestFit="1" customWidth="1"/>
    <col min="14" max="14" width="17.73046875" customWidth="1"/>
    <col min="15" max="15" width="19.73046875" customWidth="1"/>
    <col min="16" max="16" width="17.265625" customWidth="1"/>
    <col min="17" max="17" width="21" customWidth="1"/>
    <col min="18" max="18" width="24.73046875" customWidth="1"/>
    <col min="19" max="19" width="23.265625" customWidth="1"/>
    <col min="20" max="20" width="18.1328125" customWidth="1"/>
    <col min="21" max="21" width="26.86328125" customWidth="1"/>
  </cols>
  <sheetData>
    <row r="1" spans="1:20">
      <c r="A1" s="96" t="s">
        <v>215</v>
      </c>
      <c r="S1" s="15" t="s">
        <v>146</v>
      </c>
    </row>
    <row r="2" spans="1:20">
      <c r="B2" t="s">
        <v>212</v>
      </c>
      <c r="C2" t="s">
        <v>166</v>
      </c>
      <c r="D2" t="s">
        <v>214</v>
      </c>
      <c r="E2" t="s">
        <v>213</v>
      </c>
      <c r="F2" t="s">
        <v>74</v>
      </c>
      <c r="G2" t="s">
        <v>85</v>
      </c>
      <c r="I2" t="s">
        <v>169</v>
      </c>
      <c r="K2" t="s">
        <v>587</v>
      </c>
      <c r="S2" s="15" t="s">
        <v>145</v>
      </c>
    </row>
    <row r="3" spans="1:20">
      <c r="B3" t="s">
        <v>196</v>
      </c>
      <c r="C3" t="s">
        <v>31</v>
      </c>
      <c r="D3" t="s">
        <v>31</v>
      </c>
      <c r="E3" t="s">
        <v>198</v>
      </c>
      <c r="F3" t="s">
        <v>71</v>
      </c>
      <c r="G3" t="s">
        <v>83</v>
      </c>
      <c r="I3" s="51" t="s">
        <v>171</v>
      </c>
      <c r="J3" s="9">
        <v>4</v>
      </c>
      <c r="K3" s="65" t="s">
        <v>198</v>
      </c>
      <c r="S3" s="15" t="s">
        <v>203</v>
      </c>
    </row>
    <row r="4" spans="1:20">
      <c r="B4" t="s">
        <v>197</v>
      </c>
      <c r="C4" t="s">
        <v>32</v>
      </c>
      <c r="D4" t="s">
        <v>32</v>
      </c>
      <c r="E4" t="s">
        <v>199</v>
      </c>
      <c r="F4" t="s">
        <v>72</v>
      </c>
      <c r="G4" t="s">
        <v>30</v>
      </c>
      <c r="I4" s="51" t="s">
        <v>62</v>
      </c>
      <c r="J4" s="9">
        <v>2</v>
      </c>
      <c r="K4" s="65" t="s">
        <v>199</v>
      </c>
      <c r="S4" s="15" t="s">
        <v>159</v>
      </c>
    </row>
    <row r="5" spans="1:20">
      <c r="C5" t="s">
        <v>191</v>
      </c>
      <c r="D5" t="s">
        <v>33</v>
      </c>
      <c r="E5" t="s">
        <v>575</v>
      </c>
      <c r="F5" t="s">
        <v>579</v>
      </c>
      <c r="G5" t="s">
        <v>8</v>
      </c>
      <c r="I5" s="51" t="s">
        <v>61</v>
      </c>
      <c r="J5" s="9">
        <v>9</v>
      </c>
      <c r="K5" s="65" t="s">
        <v>192</v>
      </c>
      <c r="S5" s="15" t="s">
        <v>148</v>
      </c>
    </row>
    <row r="6" spans="1:20">
      <c r="C6" t="s">
        <v>192</v>
      </c>
      <c r="E6" t="s">
        <v>192</v>
      </c>
      <c r="G6" t="s">
        <v>84</v>
      </c>
      <c r="I6" s="51" t="s">
        <v>170</v>
      </c>
      <c r="J6" s="9">
        <v>1</v>
      </c>
      <c r="S6" s="15" t="s">
        <v>206</v>
      </c>
    </row>
    <row r="7" spans="1:20">
      <c r="G7" t="s">
        <v>67</v>
      </c>
      <c r="S7" s="29" t="s">
        <v>207</v>
      </c>
    </row>
    <row r="8" spans="1:20">
      <c r="S8" s="79" t="s">
        <v>144</v>
      </c>
    </row>
    <row r="9" spans="1:20">
      <c r="S9" s="79" t="s">
        <v>157</v>
      </c>
    </row>
    <row r="11" spans="1:20" ht="14.65" thickBot="1">
      <c r="D11" s="107" t="s">
        <v>263</v>
      </c>
      <c r="I11" s="51"/>
      <c r="J11" s="9"/>
      <c r="N11" s="107" t="s">
        <v>262</v>
      </c>
      <c r="O11" s="107" t="s">
        <v>264</v>
      </c>
      <c r="P11" s="107"/>
      <c r="Q11" s="107" t="s">
        <v>262</v>
      </c>
      <c r="S11" s="107" t="s">
        <v>308</v>
      </c>
    </row>
    <row r="12" spans="1:20" ht="28.5">
      <c r="A12" s="841" t="s">
        <v>216</v>
      </c>
      <c r="B12" s="842"/>
      <c r="C12" s="843"/>
      <c r="D12" s="836" t="s">
        <v>188</v>
      </c>
      <c r="E12" s="837"/>
      <c r="F12" s="837"/>
      <c r="G12" s="838"/>
      <c r="H12" s="839"/>
      <c r="I12" s="840" t="s">
        <v>311</v>
      </c>
      <c r="J12" s="837"/>
      <c r="K12" s="837"/>
      <c r="L12" s="837"/>
      <c r="M12" s="838"/>
      <c r="N12" s="90" t="s">
        <v>261</v>
      </c>
      <c r="O12" s="93" t="s">
        <v>260</v>
      </c>
      <c r="P12" s="101" t="s">
        <v>211</v>
      </c>
      <c r="Q12" s="2" t="s">
        <v>217</v>
      </c>
      <c r="R12" s="2" t="s">
        <v>303</v>
      </c>
      <c r="S12" t="s">
        <v>83</v>
      </c>
      <c r="T12" t="s">
        <v>30</v>
      </c>
    </row>
    <row r="13" spans="1:20">
      <c r="A13" s="444" t="s">
        <v>187</v>
      </c>
      <c r="B13" s="443" t="s">
        <v>24</v>
      </c>
      <c r="C13" s="16" t="s">
        <v>189</v>
      </c>
      <c r="D13" s="26" t="s">
        <v>9</v>
      </c>
      <c r="E13" s="27" t="s">
        <v>164</v>
      </c>
      <c r="F13" s="27" t="s">
        <v>25</v>
      </c>
      <c r="G13" s="80" t="s">
        <v>167</v>
      </c>
      <c r="H13" s="28" t="s">
        <v>168</v>
      </c>
      <c r="I13" s="74" t="s">
        <v>9</v>
      </c>
      <c r="J13" s="27" t="s">
        <v>164</v>
      </c>
      <c r="K13" s="27" t="s">
        <v>25</v>
      </c>
      <c r="L13" s="27" t="s">
        <v>12</v>
      </c>
      <c r="M13" s="80" t="s">
        <v>265</v>
      </c>
      <c r="N13" s="91"/>
      <c r="O13" s="94"/>
      <c r="P13" s="89"/>
      <c r="Q13" s="2"/>
      <c r="R13" s="2"/>
    </row>
    <row r="14" spans="1:20">
      <c r="A14" s="9" t="s">
        <v>147</v>
      </c>
      <c r="B14" s="9">
        <v>12</v>
      </c>
      <c r="C14" s="16" t="s">
        <v>83</v>
      </c>
      <c r="D14" s="82">
        <v>0</v>
      </c>
      <c r="E14" s="10">
        <v>0</v>
      </c>
      <c r="F14" s="10">
        <v>0</v>
      </c>
      <c r="G14" s="83">
        <f>'Platform Overhead C '!$M$21</f>
        <v>1348.2025000000001</v>
      </c>
      <c r="H14" s="22">
        <f>'Platform Overhead C '!$M$36</f>
        <v>169.03936250000001</v>
      </c>
      <c r="I14" s="84">
        <v>0</v>
      </c>
      <c r="J14" s="10">
        <v>0</v>
      </c>
      <c r="K14" s="10">
        <v>0</v>
      </c>
      <c r="L14" s="10">
        <f t="shared" ref="L14:M18" si="0">G14</f>
        <v>1348.2025000000001</v>
      </c>
      <c r="M14" s="83">
        <f t="shared" si="0"/>
        <v>169.03936250000001</v>
      </c>
      <c r="N14" s="92">
        <v>20000</v>
      </c>
      <c r="O14" s="94">
        <v>5</v>
      </c>
      <c r="P14" s="89" t="s">
        <v>192</v>
      </c>
      <c r="Q14" s="2"/>
      <c r="R14" s="130">
        <f>SUM(D14:H14)*12</f>
        <v>18206.90235</v>
      </c>
    </row>
    <row r="15" spans="1:20">
      <c r="A15" s="9" t="s">
        <v>146</v>
      </c>
      <c r="B15" s="9">
        <v>12</v>
      </c>
      <c r="C15" s="16" t="s">
        <v>8</v>
      </c>
      <c r="D15" s="82">
        <v>0</v>
      </c>
      <c r="E15" s="106">
        <f>D53</f>
        <v>20.96</v>
      </c>
      <c r="F15" s="10"/>
      <c r="G15" s="83">
        <f>'Platform Overhead C '!$M$23</f>
        <v>7190.413333333333</v>
      </c>
      <c r="H15" s="22">
        <f>'Platform Overhead C '!$M$38</f>
        <v>1202.0576888888891</v>
      </c>
      <c r="I15" s="84">
        <v>0</v>
      </c>
      <c r="J15" s="106">
        <f>AVERAGE(D53:F53)</f>
        <v>477.21333333333337</v>
      </c>
      <c r="K15" s="10"/>
      <c r="L15" s="10">
        <f t="shared" si="0"/>
        <v>7190.413333333333</v>
      </c>
      <c r="M15" s="83">
        <f t="shared" si="0"/>
        <v>1202.0576888888891</v>
      </c>
      <c r="N15" s="92">
        <v>0</v>
      </c>
      <c r="O15" s="94">
        <v>5</v>
      </c>
      <c r="P15" s="89" t="s">
        <v>192</v>
      </c>
      <c r="Q15" s="132">
        <v>0.04</v>
      </c>
      <c r="R15" s="130">
        <f t="shared" ref="R15:R30" si="1">SUM(D15:H15)*12</f>
        <v>100961.17226666668</v>
      </c>
    </row>
    <row r="16" spans="1:20">
      <c r="A16" s="9" t="s">
        <v>145</v>
      </c>
      <c r="B16" s="9">
        <v>12</v>
      </c>
      <c r="C16" s="16" t="s">
        <v>8</v>
      </c>
      <c r="D16" s="82">
        <v>0</v>
      </c>
      <c r="E16" s="106">
        <f>D52</f>
        <v>62.03</v>
      </c>
      <c r="F16" s="106">
        <f>D117</f>
        <v>0</v>
      </c>
      <c r="G16" s="83">
        <f>'Platform Overhead C '!$M$23</f>
        <v>7190.413333333333</v>
      </c>
      <c r="H16" s="22">
        <f>'Platform Overhead C '!$M$38</f>
        <v>1202.0576888888891</v>
      </c>
      <c r="I16" s="84">
        <v>0</v>
      </c>
      <c r="J16" s="106">
        <f>AVERAGE(D52:F52)</f>
        <v>49.360000000000007</v>
      </c>
      <c r="K16" s="106">
        <f>AVERAGE(D117:F117)</f>
        <v>0</v>
      </c>
      <c r="L16" s="10">
        <f t="shared" si="0"/>
        <v>7190.413333333333</v>
      </c>
      <c r="M16" s="83">
        <f t="shared" si="0"/>
        <v>1202.0576888888891</v>
      </c>
      <c r="N16" s="92">
        <v>0</v>
      </c>
      <c r="O16" s="94">
        <v>8</v>
      </c>
      <c r="P16" s="89" t="s">
        <v>192</v>
      </c>
      <c r="Q16" s="132">
        <v>0.04</v>
      </c>
      <c r="R16" s="130">
        <f t="shared" si="1"/>
        <v>101454.01226666667</v>
      </c>
    </row>
    <row r="17" spans="1:18">
      <c r="A17" s="9" t="s">
        <v>203</v>
      </c>
      <c r="B17" s="9">
        <v>12</v>
      </c>
      <c r="C17" s="16" t="s">
        <v>8</v>
      </c>
      <c r="D17" s="82">
        <v>0</v>
      </c>
      <c r="E17" s="10">
        <v>0</v>
      </c>
      <c r="F17" s="106">
        <f>D114</f>
        <v>148.24</v>
      </c>
      <c r="G17" s="83">
        <f>'Platform Overhead C '!$M$23</f>
        <v>7190.413333333333</v>
      </c>
      <c r="H17" s="22">
        <f>'Platform Overhead C '!$M$38</f>
        <v>1202.0576888888891</v>
      </c>
      <c r="I17" s="84">
        <v>0</v>
      </c>
      <c r="J17" s="10">
        <v>0</v>
      </c>
      <c r="K17" s="106">
        <f>AVERAGE(D114:F114)</f>
        <v>170.27333333333334</v>
      </c>
      <c r="L17" s="10">
        <f t="shared" si="0"/>
        <v>7190.413333333333</v>
      </c>
      <c r="M17" s="83">
        <f t="shared" si="0"/>
        <v>1202.0576888888891</v>
      </c>
      <c r="N17" s="92">
        <v>0</v>
      </c>
      <c r="O17" s="94">
        <v>5</v>
      </c>
      <c r="P17" s="89" t="s">
        <v>192</v>
      </c>
      <c r="Q17" s="132">
        <v>0.04</v>
      </c>
      <c r="R17" s="130">
        <f t="shared" si="1"/>
        <v>102488.53226666666</v>
      </c>
    </row>
    <row r="18" spans="1:18">
      <c r="A18" s="9" t="s">
        <v>159</v>
      </c>
      <c r="B18" s="9">
        <v>12</v>
      </c>
      <c r="C18" s="16" t="s">
        <v>8</v>
      </c>
      <c r="D18" s="82">
        <v>0</v>
      </c>
      <c r="E18" s="10">
        <v>0</v>
      </c>
      <c r="F18" s="106">
        <f>D115</f>
        <v>93.63</v>
      </c>
      <c r="G18" s="83">
        <f>'Platform Overhead C '!$M$23</f>
        <v>7190.413333333333</v>
      </c>
      <c r="H18" s="22">
        <f>'Platform Overhead C '!$M$38</f>
        <v>1202.0576888888891</v>
      </c>
      <c r="I18" s="84">
        <v>0</v>
      </c>
      <c r="J18" s="10">
        <v>0</v>
      </c>
      <c r="K18" s="106">
        <f>AVERAGE(D115:F115)</f>
        <v>95.11</v>
      </c>
      <c r="L18" s="10">
        <f t="shared" si="0"/>
        <v>7190.413333333333</v>
      </c>
      <c r="M18" s="83">
        <f t="shared" si="0"/>
        <v>1202.0576888888891</v>
      </c>
      <c r="N18" s="92">
        <v>0</v>
      </c>
      <c r="O18" s="94">
        <v>10</v>
      </c>
      <c r="P18" s="89" t="s">
        <v>192</v>
      </c>
      <c r="Q18" s="132">
        <v>0.04</v>
      </c>
      <c r="R18" s="130">
        <f t="shared" si="1"/>
        <v>101833.21226666665</v>
      </c>
    </row>
    <row r="19" spans="1:18">
      <c r="A19" s="9" t="s">
        <v>204</v>
      </c>
      <c r="B19" s="9">
        <v>12</v>
      </c>
      <c r="C19" s="16" t="s">
        <v>83</v>
      </c>
      <c r="D19" s="82">
        <v>0</v>
      </c>
      <c r="E19" s="10">
        <v>0</v>
      </c>
      <c r="F19" s="10">
        <v>0</v>
      </c>
      <c r="G19" s="83">
        <f>'Platform Overhead C '!M21</f>
        <v>1348.2025000000001</v>
      </c>
      <c r="H19" s="22">
        <f>'Platform Overhead C '!$M$36</f>
        <v>169.03936250000001</v>
      </c>
      <c r="I19" s="84">
        <v>0</v>
      </c>
      <c r="J19" s="10">
        <v>0</v>
      </c>
      <c r="K19" s="10">
        <v>0</v>
      </c>
      <c r="L19" s="10">
        <v>0</v>
      </c>
      <c r="M19" s="83">
        <v>0</v>
      </c>
      <c r="N19" s="92">
        <v>0</v>
      </c>
      <c r="O19" s="94">
        <v>0</v>
      </c>
      <c r="P19" s="89" t="s">
        <v>192</v>
      </c>
      <c r="Q19" s="2"/>
      <c r="R19" s="130">
        <f t="shared" si="1"/>
        <v>18206.90235</v>
      </c>
    </row>
    <row r="20" spans="1:18">
      <c r="A20" s="9" t="s">
        <v>205</v>
      </c>
      <c r="B20" s="9">
        <v>12</v>
      </c>
      <c r="C20" s="16" t="s">
        <v>83</v>
      </c>
      <c r="D20" s="82">
        <v>0</v>
      </c>
      <c r="E20" s="10">
        <v>0</v>
      </c>
      <c r="F20" s="10">
        <v>0</v>
      </c>
      <c r="G20" s="83">
        <f>'Platform Overhead C '!$M$21</f>
        <v>1348.2025000000001</v>
      </c>
      <c r="H20" s="22">
        <f>'Platform Overhead C '!$M$36</f>
        <v>169.03936250000001</v>
      </c>
      <c r="I20" s="84">
        <v>0</v>
      </c>
      <c r="J20" s="10">
        <v>0</v>
      </c>
      <c r="K20" s="10">
        <v>0</v>
      </c>
      <c r="L20" s="10">
        <f t="shared" ref="L20:M23" si="2">G20</f>
        <v>1348.2025000000001</v>
      </c>
      <c r="M20" s="83">
        <f t="shared" si="2"/>
        <v>169.03936250000001</v>
      </c>
      <c r="N20" s="92">
        <v>0</v>
      </c>
      <c r="O20" s="94">
        <v>0</v>
      </c>
      <c r="P20" s="89" t="s">
        <v>192</v>
      </c>
      <c r="Q20" s="2"/>
      <c r="R20" s="130">
        <f t="shared" si="1"/>
        <v>18206.90235</v>
      </c>
    </row>
    <row r="21" spans="1:18">
      <c r="A21" s="9" t="s">
        <v>148</v>
      </c>
      <c r="B21" s="9">
        <v>12</v>
      </c>
      <c r="C21" s="16" t="s">
        <v>8</v>
      </c>
      <c r="D21" s="82">
        <v>0</v>
      </c>
      <c r="E21" s="106">
        <f>D55</f>
        <v>131.35</v>
      </c>
      <c r="F21" s="10"/>
      <c r="G21" s="83">
        <f>'Platform Overhead C '!$M$23</f>
        <v>7190.413333333333</v>
      </c>
      <c r="H21" s="22">
        <f>'Platform Overhead C '!$M$38</f>
        <v>1202.0576888888891</v>
      </c>
      <c r="I21" s="84">
        <v>0</v>
      </c>
      <c r="J21" s="106">
        <f>AVERAGE(D55:F55)</f>
        <v>187.05333333333331</v>
      </c>
      <c r="K21" s="10"/>
      <c r="L21" s="10">
        <f t="shared" si="2"/>
        <v>7190.413333333333</v>
      </c>
      <c r="M21" s="83">
        <f t="shared" si="2"/>
        <v>1202.0576888888891</v>
      </c>
      <c r="N21" s="92">
        <v>0</v>
      </c>
      <c r="O21" s="94">
        <v>5</v>
      </c>
      <c r="P21" s="89" t="s">
        <v>192</v>
      </c>
      <c r="Q21" s="132">
        <v>0.04</v>
      </c>
      <c r="R21" s="130">
        <f t="shared" si="1"/>
        <v>102285.85226666667</v>
      </c>
    </row>
    <row r="22" spans="1:18">
      <c r="A22" s="9" t="s">
        <v>206</v>
      </c>
      <c r="B22" s="9">
        <v>12</v>
      </c>
      <c r="C22" s="16" t="s">
        <v>8</v>
      </c>
      <c r="D22" s="82">
        <v>0</v>
      </c>
      <c r="E22" s="10">
        <v>0</v>
      </c>
      <c r="F22" s="106">
        <f>D116</f>
        <v>0</v>
      </c>
      <c r="G22" s="83">
        <f>'Platform Overhead C '!$M$23</f>
        <v>7190.413333333333</v>
      </c>
      <c r="H22" s="22">
        <f>'Platform Overhead C '!$M$38</f>
        <v>1202.0576888888891</v>
      </c>
      <c r="I22" s="84">
        <v>0</v>
      </c>
      <c r="J22" s="10"/>
      <c r="K22" s="10"/>
      <c r="L22" s="10">
        <f t="shared" si="2"/>
        <v>7190.413333333333</v>
      </c>
      <c r="M22" s="83">
        <f t="shared" si="2"/>
        <v>1202.0576888888891</v>
      </c>
      <c r="N22" s="92">
        <v>0</v>
      </c>
      <c r="O22" s="94">
        <v>3</v>
      </c>
      <c r="P22" s="89" t="s">
        <v>192</v>
      </c>
      <c r="Q22" s="132">
        <v>0.04</v>
      </c>
      <c r="R22" s="130">
        <f t="shared" si="1"/>
        <v>100709.65226666667</v>
      </c>
    </row>
    <row r="23" spans="1:18">
      <c r="A23" s="9" t="s">
        <v>207</v>
      </c>
      <c r="B23" s="9">
        <v>12</v>
      </c>
      <c r="C23" s="78" t="s">
        <v>8</v>
      </c>
      <c r="D23" s="82">
        <v>0</v>
      </c>
      <c r="E23" s="10">
        <v>0</v>
      </c>
      <c r="F23" s="10">
        <v>0</v>
      </c>
      <c r="G23" s="83">
        <f>'Platform Overhead C '!$M$23</f>
        <v>7190.413333333333</v>
      </c>
      <c r="H23" s="22">
        <f>'Platform Overhead C '!$M$38</f>
        <v>1202.0576888888891</v>
      </c>
      <c r="I23" s="86">
        <v>0</v>
      </c>
      <c r="J23" s="85"/>
      <c r="K23" s="85"/>
      <c r="L23" s="10">
        <f t="shared" si="2"/>
        <v>7190.413333333333</v>
      </c>
      <c r="M23" s="83">
        <f t="shared" si="2"/>
        <v>1202.0576888888891</v>
      </c>
      <c r="N23" s="92">
        <v>0</v>
      </c>
      <c r="O23" s="94">
        <v>1</v>
      </c>
      <c r="P23" s="89" t="s">
        <v>192</v>
      </c>
      <c r="Q23" s="132">
        <v>0.04</v>
      </c>
      <c r="R23" s="130">
        <f>SUM(D23:H23)*12</f>
        <v>100709.65226666667</v>
      </c>
    </row>
    <row r="24" spans="1:18">
      <c r="A24" s="440" t="s">
        <v>208</v>
      </c>
      <c r="B24" s="9">
        <v>12</v>
      </c>
      <c r="C24" s="16" t="s">
        <v>67</v>
      </c>
      <c r="D24" s="82">
        <v>0</v>
      </c>
      <c r="E24" s="10">
        <v>0</v>
      </c>
      <c r="F24" s="10">
        <v>0</v>
      </c>
      <c r="G24" s="83">
        <v>0</v>
      </c>
      <c r="H24" s="22">
        <v>0</v>
      </c>
      <c r="I24" s="84">
        <v>0</v>
      </c>
      <c r="J24" s="10">
        <v>0</v>
      </c>
      <c r="K24" s="10">
        <v>0</v>
      </c>
      <c r="L24" s="10">
        <v>0</v>
      </c>
      <c r="M24" s="83">
        <v>0</v>
      </c>
      <c r="N24" s="92">
        <v>0</v>
      </c>
      <c r="O24" s="94">
        <v>0</v>
      </c>
      <c r="P24" s="89" t="s">
        <v>192</v>
      </c>
      <c r="Q24" s="2"/>
      <c r="R24" s="130">
        <f t="shared" si="1"/>
        <v>0</v>
      </c>
    </row>
    <row r="25" spans="1:18">
      <c r="A25" s="440" t="s">
        <v>209</v>
      </c>
      <c r="B25" s="9">
        <v>12</v>
      </c>
      <c r="C25" s="16" t="s">
        <v>67</v>
      </c>
      <c r="D25" s="82">
        <v>0</v>
      </c>
      <c r="E25" s="10">
        <v>0</v>
      </c>
      <c r="F25" s="10">
        <v>0</v>
      </c>
      <c r="G25" s="83">
        <v>0</v>
      </c>
      <c r="H25" s="22">
        <v>0</v>
      </c>
      <c r="I25" s="84">
        <v>0</v>
      </c>
      <c r="J25" s="10">
        <v>0</v>
      </c>
      <c r="K25" s="10">
        <v>0</v>
      </c>
      <c r="L25" s="10">
        <v>0</v>
      </c>
      <c r="M25" s="83">
        <v>0</v>
      </c>
      <c r="N25" s="92">
        <v>0</v>
      </c>
      <c r="O25" s="94">
        <v>0</v>
      </c>
      <c r="P25" s="89" t="s">
        <v>192</v>
      </c>
      <c r="Q25" s="2"/>
      <c r="R25" s="130">
        <f t="shared" si="1"/>
        <v>0</v>
      </c>
    </row>
    <row r="26" spans="1:18">
      <c r="A26" s="440" t="s">
        <v>144</v>
      </c>
      <c r="B26" s="9">
        <v>12</v>
      </c>
      <c r="C26" s="16" t="s">
        <v>8</v>
      </c>
      <c r="D26" s="82">
        <v>0</v>
      </c>
      <c r="E26" s="106">
        <f>D51</f>
        <v>973.7</v>
      </c>
      <c r="F26" s="10">
        <v>0</v>
      </c>
      <c r="G26" s="83">
        <f>'Platform Overhead C '!$M$23</f>
        <v>7190.413333333333</v>
      </c>
      <c r="H26" s="22">
        <f>'Platform Overhead C '!$M$38</f>
        <v>1202.0576888888891</v>
      </c>
      <c r="I26" s="84">
        <v>0</v>
      </c>
      <c r="J26" s="106">
        <f>AVERAGE(D51:F51)</f>
        <v>1109.17</v>
      </c>
      <c r="K26" s="10"/>
      <c r="L26" s="10">
        <f>G26</f>
        <v>7190.413333333333</v>
      </c>
      <c r="M26" s="83">
        <f>H26</f>
        <v>1202.0576888888891</v>
      </c>
      <c r="N26" s="92">
        <v>0</v>
      </c>
      <c r="O26" s="94">
        <v>3</v>
      </c>
      <c r="P26" s="89" t="s">
        <v>192</v>
      </c>
      <c r="Q26" s="132">
        <v>0.04</v>
      </c>
      <c r="R26" s="130">
        <f t="shared" si="1"/>
        <v>112394.05226666665</v>
      </c>
    </row>
    <row r="27" spans="1:18">
      <c r="A27" s="440" t="s">
        <v>157</v>
      </c>
      <c r="B27" s="9">
        <v>12</v>
      </c>
      <c r="C27" s="9" t="s">
        <v>8</v>
      </c>
      <c r="D27" s="10">
        <v>0</v>
      </c>
      <c r="E27" s="10">
        <v>0</v>
      </c>
      <c r="F27" s="106">
        <f>D113</f>
        <v>353.49</v>
      </c>
      <c r="G27" s="83">
        <f>'Platform Overhead C '!$M$23</f>
        <v>7190.413333333333</v>
      </c>
      <c r="H27" s="22">
        <f>'Platform Overhead C '!$M$38</f>
        <v>1202.0576888888891</v>
      </c>
      <c r="I27" s="84">
        <v>0</v>
      </c>
      <c r="J27" s="10">
        <v>0</v>
      </c>
      <c r="K27" s="106">
        <f>AVERAGE(D113:F113)</f>
        <v>449.72333333333336</v>
      </c>
      <c r="L27" s="10">
        <f>G27</f>
        <v>7190.413333333333</v>
      </c>
      <c r="M27" s="83">
        <f>H27</f>
        <v>1202.0576888888891</v>
      </c>
      <c r="N27" s="92">
        <v>0</v>
      </c>
      <c r="O27" s="94">
        <v>0</v>
      </c>
      <c r="P27" s="89" t="s">
        <v>192</v>
      </c>
      <c r="Q27" s="132">
        <v>0.04</v>
      </c>
      <c r="R27" s="130">
        <f t="shared" si="1"/>
        <v>104951.53226666666</v>
      </c>
    </row>
    <row r="28" spans="1:18">
      <c r="A28" s="440" t="s">
        <v>210</v>
      </c>
      <c r="B28" s="9">
        <v>12</v>
      </c>
      <c r="C28" s="9" t="s">
        <v>83</v>
      </c>
      <c r="D28" s="10">
        <v>0</v>
      </c>
      <c r="E28" s="10">
        <v>0</v>
      </c>
      <c r="F28" s="10">
        <v>0</v>
      </c>
      <c r="G28" s="83">
        <f>'Platform Overhead C '!$M$21</f>
        <v>1348.2025000000001</v>
      </c>
      <c r="H28" s="22">
        <f>'Platform Overhead C '!$M$36</f>
        <v>169.03936250000001</v>
      </c>
      <c r="I28" s="84">
        <v>0</v>
      </c>
      <c r="J28" s="10">
        <v>0</v>
      </c>
      <c r="K28" s="10">
        <v>0</v>
      </c>
      <c r="L28" s="10">
        <v>0</v>
      </c>
      <c r="M28" s="83">
        <v>0</v>
      </c>
      <c r="N28" s="92">
        <v>0</v>
      </c>
      <c r="O28" s="94">
        <v>0</v>
      </c>
      <c r="P28" s="89" t="s">
        <v>192</v>
      </c>
      <c r="Q28" s="2"/>
      <c r="R28" s="130">
        <f t="shared" si="1"/>
        <v>18206.90235</v>
      </c>
    </row>
    <row r="29" spans="1:18">
      <c r="A29" s="440" t="s">
        <v>201</v>
      </c>
      <c r="B29" s="9">
        <v>12</v>
      </c>
      <c r="C29" s="9" t="s">
        <v>67</v>
      </c>
      <c r="D29" s="10">
        <v>0</v>
      </c>
      <c r="E29" s="10">
        <v>0</v>
      </c>
      <c r="F29" s="10">
        <v>0</v>
      </c>
      <c r="G29" s="83">
        <v>0</v>
      </c>
      <c r="H29" s="22">
        <v>0</v>
      </c>
      <c r="I29" s="84">
        <v>0</v>
      </c>
      <c r="J29" s="10">
        <v>0</v>
      </c>
      <c r="K29" s="10">
        <v>0</v>
      </c>
      <c r="L29" s="10">
        <v>0</v>
      </c>
      <c r="M29" s="83">
        <v>0</v>
      </c>
      <c r="N29" s="92">
        <v>0</v>
      </c>
      <c r="O29" s="94">
        <v>0</v>
      </c>
      <c r="P29" s="89" t="s">
        <v>192</v>
      </c>
      <c r="Q29" s="2"/>
      <c r="R29" s="130">
        <f t="shared" si="1"/>
        <v>0</v>
      </c>
    </row>
    <row r="30" spans="1:18" ht="14.65" thickBot="1">
      <c r="A30" s="440" t="s">
        <v>202</v>
      </c>
      <c r="B30" s="9">
        <v>12</v>
      </c>
      <c r="C30" s="9" t="s">
        <v>67</v>
      </c>
      <c r="D30" s="10">
        <v>0</v>
      </c>
      <c r="E30" s="10">
        <v>0</v>
      </c>
      <c r="F30" s="10">
        <v>0</v>
      </c>
      <c r="G30" s="83">
        <v>0</v>
      </c>
      <c r="H30" s="24">
        <v>0</v>
      </c>
      <c r="I30" s="88">
        <v>0</v>
      </c>
      <c r="J30" s="33">
        <v>0</v>
      </c>
      <c r="K30" s="33">
        <v>0</v>
      </c>
      <c r="L30" s="33">
        <v>0</v>
      </c>
      <c r="M30" s="87">
        <v>0</v>
      </c>
      <c r="N30" s="92">
        <v>0</v>
      </c>
      <c r="O30" s="95">
        <v>0</v>
      </c>
      <c r="P30" s="89" t="s">
        <v>192</v>
      </c>
      <c r="Q30" s="2"/>
      <c r="R30" s="130">
        <f t="shared" si="1"/>
        <v>0</v>
      </c>
    </row>
    <row r="31" spans="1:18">
      <c r="A31" s="440" t="s">
        <v>611</v>
      </c>
      <c r="B31" s="9">
        <v>12</v>
      </c>
      <c r="C31" s="9" t="s">
        <v>67</v>
      </c>
      <c r="D31" s="10">
        <v>0</v>
      </c>
      <c r="E31" s="10"/>
      <c r="F31" s="10"/>
      <c r="G31" s="83"/>
      <c r="H31" s="497"/>
      <c r="I31" s="497"/>
      <c r="J31" s="497"/>
      <c r="K31" s="497"/>
      <c r="L31" s="497"/>
      <c r="M31" s="497"/>
      <c r="N31" s="498"/>
      <c r="O31" s="499"/>
      <c r="P31" s="499"/>
      <c r="Q31" s="2"/>
      <c r="R31" s="130"/>
    </row>
    <row r="32" spans="1:18">
      <c r="A32" s="440" t="s">
        <v>612</v>
      </c>
      <c r="B32" s="9">
        <v>12</v>
      </c>
      <c r="C32" s="9" t="s">
        <v>67</v>
      </c>
      <c r="D32" s="10">
        <v>0</v>
      </c>
      <c r="E32" s="10"/>
      <c r="F32" s="10"/>
      <c r="G32" s="83"/>
      <c r="H32" s="497"/>
      <c r="I32" s="497"/>
      <c r="J32" s="497"/>
      <c r="K32" s="497"/>
      <c r="L32" s="497"/>
      <c r="M32" s="497"/>
      <c r="N32" s="498"/>
      <c r="O32" s="499"/>
      <c r="P32" s="499"/>
      <c r="Q32" s="2"/>
      <c r="R32" s="130"/>
    </row>
    <row r="33" spans="1:18">
      <c r="A33" s="440" t="s">
        <v>613</v>
      </c>
      <c r="B33" s="9">
        <v>12</v>
      </c>
      <c r="C33" s="9" t="s">
        <v>67</v>
      </c>
      <c r="D33" s="10">
        <v>0</v>
      </c>
      <c r="E33" s="10"/>
      <c r="F33" s="10"/>
      <c r="G33" s="83"/>
      <c r="H33" s="497"/>
      <c r="I33" s="497"/>
      <c r="J33" s="497"/>
      <c r="K33" s="497"/>
      <c r="L33" s="497"/>
      <c r="M33" s="497"/>
      <c r="N33" s="498"/>
      <c r="O33" s="499"/>
      <c r="P33" s="499"/>
      <c r="Q33" s="2"/>
      <c r="R33" s="130"/>
    </row>
    <row r="34" spans="1:18">
      <c r="A34" s="440" t="s">
        <v>614</v>
      </c>
      <c r="B34" s="9">
        <v>12</v>
      </c>
      <c r="C34" s="9" t="s">
        <v>67</v>
      </c>
      <c r="D34" s="10">
        <v>0</v>
      </c>
      <c r="E34" s="10"/>
      <c r="F34" s="10"/>
      <c r="G34" s="83"/>
      <c r="H34" s="497"/>
      <c r="I34" s="497"/>
      <c r="J34" s="497"/>
      <c r="K34" s="497"/>
      <c r="L34" s="497"/>
      <c r="M34" s="497"/>
      <c r="N34" s="498"/>
      <c r="O34" s="499"/>
      <c r="P34" s="499"/>
      <c r="Q34" s="2"/>
      <c r="R34" s="130"/>
    </row>
    <row r="35" spans="1:18">
      <c r="A35" s="440" t="s">
        <v>615</v>
      </c>
      <c r="B35" s="9">
        <v>12</v>
      </c>
      <c r="C35" s="9" t="s">
        <v>67</v>
      </c>
      <c r="D35" s="10">
        <v>0</v>
      </c>
      <c r="E35" s="10"/>
      <c r="F35" s="10"/>
      <c r="G35" s="83"/>
      <c r="H35" s="497"/>
      <c r="I35" s="497"/>
      <c r="J35" s="497"/>
      <c r="K35" s="497"/>
      <c r="L35" s="497"/>
      <c r="M35" s="497"/>
      <c r="N35" s="498"/>
      <c r="O35" s="499"/>
      <c r="P35" s="499"/>
      <c r="Q35" s="2"/>
      <c r="R35" s="130"/>
    </row>
    <row r="36" spans="1:18">
      <c r="A36" s="440" t="s">
        <v>616</v>
      </c>
      <c r="B36" s="9">
        <v>12</v>
      </c>
      <c r="C36" s="9" t="s">
        <v>67</v>
      </c>
      <c r="D36" s="10">
        <v>0</v>
      </c>
      <c r="E36" s="10"/>
      <c r="F36" s="10"/>
      <c r="G36" s="83"/>
      <c r="H36" s="497"/>
      <c r="I36" s="497"/>
      <c r="J36" s="497"/>
      <c r="K36" s="497"/>
      <c r="L36" s="497"/>
      <c r="M36" s="497"/>
      <c r="N36" s="498"/>
      <c r="O36" s="499"/>
      <c r="P36" s="499"/>
      <c r="Q36" s="2"/>
      <c r="R36" s="130"/>
    </row>
    <row r="37" spans="1:18">
      <c r="A37" s="440" t="s">
        <v>617</v>
      </c>
      <c r="B37" s="9">
        <v>12</v>
      </c>
      <c r="C37" s="9" t="s">
        <v>67</v>
      </c>
      <c r="D37" s="10">
        <v>0</v>
      </c>
      <c r="E37" s="10"/>
      <c r="F37" s="10"/>
      <c r="G37" s="83"/>
      <c r="H37" s="497"/>
      <c r="I37" s="497"/>
      <c r="J37" s="497"/>
      <c r="K37" s="497"/>
      <c r="L37" s="497"/>
      <c r="M37" s="497"/>
      <c r="N37" s="498"/>
      <c r="O37" s="499"/>
      <c r="P37" s="499"/>
      <c r="Q37" s="2"/>
      <c r="R37" s="130"/>
    </row>
    <row r="38" spans="1:18">
      <c r="A38" s="440" t="s">
        <v>618</v>
      </c>
      <c r="B38" s="9">
        <v>12</v>
      </c>
      <c r="C38" s="9" t="s">
        <v>67</v>
      </c>
      <c r="D38" s="10">
        <v>0</v>
      </c>
      <c r="E38" s="10"/>
      <c r="F38" s="10"/>
      <c r="G38" s="83"/>
      <c r="H38" s="497"/>
      <c r="I38" s="497"/>
      <c r="J38" s="497"/>
      <c r="K38" s="497"/>
      <c r="L38" s="497"/>
      <c r="M38" s="497"/>
      <c r="N38" s="498"/>
      <c r="O38" s="499"/>
      <c r="P38" s="499"/>
      <c r="Q38" s="2"/>
      <c r="R38" s="130"/>
    </row>
    <row r="39" spans="1:18">
      <c r="A39" s="440" t="s">
        <v>619</v>
      </c>
      <c r="B39" s="9">
        <v>12</v>
      </c>
      <c r="C39" s="9" t="s">
        <v>67</v>
      </c>
      <c r="D39" s="10">
        <v>0</v>
      </c>
      <c r="E39" s="10"/>
      <c r="F39" s="10"/>
      <c r="G39" s="83"/>
      <c r="H39" s="497"/>
      <c r="I39" s="497"/>
      <c r="J39" s="497"/>
      <c r="K39" s="497"/>
      <c r="L39" s="497"/>
      <c r="M39" s="497"/>
      <c r="N39" s="498"/>
      <c r="O39" s="499"/>
      <c r="P39" s="499"/>
      <c r="Q39" s="2"/>
      <c r="R39" s="130"/>
    </row>
    <row r="40" spans="1:18">
      <c r="A40" s="440" t="s">
        <v>620</v>
      </c>
      <c r="B40" s="9">
        <v>12</v>
      </c>
      <c r="C40" s="9" t="s">
        <v>67</v>
      </c>
      <c r="D40" s="10">
        <v>0</v>
      </c>
      <c r="E40" s="10"/>
      <c r="F40" s="10"/>
      <c r="G40" s="83"/>
      <c r="H40" s="497"/>
      <c r="I40" s="497"/>
      <c r="J40" s="497"/>
      <c r="K40" s="497"/>
      <c r="L40" s="497"/>
      <c r="M40" s="497"/>
      <c r="N40" s="498"/>
      <c r="O40" s="499"/>
      <c r="P40" s="499"/>
      <c r="Q40" s="2"/>
      <c r="R40" s="130"/>
    </row>
    <row r="41" spans="1:18">
      <c r="A41" s="440" t="s">
        <v>621</v>
      </c>
      <c r="B41" s="9">
        <v>12</v>
      </c>
      <c r="C41" s="9" t="s">
        <v>67</v>
      </c>
      <c r="D41" s="10">
        <v>0</v>
      </c>
      <c r="E41" s="10"/>
      <c r="F41" s="10"/>
      <c r="G41" s="83"/>
      <c r="H41" s="497"/>
      <c r="I41" s="497"/>
      <c r="J41" s="497"/>
      <c r="K41" s="497"/>
      <c r="L41" s="497"/>
      <c r="M41" s="497"/>
      <c r="N41" s="498"/>
      <c r="O41" s="499"/>
      <c r="P41" s="499"/>
      <c r="Q41" s="2"/>
      <c r="R41" s="130"/>
    </row>
    <row r="42" spans="1:18">
      <c r="A42" s="440" t="s">
        <v>622</v>
      </c>
      <c r="B42" s="9">
        <v>12</v>
      </c>
      <c r="C42" s="9" t="s">
        <v>67</v>
      </c>
      <c r="D42" s="10">
        <v>0</v>
      </c>
      <c r="E42" s="10"/>
      <c r="F42" s="10"/>
      <c r="G42" s="83"/>
      <c r="H42" s="497"/>
      <c r="I42" s="497"/>
      <c r="J42" s="497"/>
      <c r="K42" s="497"/>
      <c r="L42" s="497"/>
      <c r="M42" s="497"/>
      <c r="N42" s="498"/>
      <c r="O42" s="499"/>
      <c r="P42" s="499"/>
      <c r="Q42" s="2"/>
      <c r="R42" s="130"/>
    </row>
    <row r="43" spans="1:18">
      <c r="A43" s="440" t="s">
        <v>623</v>
      </c>
      <c r="B43" s="9">
        <v>12</v>
      </c>
      <c r="C43" s="9" t="s">
        <v>67</v>
      </c>
      <c r="D43" s="10">
        <v>0</v>
      </c>
      <c r="E43" s="10"/>
      <c r="F43" s="10"/>
      <c r="G43" s="83"/>
      <c r="H43" s="497"/>
      <c r="I43" s="497"/>
      <c r="J43" s="497"/>
      <c r="K43" s="497"/>
      <c r="L43" s="497"/>
      <c r="M43" s="497"/>
      <c r="N43" s="498"/>
      <c r="O43" s="499"/>
      <c r="P43" s="499"/>
      <c r="Q43" s="2"/>
      <c r="R43" s="130"/>
    </row>
    <row r="44" spans="1:18">
      <c r="A44" s="440" t="s">
        <v>624</v>
      </c>
      <c r="B44" s="9">
        <v>12</v>
      </c>
      <c r="C44" s="9" t="s">
        <v>67</v>
      </c>
      <c r="D44" s="10">
        <v>0</v>
      </c>
      <c r="E44" s="10"/>
      <c r="F44" s="10"/>
      <c r="G44" s="83"/>
      <c r="H44" s="497"/>
      <c r="I44" s="497"/>
      <c r="J44" s="497"/>
      <c r="K44" s="497"/>
      <c r="L44" s="497"/>
      <c r="M44" s="497"/>
      <c r="N44" s="498"/>
      <c r="O44" s="499"/>
      <c r="P44" s="499"/>
      <c r="Q44" s="2"/>
      <c r="R44" s="130"/>
    </row>
    <row r="45" spans="1:18" s="500" customFormat="1" ht="14.65" thickBot="1">
      <c r="A45" s="440" t="s">
        <v>625</v>
      </c>
      <c r="B45" s="9">
        <v>12</v>
      </c>
      <c r="C45" s="9" t="s">
        <v>67</v>
      </c>
      <c r="D45" s="10">
        <v>0</v>
      </c>
      <c r="E45" s="9"/>
      <c r="F45" s="9"/>
      <c r="G45" s="87"/>
    </row>
    <row r="47" spans="1:18">
      <c r="A47" t="s">
        <v>73</v>
      </c>
    </row>
    <row r="49" spans="1:18" ht="15.75">
      <c r="A49" t="s">
        <v>152</v>
      </c>
      <c r="D49" s="824" t="s">
        <v>141</v>
      </c>
      <c r="E49" s="824"/>
      <c r="F49" s="824"/>
      <c r="G49" s="824"/>
      <c r="L49" s="834" t="s">
        <v>142</v>
      </c>
      <c r="M49" s="834"/>
      <c r="N49" s="834"/>
      <c r="P49" s="833" t="s">
        <v>143</v>
      </c>
      <c r="Q49" s="833"/>
      <c r="R49" s="833"/>
    </row>
    <row r="50" spans="1:18" ht="15.75">
      <c r="D50" s="52">
        <v>43709</v>
      </c>
      <c r="E50" s="52">
        <v>43678</v>
      </c>
      <c r="F50" s="52">
        <v>43647</v>
      </c>
      <c r="G50" s="52">
        <v>43617</v>
      </c>
      <c r="H50" s="53" t="s">
        <v>33</v>
      </c>
      <c r="I50" s="54" t="s">
        <v>32</v>
      </c>
      <c r="J50" s="55" t="s">
        <v>31</v>
      </c>
      <c r="L50" s="53" t="s">
        <v>33</v>
      </c>
      <c r="M50" s="54" t="s">
        <v>32</v>
      </c>
      <c r="N50" s="55" t="s">
        <v>31</v>
      </c>
      <c r="P50" s="53" t="s">
        <v>33</v>
      </c>
      <c r="Q50" s="54" t="s">
        <v>32</v>
      </c>
      <c r="R50" s="55" t="s">
        <v>31</v>
      </c>
    </row>
    <row r="51" spans="1:18" ht="17.25">
      <c r="A51" s="66" t="s">
        <v>144</v>
      </c>
      <c r="B51" s="66"/>
      <c r="C51" s="66"/>
      <c r="D51" s="56">
        <v>973.7</v>
      </c>
      <c r="E51" s="56">
        <v>1001.41</v>
      </c>
      <c r="F51" s="56">
        <v>1352.4</v>
      </c>
      <c r="G51" s="56">
        <v>2145.92</v>
      </c>
      <c r="H51" s="56">
        <f>D51</f>
        <v>973.7</v>
      </c>
      <c r="I51" s="56">
        <f>(SUM(D51:G51))/4</f>
        <v>1368.3575000000001</v>
      </c>
      <c r="J51" s="56">
        <f>G51</f>
        <v>2145.92</v>
      </c>
      <c r="K51" s="56"/>
      <c r="L51" s="56">
        <f>(0.1*H51)+H51</f>
        <v>1071.0700000000002</v>
      </c>
      <c r="M51" s="56">
        <f>(0.1*I51)+I51</f>
        <v>1505.19325</v>
      </c>
      <c r="N51" s="56">
        <f>(0.1*J51)+J51</f>
        <v>2360.5120000000002</v>
      </c>
      <c r="O51" s="56"/>
      <c r="P51" s="56">
        <f>(0.2*H51)+H51</f>
        <v>1168.44</v>
      </c>
      <c r="Q51" s="56">
        <f>(0.2*I51)+I51</f>
        <v>1642.029</v>
      </c>
      <c r="R51" s="56">
        <f>(0.2*J51)+J51</f>
        <v>2575.1040000000003</v>
      </c>
    </row>
    <row r="52" spans="1:18" ht="17.25">
      <c r="A52" s="66" t="s">
        <v>145</v>
      </c>
      <c r="B52" s="66"/>
      <c r="C52" s="66"/>
      <c r="D52" s="56">
        <v>62.03</v>
      </c>
      <c r="E52" s="56">
        <v>62.2</v>
      </c>
      <c r="F52" s="56">
        <v>23.85</v>
      </c>
      <c r="G52" s="56">
        <v>60.95</v>
      </c>
      <c r="H52" s="56">
        <f>F52</f>
        <v>23.85</v>
      </c>
      <c r="I52" s="56">
        <f>(SUM(D52:G52))/4</f>
        <v>52.257500000000007</v>
      </c>
      <c r="J52" s="56">
        <f>E52</f>
        <v>62.2</v>
      </c>
      <c r="K52" s="56"/>
      <c r="L52" s="56">
        <f t="shared" ref="L52:N109" si="3">(0.1*H52)+H52</f>
        <v>26.235000000000003</v>
      </c>
      <c r="M52" s="56">
        <f t="shared" si="3"/>
        <v>57.483250000000012</v>
      </c>
      <c r="N52" s="56">
        <f t="shared" si="3"/>
        <v>68.42</v>
      </c>
      <c r="O52" s="56"/>
      <c r="P52" s="56">
        <f t="shared" ref="P52:R55" si="4">(0.2*H52)+H52</f>
        <v>28.62</v>
      </c>
      <c r="Q52" s="56">
        <f t="shared" si="4"/>
        <v>62.70900000000001</v>
      </c>
      <c r="R52" s="56">
        <f t="shared" si="4"/>
        <v>74.64</v>
      </c>
    </row>
    <row r="53" spans="1:18" ht="17.25">
      <c r="A53" s="66" t="s">
        <v>146</v>
      </c>
      <c r="B53" s="66"/>
      <c r="C53" s="66"/>
      <c r="D53" s="56">
        <v>20.96</v>
      </c>
      <c r="E53" s="56">
        <v>1410.19</v>
      </c>
      <c r="F53" s="56">
        <v>0.49</v>
      </c>
      <c r="G53" s="56">
        <v>3.51</v>
      </c>
      <c r="H53" s="56">
        <f>F53</f>
        <v>0.49</v>
      </c>
      <c r="I53" s="56">
        <f>(SUM(D53:G53))/4</f>
        <v>358.78750000000002</v>
      </c>
      <c r="J53" s="56">
        <f>E53</f>
        <v>1410.19</v>
      </c>
      <c r="K53" s="56"/>
      <c r="L53" s="56">
        <f t="shared" si="3"/>
        <v>0.53900000000000003</v>
      </c>
      <c r="M53" s="56">
        <f t="shared" si="3"/>
        <v>394.66625000000005</v>
      </c>
      <c r="N53" s="56">
        <f t="shared" si="3"/>
        <v>1551.2090000000001</v>
      </c>
      <c r="O53" s="56"/>
      <c r="P53" s="56">
        <f t="shared" si="4"/>
        <v>0.58799999999999997</v>
      </c>
      <c r="Q53" s="56">
        <f t="shared" si="4"/>
        <v>430.54500000000002</v>
      </c>
      <c r="R53" s="56">
        <f t="shared" si="4"/>
        <v>1692.2280000000001</v>
      </c>
    </row>
    <row r="54" spans="1:18" ht="17.25">
      <c r="A54" s="66" t="s">
        <v>147</v>
      </c>
      <c r="B54" s="66"/>
      <c r="C54" s="66"/>
      <c r="D54" s="56">
        <v>21.45</v>
      </c>
      <c r="E54" s="56">
        <v>21</v>
      </c>
      <c r="F54" s="56">
        <v>0</v>
      </c>
      <c r="G54" s="56">
        <v>19.43</v>
      </c>
      <c r="H54" s="56">
        <f>F54</f>
        <v>0</v>
      </c>
      <c r="I54" s="56">
        <f>(SUM(D54:G54))/4</f>
        <v>15.47</v>
      </c>
      <c r="J54" s="56">
        <f>D54</f>
        <v>21.45</v>
      </c>
      <c r="K54" s="56"/>
      <c r="L54" s="56">
        <f t="shared" si="3"/>
        <v>0</v>
      </c>
      <c r="M54" s="56">
        <f t="shared" si="3"/>
        <v>17.016999999999999</v>
      </c>
      <c r="N54" s="56">
        <f t="shared" si="3"/>
        <v>23.594999999999999</v>
      </c>
      <c r="O54" s="56"/>
      <c r="P54" s="56">
        <f t="shared" si="4"/>
        <v>0</v>
      </c>
      <c r="Q54" s="56">
        <f t="shared" si="4"/>
        <v>18.564</v>
      </c>
      <c r="R54" s="56">
        <f t="shared" si="4"/>
        <v>25.74</v>
      </c>
    </row>
    <row r="55" spans="1:18" ht="17.25">
      <c r="A55" s="66" t="s">
        <v>148</v>
      </c>
      <c r="B55" s="66"/>
      <c r="C55" s="66"/>
      <c r="D55" s="56">
        <v>131.35</v>
      </c>
      <c r="E55" s="56">
        <v>419.02</v>
      </c>
      <c r="F55" s="56">
        <v>10.79</v>
      </c>
      <c r="G55" s="56">
        <v>15.33</v>
      </c>
      <c r="H55" s="56">
        <f>F55</f>
        <v>10.79</v>
      </c>
      <c r="I55" s="56">
        <f>(SUM(D55:G55))/4</f>
        <v>144.1225</v>
      </c>
      <c r="J55" s="56">
        <f>E55</f>
        <v>419.02</v>
      </c>
      <c r="K55" s="56"/>
      <c r="L55" s="56">
        <f t="shared" si="3"/>
        <v>11.869</v>
      </c>
      <c r="M55" s="56">
        <f t="shared" si="3"/>
        <v>158.53475</v>
      </c>
      <c r="N55" s="56">
        <f t="shared" si="3"/>
        <v>460.92199999999997</v>
      </c>
      <c r="O55" s="56"/>
      <c r="P55" s="56">
        <f t="shared" si="4"/>
        <v>12.947999999999999</v>
      </c>
      <c r="Q55" s="56">
        <f t="shared" si="4"/>
        <v>172.947</v>
      </c>
      <c r="R55" s="56">
        <f t="shared" si="4"/>
        <v>502.82399999999996</v>
      </c>
    </row>
    <row r="57" spans="1:18">
      <c r="A57" s="47" t="s">
        <v>149</v>
      </c>
      <c r="B57" s="47"/>
      <c r="C57" s="47"/>
      <c r="D57" s="67">
        <v>7.6999999999999999E-2</v>
      </c>
      <c r="E57" s="68" t="s">
        <v>150</v>
      </c>
      <c r="F57" s="67">
        <v>5.1299999999999998E-2</v>
      </c>
      <c r="G57" s="69"/>
    </row>
    <row r="60" spans="1:18">
      <c r="D60" s="824" t="s">
        <v>151</v>
      </c>
      <c r="E60" s="824"/>
      <c r="F60" s="824"/>
      <c r="G60" s="824"/>
    </row>
    <row r="61" spans="1:18" ht="15.75">
      <c r="D61" s="52">
        <v>43709</v>
      </c>
      <c r="E61" s="52">
        <v>43678</v>
      </c>
      <c r="F61" s="52">
        <v>43647</v>
      </c>
      <c r="G61" s="52">
        <v>43617</v>
      </c>
      <c r="H61" s="53" t="s">
        <v>33</v>
      </c>
      <c r="I61" s="54" t="s">
        <v>32</v>
      </c>
      <c r="J61" s="55" t="s">
        <v>31</v>
      </c>
    </row>
    <row r="62" spans="1:18" ht="17.25">
      <c r="A62" s="66" t="s">
        <v>144</v>
      </c>
      <c r="B62" s="66"/>
      <c r="C62" s="66"/>
      <c r="D62" s="824"/>
      <c r="E62" s="824"/>
      <c r="F62" s="824"/>
      <c r="G62" s="824"/>
    </row>
    <row r="63" spans="1:18">
      <c r="A63" t="s">
        <v>93</v>
      </c>
      <c r="D63" s="56">
        <v>17.61</v>
      </c>
      <c r="E63" s="56">
        <v>18.73</v>
      </c>
      <c r="F63" s="56">
        <v>18.760000000000002</v>
      </c>
      <c r="G63" s="56">
        <v>17.73</v>
      </c>
      <c r="H63" s="56">
        <f>D63</f>
        <v>17.61</v>
      </c>
      <c r="I63" s="56">
        <f t="shared" ref="I63:I69" si="5">(SUM(D63:G63))/4</f>
        <v>18.207500000000003</v>
      </c>
      <c r="J63" s="56">
        <f>F63</f>
        <v>18.760000000000002</v>
      </c>
      <c r="K63" s="56"/>
      <c r="L63" s="56">
        <f t="shared" si="3"/>
        <v>19.370999999999999</v>
      </c>
      <c r="M63" s="56">
        <f t="shared" si="3"/>
        <v>20.028250000000003</v>
      </c>
      <c r="N63" s="56">
        <f t="shared" si="3"/>
        <v>20.636000000000003</v>
      </c>
      <c r="O63" s="56"/>
      <c r="P63" s="56">
        <f t="shared" ref="P63:R109" si="6">(0.2*H63)+H63</f>
        <v>21.131999999999998</v>
      </c>
      <c r="Q63" s="56">
        <f t="shared" si="6"/>
        <v>21.849000000000004</v>
      </c>
      <c r="R63" s="56">
        <f t="shared" si="6"/>
        <v>22.512</v>
      </c>
    </row>
    <row r="64" spans="1:18">
      <c r="A64" t="s">
        <v>94</v>
      </c>
      <c r="D64" s="56">
        <v>0</v>
      </c>
      <c r="E64" s="56">
        <v>0</v>
      </c>
      <c r="F64" s="56">
        <v>0</v>
      </c>
      <c r="G64" s="56">
        <v>0</v>
      </c>
      <c r="H64" s="56">
        <f>D64</f>
        <v>0</v>
      </c>
      <c r="I64" s="56">
        <f t="shared" si="5"/>
        <v>0</v>
      </c>
      <c r="J64" s="56">
        <f>D64</f>
        <v>0</v>
      </c>
      <c r="K64" s="56"/>
      <c r="L64" s="56">
        <f t="shared" si="3"/>
        <v>0</v>
      </c>
      <c r="M64" s="56">
        <f t="shared" si="3"/>
        <v>0</v>
      </c>
      <c r="N64" s="56">
        <f t="shared" si="3"/>
        <v>0</v>
      </c>
      <c r="O64" s="56"/>
      <c r="P64" s="56">
        <f t="shared" si="6"/>
        <v>0</v>
      </c>
      <c r="Q64" s="56">
        <f t="shared" si="6"/>
        <v>0</v>
      </c>
      <c r="R64" s="56">
        <f t="shared" si="6"/>
        <v>0</v>
      </c>
    </row>
    <row r="65" spans="1:18">
      <c r="A65" t="s">
        <v>95</v>
      </c>
      <c r="D65" s="56">
        <v>39.200000000000003</v>
      </c>
      <c r="E65" s="56">
        <v>39.17</v>
      </c>
      <c r="F65" s="56">
        <v>39.630000000000003</v>
      </c>
      <c r="G65" s="56">
        <v>43.5</v>
      </c>
      <c r="H65" s="56">
        <f>E65</f>
        <v>39.17</v>
      </c>
      <c r="I65" s="56">
        <f t="shared" si="5"/>
        <v>40.375</v>
      </c>
      <c r="J65" s="56">
        <f>G65</f>
        <v>43.5</v>
      </c>
      <c r="K65" s="56"/>
      <c r="L65" s="56">
        <f t="shared" si="3"/>
        <v>43.087000000000003</v>
      </c>
      <c r="M65" s="56">
        <f t="shared" si="3"/>
        <v>44.412500000000001</v>
      </c>
      <c r="N65" s="56">
        <f t="shared" si="3"/>
        <v>47.85</v>
      </c>
      <c r="O65" s="56"/>
      <c r="P65" s="56">
        <f t="shared" si="6"/>
        <v>47.004000000000005</v>
      </c>
      <c r="Q65" s="56">
        <f t="shared" si="6"/>
        <v>48.45</v>
      </c>
      <c r="R65" s="56">
        <f t="shared" si="6"/>
        <v>52.2</v>
      </c>
    </row>
    <row r="66" spans="1:18">
      <c r="A66" t="s">
        <v>96</v>
      </c>
      <c r="D66" s="56">
        <v>89.66</v>
      </c>
      <c r="E66" s="56">
        <v>84.54</v>
      </c>
      <c r="F66" s="56">
        <v>88.26</v>
      </c>
      <c r="G66" s="56">
        <v>0</v>
      </c>
      <c r="H66" s="56">
        <f>G66</f>
        <v>0</v>
      </c>
      <c r="I66" s="56">
        <f t="shared" si="5"/>
        <v>65.614999999999995</v>
      </c>
      <c r="J66" s="56">
        <f>D66</f>
        <v>89.66</v>
      </c>
      <c r="K66" s="56"/>
      <c r="L66" s="56">
        <f t="shared" si="3"/>
        <v>0</v>
      </c>
      <c r="M66" s="56">
        <f t="shared" si="3"/>
        <v>72.17649999999999</v>
      </c>
      <c r="N66" s="56">
        <f t="shared" si="3"/>
        <v>98.625999999999991</v>
      </c>
      <c r="O66" s="56"/>
      <c r="P66" s="56">
        <f t="shared" si="6"/>
        <v>0</v>
      </c>
      <c r="Q66" s="56">
        <f t="shared" si="6"/>
        <v>78.738</v>
      </c>
      <c r="R66" s="56">
        <f t="shared" si="6"/>
        <v>107.592</v>
      </c>
    </row>
    <row r="67" spans="1:18">
      <c r="A67" t="s">
        <v>138</v>
      </c>
      <c r="D67" s="56">
        <v>108.23</v>
      </c>
      <c r="E67" s="56">
        <v>111.84</v>
      </c>
      <c r="F67" s="56">
        <v>111.76</v>
      </c>
      <c r="G67" s="56">
        <v>108.16</v>
      </c>
      <c r="H67" s="56">
        <f>G67</f>
        <v>108.16</v>
      </c>
      <c r="I67" s="56">
        <f t="shared" si="5"/>
        <v>109.9975</v>
      </c>
      <c r="J67" s="56">
        <f>E67</f>
        <v>111.84</v>
      </c>
      <c r="K67" s="56"/>
      <c r="L67" s="56">
        <f t="shared" si="3"/>
        <v>118.976</v>
      </c>
      <c r="M67" s="56">
        <f t="shared" si="3"/>
        <v>120.99725000000001</v>
      </c>
      <c r="N67" s="56">
        <f t="shared" si="3"/>
        <v>123.024</v>
      </c>
      <c r="O67" s="56"/>
      <c r="P67" s="56">
        <f t="shared" si="6"/>
        <v>129.792</v>
      </c>
      <c r="Q67" s="56">
        <f t="shared" si="6"/>
        <v>131.99700000000001</v>
      </c>
      <c r="R67" s="56">
        <f t="shared" si="6"/>
        <v>134.208</v>
      </c>
    </row>
    <row r="68" spans="1:18">
      <c r="A68" t="s">
        <v>139</v>
      </c>
      <c r="D68" s="56">
        <v>719</v>
      </c>
      <c r="E68" s="56">
        <v>742</v>
      </c>
      <c r="F68" s="56">
        <v>743</v>
      </c>
      <c r="G68" s="56">
        <v>1183</v>
      </c>
      <c r="H68" s="56">
        <f>D68</f>
        <v>719</v>
      </c>
      <c r="I68" s="56">
        <f t="shared" si="5"/>
        <v>846.75</v>
      </c>
      <c r="J68" s="56">
        <f>G68</f>
        <v>1183</v>
      </c>
      <c r="K68" s="56"/>
      <c r="L68" s="56">
        <f t="shared" si="3"/>
        <v>790.9</v>
      </c>
      <c r="M68" s="56">
        <f t="shared" si="3"/>
        <v>931.42499999999995</v>
      </c>
      <c r="N68" s="56">
        <f t="shared" si="3"/>
        <v>1301.3</v>
      </c>
      <c r="O68" s="56"/>
      <c r="P68" s="56">
        <f t="shared" si="6"/>
        <v>862.8</v>
      </c>
      <c r="Q68" s="56">
        <f t="shared" si="6"/>
        <v>1016.1</v>
      </c>
      <c r="R68" s="56">
        <f t="shared" si="6"/>
        <v>1419.6</v>
      </c>
    </row>
    <row r="69" spans="1:18">
      <c r="A69" t="s">
        <v>140</v>
      </c>
      <c r="D69" s="56">
        <v>0</v>
      </c>
      <c r="E69" s="56">
        <v>0</v>
      </c>
      <c r="F69" s="56">
        <v>0</v>
      </c>
      <c r="G69" s="56">
        <v>0</v>
      </c>
      <c r="H69" s="56">
        <f>D69</f>
        <v>0</v>
      </c>
      <c r="I69" s="56">
        <f t="shared" si="5"/>
        <v>0</v>
      </c>
      <c r="J69" s="56">
        <f>D69</f>
        <v>0</v>
      </c>
      <c r="K69" s="56"/>
      <c r="L69" s="56">
        <f t="shared" si="3"/>
        <v>0</v>
      </c>
      <c r="M69" s="56">
        <f t="shared" si="3"/>
        <v>0</v>
      </c>
      <c r="N69" s="56">
        <f t="shared" si="3"/>
        <v>0</v>
      </c>
      <c r="O69" s="56"/>
      <c r="P69" s="56">
        <f t="shared" si="6"/>
        <v>0</v>
      </c>
      <c r="Q69" s="56">
        <f t="shared" si="6"/>
        <v>0</v>
      </c>
      <c r="R69" s="56">
        <f t="shared" si="6"/>
        <v>0</v>
      </c>
    </row>
    <row r="70" spans="1:18">
      <c r="D70" s="56"/>
      <c r="E70" s="56"/>
      <c r="F70" s="56"/>
      <c r="G70" s="56"/>
      <c r="H70" s="56"/>
      <c r="I70" s="56"/>
      <c r="J70" s="56"/>
      <c r="K70" s="56"/>
      <c r="L70" s="56"/>
      <c r="M70" s="56"/>
      <c r="N70" s="56"/>
      <c r="O70" s="56"/>
      <c r="P70" s="56"/>
      <c r="Q70" s="56"/>
      <c r="R70" s="56"/>
    </row>
    <row r="71" spans="1:18">
      <c r="D71" s="56"/>
      <c r="E71" s="56"/>
      <c r="F71" s="56"/>
      <c r="G71" s="56"/>
      <c r="H71" s="56"/>
      <c r="I71" s="56"/>
      <c r="J71" s="56"/>
      <c r="K71" s="56"/>
      <c r="L71" s="56"/>
      <c r="M71" s="56"/>
      <c r="N71" s="56"/>
      <c r="O71" s="56"/>
      <c r="P71" s="56"/>
      <c r="Q71" s="56"/>
      <c r="R71" s="56"/>
    </row>
    <row r="72" spans="1:18" ht="17.25">
      <c r="A72" s="66" t="s">
        <v>145</v>
      </c>
      <c r="B72" s="66"/>
      <c r="C72" s="66"/>
      <c r="D72" s="835"/>
      <c r="E72" s="835"/>
      <c r="F72" s="835"/>
      <c r="G72" s="835"/>
      <c r="H72" s="56"/>
      <c r="I72" s="56"/>
      <c r="J72" s="56"/>
      <c r="K72" s="56"/>
      <c r="L72" s="56"/>
      <c r="M72" s="56"/>
      <c r="N72" s="56"/>
      <c r="O72" s="56"/>
      <c r="P72" s="56"/>
      <c r="Q72" s="56"/>
      <c r="R72" s="56"/>
    </row>
    <row r="73" spans="1:18">
      <c r="A73" t="s">
        <v>93</v>
      </c>
      <c r="D73" s="56">
        <v>0</v>
      </c>
      <c r="E73" s="56">
        <v>0</v>
      </c>
      <c r="F73" s="56">
        <v>0.69</v>
      </c>
      <c r="G73" s="56">
        <v>0</v>
      </c>
      <c r="H73" s="56">
        <f>D73</f>
        <v>0</v>
      </c>
      <c r="I73" s="56">
        <f t="shared" ref="I73:I79" si="7">(SUM(D73:G73))/4</f>
        <v>0.17249999999999999</v>
      </c>
      <c r="J73" s="56">
        <f>F73</f>
        <v>0.69</v>
      </c>
      <c r="K73" s="56"/>
      <c r="L73" s="56">
        <f t="shared" si="3"/>
        <v>0</v>
      </c>
      <c r="M73" s="56">
        <f t="shared" si="3"/>
        <v>0.18974999999999997</v>
      </c>
      <c r="N73" s="56">
        <f t="shared" si="3"/>
        <v>0.7589999999999999</v>
      </c>
      <c r="O73" s="56"/>
      <c r="P73" s="56">
        <f t="shared" si="6"/>
        <v>0</v>
      </c>
      <c r="Q73" s="56">
        <f t="shared" si="6"/>
        <v>0.20699999999999999</v>
      </c>
      <c r="R73" s="56">
        <f t="shared" si="6"/>
        <v>0.82799999999999996</v>
      </c>
    </row>
    <row r="74" spans="1:18">
      <c r="A74" t="s">
        <v>94</v>
      </c>
      <c r="D74" s="56">
        <v>0.67</v>
      </c>
      <c r="E74" s="56">
        <v>0.65</v>
      </c>
      <c r="F74" s="56">
        <v>0</v>
      </c>
      <c r="G74" s="56">
        <v>0</v>
      </c>
      <c r="H74" s="56">
        <f>G74</f>
        <v>0</v>
      </c>
      <c r="I74" s="56">
        <f t="shared" si="7"/>
        <v>0.33</v>
      </c>
      <c r="J74" s="56">
        <f>D74</f>
        <v>0.67</v>
      </c>
      <c r="K74" s="56"/>
      <c r="L74" s="56">
        <f t="shared" si="3"/>
        <v>0</v>
      </c>
      <c r="M74" s="56">
        <f t="shared" si="3"/>
        <v>0.36299999999999999</v>
      </c>
      <c r="N74" s="56">
        <f t="shared" si="3"/>
        <v>0.7370000000000001</v>
      </c>
      <c r="O74" s="56"/>
      <c r="P74" s="56">
        <f t="shared" si="6"/>
        <v>0</v>
      </c>
      <c r="Q74" s="56">
        <f t="shared" si="6"/>
        <v>0.39600000000000002</v>
      </c>
      <c r="R74" s="56">
        <f t="shared" si="6"/>
        <v>0.80400000000000005</v>
      </c>
    </row>
    <row r="75" spans="1:18">
      <c r="A75" t="s">
        <v>95</v>
      </c>
      <c r="D75" s="56">
        <v>0.02</v>
      </c>
      <c r="E75" s="56">
        <v>0.01</v>
      </c>
      <c r="F75" s="56">
        <v>0.01</v>
      </c>
      <c r="G75" s="56">
        <v>0</v>
      </c>
      <c r="H75" s="56">
        <f>G75</f>
        <v>0</v>
      </c>
      <c r="I75" s="56">
        <f t="shared" si="7"/>
        <v>0.01</v>
      </c>
      <c r="J75" s="56">
        <f>D75</f>
        <v>0.02</v>
      </c>
      <c r="K75" s="56"/>
      <c r="L75" s="56">
        <f t="shared" si="3"/>
        <v>0</v>
      </c>
      <c r="M75" s="56">
        <f t="shared" si="3"/>
        <v>1.0999999999999999E-2</v>
      </c>
      <c r="N75" s="56">
        <f t="shared" si="3"/>
        <v>2.1999999999999999E-2</v>
      </c>
      <c r="O75" s="56"/>
      <c r="P75" s="56">
        <f t="shared" si="6"/>
        <v>0</v>
      </c>
      <c r="Q75" s="56">
        <f t="shared" si="6"/>
        <v>1.2E-2</v>
      </c>
      <c r="R75" s="56">
        <f t="shared" si="6"/>
        <v>2.4E-2</v>
      </c>
    </row>
    <row r="76" spans="1:18">
      <c r="A76" t="s">
        <v>96</v>
      </c>
      <c r="D76" s="56">
        <v>60.53</v>
      </c>
      <c r="E76" s="56">
        <v>60.53</v>
      </c>
      <c r="F76" s="56">
        <v>79.17</v>
      </c>
      <c r="G76" s="56">
        <v>21.54</v>
      </c>
      <c r="H76" s="56">
        <f>G76</f>
        <v>21.54</v>
      </c>
      <c r="I76" s="56">
        <f t="shared" si="7"/>
        <v>55.442500000000003</v>
      </c>
      <c r="J76" s="56">
        <f>F76</f>
        <v>79.17</v>
      </c>
      <c r="K76" s="56"/>
      <c r="L76" s="56">
        <f t="shared" si="3"/>
        <v>23.693999999999999</v>
      </c>
      <c r="M76" s="56">
        <f t="shared" si="3"/>
        <v>60.986750000000001</v>
      </c>
      <c r="N76" s="56">
        <f t="shared" si="3"/>
        <v>87.087000000000003</v>
      </c>
      <c r="O76" s="56"/>
      <c r="P76" s="56">
        <f t="shared" si="6"/>
        <v>25.847999999999999</v>
      </c>
      <c r="Q76" s="56">
        <f t="shared" si="6"/>
        <v>66.531000000000006</v>
      </c>
      <c r="R76" s="56">
        <f t="shared" si="6"/>
        <v>95.004000000000005</v>
      </c>
    </row>
    <row r="77" spans="1:18">
      <c r="A77" t="s">
        <v>138</v>
      </c>
      <c r="D77" s="56">
        <v>0</v>
      </c>
      <c r="E77" s="56">
        <v>0</v>
      </c>
      <c r="F77" s="56">
        <v>0</v>
      </c>
      <c r="G77" s="56">
        <v>0</v>
      </c>
      <c r="H77" s="56">
        <f>D77</f>
        <v>0</v>
      </c>
      <c r="I77" s="56">
        <f t="shared" si="7"/>
        <v>0</v>
      </c>
      <c r="J77" s="56">
        <f>D77</f>
        <v>0</v>
      </c>
      <c r="K77" s="56"/>
      <c r="L77" s="56">
        <f t="shared" si="3"/>
        <v>0</v>
      </c>
      <c r="M77" s="56">
        <f t="shared" si="3"/>
        <v>0</v>
      </c>
      <c r="N77" s="56">
        <f t="shared" si="3"/>
        <v>0</v>
      </c>
      <c r="O77" s="56"/>
      <c r="P77" s="56">
        <f t="shared" si="6"/>
        <v>0</v>
      </c>
      <c r="Q77" s="56">
        <f t="shared" si="6"/>
        <v>0</v>
      </c>
      <c r="R77" s="56">
        <f t="shared" si="6"/>
        <v>0</v>
      </c>
    </row>
    <row r="78" spans="1:18">
      <c r="A78" t="s">
        <v>139</v>
      </c>
      <c r="D78" s="56">
        <v>0</v>
      </c>
      <c r="E78" s="56">
        <v>0</v>
      </c>
      <c r="F78" s="56">
        <v>0</v>
      </c>
      <c r="G78" s="56">
        <v>0</v>
      </c>
      <c r="H78" s="56">
        <f>D78</f>
        <v>0</v>
      </c>
      <c r="I78" s="56">
        <f t="shared" si="7"/>
        <v>0</v>
      </c>
      <c r="J78" s="56">
        <f>D78</f>
        <v>0</v>
      </c>
      <c r="K78" s="56"/>
      <c r="L78" s="56">
        <f t="shared" si="3"/>
        <v>0</v>
      </c>
      <c r="M78" s="56">
        <f t="shared" si="3"/>
        <v>0</v>
      </c>
      <c r="N78" s="56">
        <f t="shared" si="3"/>
        <v>0</v>
      </c>
      <c r="O78" s="56"/>
      <c r="P78" s="56">
        <f t="shared" si="6"/>
        <v>0</v>
      </c>
      <c r="Q78" s="56">
        <f t="shared" si="6"/>
        <v>0</v>
      </c>
      <c r="R78" s="56">
        <f t="shared" si="6"/>
        <v>0</v>
      </c>
    </row>
    <row r="79" spans="1:18">
      <c r="A79" t="s">
        <v>140</v>
      </c>
      <c r="D79" s="56">
        <v>0.81</v>
      </c>
      <c r="E79" s="56">
        <v>1.01</v>
      </c>
      <c r="F79" s="56">
        <v>1.1000000000000001</v>
      </c>
      <c r="G79" s="56">
        <v>2.2000000000000002</v>
      </c>
      <c r="H79" s="56">
        <f>D79</f>
        <v>0.81</v>
      </c>
      <c r="I79" s="56">
        <f t="shared" si="7"/>
        <v>1.28</v>
      </c>
      <c r="J79" s="56">
        <f>G79</f>
        <v>2.2000000000000002</v>
      </c>
      <c r="K79" s="56"/>
      <c r="L79" s="56">
        <f t="shared" si="3"/>
        <v>0.89100000000000001</v>
      </c>
      <c r="M79" s="56">
        <f t="shared" si="3"/>
        <v>1.4079999999999999</v>
      </c>
      <c r="N79" s="56">
        <f t="shared" si="3"/>
        <v>2.4200000000000004</v>
      </c>
      <c r="O79" s="56"/>
      <c r="P79" s="56">
        <f t="shared" si="6"/>
        <v>0.97200000000000009</v>
      </c>
      <c r="Q79" s="56">
        <f t="shared" si="6"/>
        <v>1.536</v>
      </c>
      <c r="R79" s="56">
        <f t="shared" si="6"/>
        <v>2.64</v>
      </c>
    </row>
    <row r="80" spans="1:18">
      <c r="D80" s="56"/>
      <c r="E80" s="56"/>
      <c r="F80" s="56"/>
      <c r="G80" s="56"/>
      <c r="H80" s="56"/>
      <c r="I80" s="56"/>
      <c r="J80" s="56"/>
      <c r="K80" s="56"/>
      <c r="L80" s="56"/>
      <c r="M80" s="56"/>
      <c r="N80" s="56"/>
      <c r="O80" s="56"/>
      <c r="P80" s="56"/>
      <c r="Q80" s="56"/>
      <c r="R80" s="56"/>
    </row>
    <row r="81" spans="1:18">
      <c r="D81" s="56"/>
      <c r="E81" s="56"/>
      <c r="F81" s="56"/>
      <c r="G81" s="56"/>
      <c r="H81" s="56"/>
      <c r="I81" s="56"/>
      <c r="J81" s="56"/>
      <c r="K81" s="56"/>
      <c r="L81" s="56"/>
      <c r="M81" s="56"/>
      <c r="N81" s="56"/>
      <c r="O81" s="56"/>
      <c r="P81" s="56"/>
      <c r="Q81" s="56"/>
      <c r="R81" s="56"/>
    </row>
    <row r="82" spans="1:18" ht="17.25">
      <c r="A82" s="66" t="s">
        <v>146</v>
      </c>
      <c r="B82" s="66"/>
      <c r="C82" s="66"/>
      <c r="D82" s="835"/>
      <c r="E82" s="835"/>
      <c r="F82" s="835"/>
      <c r="G82" s="835"/>
      <c r="H82" s="56"/>
      <c r="I82" s="56"/>
      <c r="J82" s="56"/>
      <c r="K82" s="56"/>
      <c r="L82" s="56"/>
      <c r="M82" s="56"/>
      <c r="N82" s="56"/>
      <c r="O82" s="56"/>
      <c r="P82" s="56"/>
      <c r="Q82" s="56"/>
      <c r="R82" s="56"/>
    </row>
    <row r="83" spans="1:18">
      <c r="A83" t="s">
        <v>93</v>
      </c>
      <c r="D83" s="56">
        <v>0</v>
      </c>
      <c r="E83" s="56">
        <v>0</v>
      </c>
      <c r="F83" s="56">
        <v>0</v>
      </c>
      <c r="G83" s="56">
        <v>0</v>
      </c>
      <c r="H83" s="56">
        <f>D83</f>
        <v>0</v>
      </c>
      <c r="I83" s="56">
        <f t="shared" ref="I83:I89" si="8">(SUM(D83:G83))/4</f>
        <v>0</v>
      </c>
      <c r="J83" s="56">
        <f>D83</f>
        <v>0</v>
      </c>
      <c r="K83" s="56"/>
      <c r="L83" s="56">
        <f t="shared" si="3"/>
        <v>0</v>
      </c>
      <c r="M83" s="56">
        <f t="shared" si="3"/>
        <v>0</v>
      </c>
      <c r="N83" s="56">
        <f t="shared" si="3"/>
        <v>0</v>
      </c>
      <c r="O83" s="56"/>
      <c r="P83" s="56">
        <f t="shared" si="6"/>
        <v>0</v>
      </c>
      <c r="Q83" s="56">
        <f t="shared" si="6"/>
        <v>0</v>
      </c>
      <c r="R83" s="56">
        <f t="shared" si="6"/>
        <v>0</v>
      </c>
    </row>
    <row r="84" spans="1:18">
      <c r="A84" t="s">
        <v>94</v>
      </c>
      <c r="D84" s="56">
        <v>0</v>
      </c>
      <c r="E84" s="56">
        <v>0</v>
      </c>
      <c r="F84" s="56">
        <v>0</v>
      </c>
      <c r="G84" s="56">
        <v>0</v>
      </c>
      <c r="H84" s="56">
        <f>D84</f>
        <v>0</v>
      </c>
      <c r="I84" s="56">
        <f t="shared" si="8"/>
        <v>0</v>
      </c>
      <c r="J84" s="56">
        <f>D84</f>
        <v>0</v>
      </c>
      <c r="K84" s="56"/>
      <c r="L84" s="56">
        <f t="shared" si="3"/>
        <v>0</v>
      </c>
      <c r="M84" s="56">
        <f t="shared" si="3"/>
        <v>0</v>
      </c>
      <c r="N84" s="56">
        <f t="shared" si="3"/>
        <v>0</v>
      </c>
      <c r="O84" s="56"/>
      <c r="P84" s="56">
        <f t="shared" si="6"/>
        <v>0</v>
      </c>
      <c r="Q84" s="56">
        <f t="shared" si="6"/>
        <v>0</v>
      </c>
      <c r="R84" s="56">
        <f t="shared" si="6"/>
        <v>0</v>
      </c>
    </row>
    <row r="85" spans="1:18">
      <c r="A85" t="s">
        <v>95</v>
      </c>
      <c r="D85" s="56">
        <v>20.96</v>
      </c>
      <c r="E85" s="56">
        <v>1410.19</v>
      </c>
      <c r="F85" s="56">
        <v>0.21</v>
      </c>
      <c r="G85" s="56">
        <v>0</v>
      </c>
      <c r="H85" s="56">
        <f>G85</f>
        <v>0</v>
      </c>
      <c r="I85" s="56">
        <f t="shared" si="8"/>
        <v>357.84000000000003</v>
      </c>
      <c r="J85" s="56">
        <f>E85</f>
        <v>1410.19</v>
      </c>
      <c r="K85" s="56"/>
      <c r="L85" s="56">
        <f t="shared" si="3"/>
        <v>0</v>
      </c>
      <c r="M85" s="56">
        <f t="shared" si="3"/>
        <v>393.62400000000002</v>
      </c>
      <c r="N85" s="56">
        <f t="shared" si="3"/>
        <v>1551.2090000000001</v>
      </c>
      <c r="O85" s="56"/>
      <c r="P85" s="56">
        <f t="shared" si="6"/>
        <v>0</v>
      </c>
      <c r="Q85" s="56">
        <f t="shared" si="6"/>
        <v>429.40800000000002</v>
      </c>
      <c r="R85" s="56">
        <f t="shared" si="6"/>
        <v>1692.2280000000001</v>
      </c>
    </row>
    <row r="86" spans="1:18">
      <c r="A86" t="s">
        <v>96</v>
      </c>
      <c r="D86" s="56">
        <v>0</v>
      </c>
      <c r="E86" s="56">
        <v>0</v>
      </c>
      <c r="F86" s="56">
        <v>0</v>
      </c>
      <c r="G86" s="56">
        <v>0</v>
      </c>
      <c r="H86" s="56">
        <f>D86</f>
        <v>0</v>
      </c>
      <c r="I86" s="56">
        <f t="shared" si="8"/>
        <v>0</v>
      </c>
      <c r="J86" s="56">
        <f>E86</f>
        <v>0</v>
      </c>
      <c r="K86" s="56"/>
      <c r="L86" s="56">
        <f t="shared" si="3"/>
        <v>0</v>
      </c>
      <c r="M86" s="56">
        <f t="shared" si="3"/>
        <v>0</v>
      </c>
      <c r="N86" s="56">
        <f t="shared" si="3"/>
        <v>0</v>
      </c>
      <c r="O86" s="56"/>
      <c r="P86" s="56">
        <f t="shared" si="6"/>
        <v>0</v>
      </c>
      <c r="Q86" s="56">
        <f t="shared" si="6"/>
        <v>0</v>
      </c>
      <c r="R86" s="56">
        <f t="shared" si="6"/>
        <v>0</v>
      </c>
    </row>
    <row r="87" spans="1:18">
      <c r="A87" t="s">
        <v>138</v>
      </c>
      <c r="D87" s="56">
        <v>0</v>
      </c>
      <c r="E87" s="56">
        <v>0</v>
      </c>
      <c r="F87" s="56">
        <v>0</v>
      </c>
      <c r="G87" s="56">
        <v>0</v>
      </c>
      <c r="H87" s="56">
        <f>D87</f>
        <v>0</v>
      </c>
      <c r="I87" s="56">
        <f t="shared" si="8"/>
        <v>0</v>
      </c>
      <c r="J87" s="56">
        <f>E87</f>
        <v>0</v>
      </c>
      <c r="K87" s="56"/>
      <c r="L87" s="56">
        <f t="shared" si="3"/>
        <v>0</v>
      </c>
      <c r="M87" s="56">
        <f t="shared" si="3"/>
        <v>0</v>
      </c>
      <c r="N87" s="56">
        <f t="shared" si="3"/>
        <v>0</v>
      </c>
      <c r="O87" s="56"/>
      <c r="P87" s="56">
        <f t="shared" si="6"/>
        <v>0</v>
      </c>
      <c r="Q87" s="56">
        <f t="shared" si="6"/>
        <v>0</v>
      </c>
      <c r="R87" s="56">
        <f t="shared" si="6"/>
        <v>0</v>
      </c>
    </row>
    <row r="88" spans="1:18">
      <c r="A88" t="s">
        <v>139</v>
      </c>
      <c r="D88" s="56">
        <v>0</v>
      </c>
      <c r="E88" s="56">
        <v>0</v>
      </c>
      <c r="F88" s="56">
        <v>0</v>
      </c>
      <c r="G88" s="56">
        <v>0</v>
      </c>
      <c r="H88" s="56">
        <f>D88</f>
        <v>0</v>
      </c>
      <c r="I88" s="56">
        <f t="shared" si="8"/>
        <v>0</v>
      </c>
      <c r="J88" s="56">
        <f>E88</f>
        <v>0</v>
      </c>
      <c r="K88" s="56"/>
      <c r="L88" s="56">
        <f t="shared" si="3"/>
        <v>0</v>
      </c>
      <c r="M88" s="56">
        <f t="shared" si="3"/>
        <v>0</v>
      </c>
      <c r="N88" s="56">
        <f t="shared" si="3"/>
        <v>0</v>
      </c>
      <c r="O88" s="56"/>
      <c r="P88" s="56">
        <f t="shared" si="6"/>
        <v>0</v>
      </c>
      <c r="Q88" s="56">
        <f t="shared" si="6"/>
        <v>0</v>
      </c>
      <c r="R88" s="56">
        <f t="shared" si="6"/>
        <v>0</v>
      </c>
    </row>
    <row r="89" spans="1:18">
      <c r="A89" t="s">
        <v>140</v>
      </c>
      <c r="D89" s="56">
        <v>0</v>
      </c>
      <c r="E89" s="56">
        <v>0</v>
      </c>
      <c r="F89" s="56">
        <v>0</v>
      </c>
      <c r="G89" s="56">
        <v>0</v>
      </c>
      <c r="H89" s="56">
        <f>D89</f>
        <v>0</v>
      </c>
      <c r="I89" s="56">
        <f t="shared" si="8"/>
        <v>0</v>
      </c>
      <c r="J89" s="56">
        <f>E89</f>
        <v>0</v>
      </c>
      <c r="K89" s="56"/>
      <c r="L89" s="56">
        <f t="shared" si="3"/>
        <v>0</v>
      </c>
      <c r="M89" s="56">
        <f t="shared" si="3"/>
        <v>0</v>
      </c>
      <c r="N89" s="56">
        <f t="shared" si="3"/>
        <v>0</v>
      </c>
      <c r="O89" s="56"/>
      <c r="P89" s="56">
        <f t="shared" si="6"/>
        <v>0</v>
      </c>
      <c r="Q89" s="56">
        <f t="shared" si="6"/>
        <v>0</v>
      </c>
      <c r="R89" s="56">
        <f t="shared" si="6"/>
        <v>0</v>
      </c>
    </row>
    <row r="90" spans="1:18">
      <c r="D90" s="56"/>
      <c r="E90" s="56"/>
      <c r="F90" s="56"/>
      <c r="G90" s="56"/>
      <c r="H90" s="56"/>
      <c r="I90" s="56"/>
      <c r="J90" s="56"/>
      <c r="K90" s="56"/>
      <c r="L90" s="56"/>
      <c r="M90" s="56"/>
      <c r="N90" s="56"/>
      <c r="O90" s="56"/>
      <c r="P90" s="56"/>
      <c r="Q90" s="56"/>
      <c r="R90" s="56"/>
    </row>
    <row r="91" spans="1:18">
      <c r="D91" s="56"/>
      <c r="E91" s="56"/>
      <c r="F91" s="56"/>
      <c r="G91" s="56"/>
      <c r="H91" s="56"/>
      <c r="I91" s="56"/>
      <c r="J91" s="56"/>
      <c r="K91" s="56"/>
      <c r="L91" s="56"/>
      <c r="M91" s="56"/>
      <c r="N91" s="56"/>
      <c r="O91" s="56"/>
      <c r="P91" s="56"/>
      <c r="Q91" s="56"/>
      <c r="R91" s="56"/>
    </row>
    <row r="92" spans="1:18" ht="17.25">
      <c r="A92" s="66" t="s">
        <v>147</v>
      </c>
      <c r="B92" s="66"/>
      <c r="C92" s="66"/>
      <c r="D92" s="835"/>
      <c r="E92" s="835"/>
      <c r="F92" s="835"/>
      <c r="G92" s="835"/>
      <c r="H92" s="56"/>
      <c r="I92" s="56"/>
      <c r="J92" s="56"/>
      <c r="K92" s="56"/>
      <c r="L92" s="56"/>
      <c r="M92" s="56"/>
      <c r="N92" s="56"/>
      <c r="O92" s="56"/>
      <c r="P92" s="56"/>
      <c r="Q92" s="56"/>
      <c r="R92" s="56"/>
    </row>
    <row r="93" spans="1:18">
      <c r="A93" t="s">
        <v>93</v>
      </c>
      <c r="D93" s="56">
        <v>0</v>
      </c>
      <c r="E93" s="56">
        <v>0</v>
      </c>
      <c r="F93" s="56">
        <v>0</v>
      </c>
      <c r="G93" s="56">
        <v>0</v>
      </c>
      <c r="H93" s="56">
        <f>D93</f>
        <v>0</v>
      </c>
      <c r="I93" s="56">
        <f t="shared" ref="I93:I99" si="9">(SUM(D93:G93))/4</f>
        <v>0</v>
      </c>
      <c r="J93" s="56">
        <f>E93</f>
        <v>0</v>
      </c>
      <c r="K93" s="56"/>
      <c r="L93" s="56">
        <f t="shared" si="3"/>
        <v>0</v>
      </c>
      <c r="M93" s="56">
        <f t="shared" si="3"/>
        <v>0</v>
      </c>
      <c r="N93" s="56">
        <f t="shared" si="3"/>
        <v>0</v>
      </c>
      <c r="O93" s="56"/>
      <c r="P93" s="56">
        <f t="shared" si="6"/>
        <v>0</v>
      </c>
      <c r="Q93" s="56">
        <f t="shared" si="6"/>
        <v>0</v>
      </c>
      <c r="R93" s="56">
        <f t="shared" si="6"/>
        <v>0</v>
      </c>
    </row>
    <row r="94" spans="1:18">
      <c r="A94" t="s">
        <v>94</v>
      </c>
      <c r="D94" s="56">
        <v>0</v>
      </c>
      <c r="E94" s="56">
        <v>0</v>
      </c>
      <c r="F94" s="56">
        <v>0</v>
      </c>
      <c r="G94" s="56">
        <v>0</v>
      </c>
      <c r="H94" s="56">
        <f>D94</f>
        <v>0</v>
      </c>
      <c r="I94" s="56">
        <f t="shared" si="9"/>
        <v>0</v>
      </c>
      <c r="J94" s="56">
        <f>E94</f>
        <v>0</v>
      </c>
      <c r="K94" s="56"/>
      <c r="L94" s="56">
        <f t="shared" si="3"/>
        <v>0</v>
      </c>
      <c r="M94" s="56">
        <f t="shared" si="3"/>
        <v>0</v>
      </c>
      <c r="N94" s="56">
        <f t="shared" si="3"/>
        <v>0</v>
      </c>
      <c r="O94" s="56"/>
      <c r="P94" s="56">
        <f t="shared" si="6"/>
        <v>0</v>
      </c>
      <c r="Q94" s="56">
        <f t="shared" si="6"/>
        <v>0</v>
      </c>
      <c r="R94" s="56">
        <f t="shared" si="6"/>
        <v>0</v>
      </c>
    </row>
    <row r="95" spans="1:18">
      <c r="A95" t="s">
        <v>95</v>
      </c>
      <c r="D95" s="56">
        <v>0</v>
      </c>
      <c r="E95" s="56">
        <v>0</v>
      </c>
      <c r="F95" s="56">
        <v>0</v>
      </c>
      <c r="G95" s="56">
        <v>0</v>
      </c>
      <c r="H95" s="56">
        <f>D95</f>
        <v>0</v>
      </c>
      <c r="I95" s="56">
        <f t="shared" si="9"/>
        <v>0</v>
      </c>
      <c r="J95" s="56">
        <f>E95</f>
        <v>0</v>
      </c>
      <c r="K95" s="56"/>
      <c r="L95" s="56">
        <f t="shared" si="3"/>
        <v>0</v>
      </c>
      <c r="M95" s="56">
        <f t="shared" si="3"/>
        <v>0</v>
      </c>
      <c r="N95" s="56">
        <f t="shared" si="3"/>
        <v>0</v>
      </c>
      <c r="O95" s="56"/>
      <c r="P95" s="56">
        <f t="shared" si="6"/>
        <v>0</v>
      </c>
      <c r="Q95" s="56">
        <f t="shared" si="6"/>
        <v>0</v>
      </c>
      <c r="R95" s="56">
        <f t="shared" si="6"/>
        <v>0</v>
      </c>
    </row>
    <row r="96" spans="1:18">
      <c r="A96" t="s">
        <v>96</v>
      </c>
      <c r="D96" s="56">
        <v>21.45</v>
      </c>
      <c r="E96" s="56">
        <v>21</v>
      </c>
      <c r="F96" s="56">
        <v>0</v>
      </c>
      <c r="G96" s="56">
        <v>0</v>
      </c>
      <c r="H96" s="56">
        <f>G96</f>
        <v>0</v>
      </c>
      <c r="I96" s="56">
        <f t="shared" si="9"/>
        <v>10.612500000000001</v>
      </c>
      <c r="J96" s="56">
        <f>D96</f>
        <v>21.45</v>
      </c>
      <c r="K96" s="56"/>
      <c r="L96" s="56">
        <f t="shared" si="3"/>
        <v>0</v>
      </c>
      <c r="M96" s="56">
        <f t="shared" si="3"/>
        <v>11.67375</v>
      </c>
      <c r="N96" s="56">
        <f t="shared" si="3"/>
        <v>23.594999999999999</v>
      </c>
      <c r="O96" s="56"/>
      <c r="P96" s="56">
        <f t="shared" si="6"/>
        <v>0</v>
      </c>
      <c r="Q96" s="56">
        <f t="shared" si="6"/>
        <v>12.735000000000001</v>
      </c>
      <c r="R96" s="56">
        <f t="shared" si="6"/>
        <v>25.74</v>
      </c>
    </row>
    <row r="97" spans="1:18">
      <c r="A97" t="s">
        <v>138</v>
      </c>
      <c r="D97" s="56">
        <v>0</v>
      </c>
      <c r="E97" s="56">
        <v>0</v>
      </c>
      <c r="F97" s="56">
        <v>0</v>
      </c>
      <c r="G97" s="56">
        <v>0</v>
      </c>
      <c r="H97" s="56">
        <f>D97</f>
        <v>0</v>
      </c>
      <c r="I97" s="56">
        <f t="shared" si="9"/>
        <v>0</v>
      </c>
      <c r="J97" s="56">
        <f>D97</f>
        <v>0</v>
      </c>
      <c r="K97" s="56"/>
      <c r="L97" s="56">
        <f t="shared" si="3"/>
        <v>0</v>
      </c>
      <c r="M97" s="56">
        <f t="shared" si="3"/>
        <v>0</v>
      </c>
      <c r="N97" s="56">
        <f t="shared" si="3"/>
        <v>0</v>
      </c>
      <c r="O97" s="56"/>
      <c r="P97" s="56">
        <f t="shared" si="6"/>
        <v>0</v>
      </c>
      <c r="Q97" s="56">
        <f t="shared" si="6"/>
        <v>0</v>
      </c>
      <c r="R97" s="56">
        <f t="shared" si="6"/>
        <v>0</v>
      </c>
    </row>
    <row r="98" spans="1:18">
      <c r="A98" t="s">
        <v>139</v>
      </c>
      <c r="D98" s="56">
        <v>0</v>
      </c>
      <c r="E98" s="56">
        <v>0</v>
      </c>
      <c r="F98" s="56">
        <v>0</v>
      </c>
      <c r="G98" s="56">
        <v>0</v>
      </c>
      <c r="H98" s="56">
        <f>D98</f>
        <v>0</v>
      </c>
      <c r="I98" s="56">
        <f t="shared" si="9"/>
        <v>0</v>
      </c>
      <c r="J98" s="56">
        <f>D98</f>
        <v>0</v>
      </c>
      <c r="K98" s="56"/>
      <c r="L98" s="56">
        <f t="shared" si="3"/>
        <v>0</v>
      </c>
      <c r="M98" s="56">
        <f t="shared" si="3"/>
        <v>0</v>
      </c>
      <c r="N98" s="56">
        <f t="shared" si="3"/>
        <v>0</v>
      </c>
      <c r="O98" s="56"/>
      <c r="P98" s="56">
        <f t="shared" si="6"/>
        <v>0</v>
      </c>
      <c r="Q98" s="56">
        <f t="shared" si="6"/>
        <v>0</v>
      </c>
      <c r="R98" s="56">
        <f t="shared" si="6"/>
        <v>0</v>
      </c>
    </row>
    <row r="99" spans="1:18">
      <c r="A99" t="s">
        <v>140</v>
      </c>
      <c r="D99" s="56">
        <v>0</v>
      </c>
      <c r="E99" s="56">
        <v>0</v>
      </c>
      <c r="F99" s="56">
        <v>0</v>
      </c>
      <c r="G99" s="56">
        <v>0</v>
      </c>
      <c r="H99" s="56">
        <f>D99</f>
        <v>0</v>
      </c>
      <c r="I99" s="56">
        <f t="shared" si="9"/>
        <v>0</v>
      </c>
      <c r="J99" s="56">
        <f>D99</f>
        <v>0</v>
      </c>
      <c r="K99" s="56"/>
      <c r="L99" s="56">
        <f t="shared" si="3"/>
        <v>0</v>
      </c>
      <c r="M99" s="56">
        <f t="shared" si="3"/>
        <v>0</v>
      </c>
      <c r="N99" s="56">
        <f t="shared" si="3"/>
        <v>0</v>
      </c>
      <c r="O99" s="56"/>
      <c r="P99" s="56">
        <f t="shared" si="6"/>
        <v>0</v>
      </c>
      <c r="Q99" s="56">
        <f t="shared" si="6"/>
        <v>0</v>
      </c>
      <c r="R99" s="56">
        <f t="shared" si="6"/>
        <v>0</v>
      </c>
    </row>
    <row r="100" spans="1:18">
      <c r="D100" s="56"/>
      <c r="E100" s="56"/>
      <c r="F100" s="56"/>
      <c r="G100" s="56"/>
      <c r="H100" s="56"/>
      <c r="I100" s="56"/>
      <c r="J100" s="56"/>
      <c r="K100" s="56"/>
      <c r="L100" s="56"/>
      <c r="M100" s="56"/>
      <c r="N100" s="56"/>
      <c r="O100" s="56"/>
      <c r="P100" s="56"/>
      <c r="Q100" s="56"/>
      <c r="R100" s="56"/>
    </row>
    <row r="101" spans="1:18">
      <c r="D101" s="56"/>
      <c r="E101" s="56"/>
      <c r="F101" s="56"/>
      <c r="G101" s="56"/>
      <c r="H101" s="56"/>
      <c r="I101" s="56"/>
      <c r="J101" s="56"/>
      <c r="K101" s="56"/>
      <c r="L101" s="56"/>
      <c r="M101" s="56"/>
      <c r="N101" s="56"/>
      <c r="O101" s="56"/>
      <c r="P101" s="56"/>
      <c r="Q101" s="56"/>
      <c r="R101" s="56"/>
    </row>
    <row r="102" spans="1:18" ht="17.25">
      <c r="A102" s="66" t="s">
        <v>148</v>
      </c>
      <c r="B102" s="66"/>
      <c r="C102" s="66"/>
      <c r="D102" s="835"/>
      <c r="E102" s="835"/>
      <c r="F102" s="835"/>
      <c r="G102" s="835"/>
      <c r="H102" s="56"/>
      <c r="I102" s="56"/>
      <c r="J102" s="56"/>
      <c r="K102" s="56"/>
      <c r="L102" s="56"/>
      <c r="M102" s="56"/>
      <c r="N102" s="56"/>
      <c r="O102" s="56"/>
      <c r="P102" s="56"/>
      <c r="Q102" s="56"/>
      <c r="R102" s="56"/>
    </row>
    <row r="103" spans="1:18">
      <c r="A103" t="s">
        <v>93</v>
      </c>
      <c r="D103" s="56">
        <v>0</v>
      </c>
      <c r="E103" s="56">
        <v>0</v>
      </c>
      <c r="F103" s="56">
        <v>0</v>
      </c>
      <c r="G103" s="56">
        <v>0</v>
      </c>
      <c r="H103" s="56">
        <f>D103</f>
        <v>0</v>
      </c>
      <c r="I103" s="56">
        <f t="shared" ref="I103:I109" si="10">(SUM(D103:G103))/4</f>
        <v>0</v>
      </c>
      <c r="J103" s="56">
        <f>D103</f>
        <v>0</v>
      </c>
      <c r="K103" s="56"/>
      <c r="L103" s="56">
        <f t="shared" si="3"/>
        <v>0</v>
      </c>
      <c r="M103" s="56">
        <f t="shared" si="3"/>
        <v>0</v>
      </c>
      <c r="N103" s="56">
        <f t="shared" si="3"/>
        <v>0</v>
      </c>
      <c r="O103" s="56"/>
      <c r="P103" s="56">
        <f t="shared" si="6"/>
        <v>0</v>
      </c>
      <c r="Q103" s="56">
        <f t="shared" si="6"/>
        <v>0</v>
      </c>
      <c r="R103" s="56">
        <f t="shared" si="6"/>
        <v>0</v>
      </c>
    </row>
    <row r="104" spans="1:18">
      <c r="A104" t="s">
        <v>94</v>
      </c>
      <c r="D104" s="56">
        <v>24.71</v>
      </c>
      <c r="E104" s="56">
        <v>22.06</v>
      </c>
      <c r="F104" s="56">
        <v>19.309999999999999</v>
      </c>
      <c r="G104" s="56">
        <v>0</v>
      </c>
      <c r="H104" s="56">
        <f>G104</f>
        <v>0</v>
      </c>
      <c r="I104" s="56">
        <f t="shared" si="10"/>
        <v>16.52</v>
      </c>
      <c r="J104" s="56">
        <f>D104</f>
        <v>24.71</v>
      </c>
      <c r="K104" s="56"/>
      <c r="L104" s="56">
        <f t="shared" si="3"/>
        <v>0</v>
      </c>
      <c r="M104" s="56">
        <f t="shared" si="3"/>
        <v>18.172000000000001</v>
      </c>
      <c r="N104" s="56">
        <f t="shared" si="3"/>
        <v>27.181000000000001</v>
      </c>
      <c r="O104" s="56"/>
      <c r="P104" s="56">
        <f t="shared" si="6"/>
        <v>0</v>
      </c>
      <c r="Q104" s="56">
        <f t="shared" si="6"/>
        <v>19.823999999999998</v>
      </c>
      <c r="R104" s="56">
        <f t="shared" si="6"/>
        <v>29.652000000000001</v>
      </c>
    </row>
    <row r="105" spans="1:18">
      <c r="A105" t="s">
        <v>95</v>
      </c>
      <c r="D105" s="56">
        <v>0</v>
      </c>
      <c r="E105" s="56">
        <v>0</v>
      </c>
      <c r="F105" s="56">
        <v>0</v>
      </c>
      <c r="G105" s="56">
        <v>0</v>
      </c>
      <c r="H105" s="56">
        <f>D105</f>
        <v>0</v>
      </c>
      <c r="I105" s="56">
        <f t="shared" si="10"/>
        <v>0</v>
      </c>
      <c r="J105" s="56">
        <f>D105</f>
        <v>0</v>
      </c>
      <c r="K105" s="56"/>
      <c r="L105" s="56">
        <f t="shared" si="3"/>
        <v>0</v>
      </c>
      <c r="M105" s="56">
        <f t="shared" si="3"/>
        <v>0</v>
      </c>
      <c r="N105" s="56">
        <f t="shared" si="3"/>
        <v>0</v>
      </c>
      <c r="O105" s="56"/>
      <c r="P105" s="56">
        <f t="shared" si="6"/>
        <v>0</v>
      </c>
      <c r="Q105" s="56">
        <f t="shared" si="6"/>
        <v>0</v>
      </c>
      <c r="R105" s="56">
        <f t="shared" si="6"/>
        <v>0</v>
      </c>
    </row>
    <row r="106" spans="1:18">
      <c r="A106" t="s">
        <v>96</v>
      </c>
      <c r="D106" s="56">
        <v>106.64</v>
      </c>
      <c r="E106" s="56">
        <v>396.96</v>
      </c>
      <c r="F106" s="56">
        <v>30.77</v>
      </c>
      <c r="G106" s="56">
        <v>10.78</v>
      </c>
      <c r="H106" s="56">
        <f>G106</f>
        <v>10.78</v>
      </c>
      <c r="I106" s="56">
        <f t="shared" si="10"/>
        <v>136.28749999999999</v>
      </c>
      <c r="J106" s="56">
        <f>E106</f>
        <v>396.96</v>
      </c>
      <c r="K106" s="56"/>
      <c r="L106" s="56">
        <f t="shared" si="3"/>
        <v>11.857999999999999</v>
      </c>
      <c r="M106" s="56">
        <f t="shared" si="3"/>
        <v>149.91624999999999</v>
      </c>
      <c r="N106" s="56">
        <f t="shared" si="3"/>
        <v>436.65599999999995</v>
      </c>
      <c r="O106" s="56"/>
      <c r="P106" s="56">
        <f t="shared" si="6"/>
        <v>12.936</v>
      </c>
      <c r="Q106" s="56">
        <f t="shared" si="6"/>
        <v>163.54499999999999</v>
      </c>
      <c r="R106" s="56">
        <f t="shared" si="6"/>
        <v>476.35199999999998</v>
      </c>
    </row>
    <row r="107" spans="1:18">
      <c r="A107" t="s">
        <v>138</v>
      </c>
      <c r="D107" s="56">
        <v>0</v>
      </c>
      <c r="E107" s="56">
        <v>0</v>
      </c>
      <c r="F107" s="56">
        <v>0</v>
      </c>
      <c r="G107" s="56">
        <v>0</v>
      </c>
      <c r="H107" s="56">
        <f>D107</f>
        <v>0</v>
      </c>
      <c r="I107" s="56">
        <f t="shared" si="10"/>
        <v>0</v>
      </c>
      <c r="J107" s="56">
        <f>E107</f>
        <v>0</v>
      </c>
      <c r="K107" s="56"/>
      <c r="L107" s="56">
        <f t="shared" si="3"/>
        <v>0</v>
      </c>
      <c r="M107" s="56">
        <f t="shared" si="3"/>
        <v>0</v>
      </c>
      <c r="N107" s="56">
        <f t="shared" si="3"/>
        <v>0</v>
      </c>
      <c r="O107" s="56"/>
      <c r="P107" s="56">
        <f t="shared" si="6"/>
        <v>0</v>
      </c>
      <c r="Q107" s="56">
        <f t="shared" si="6"/>
        <v>0</v>
      </c>
      <c r="R107" s="56">
        <f t="shared" si="6"/>
        <v>0</v>
      </c>
    </row>
    <row r="108" spans="1:18">
      <c r="A108" t="s">
        <v>139</v>
      </c>
      <c r="D108" s="56">
        <v>0</v>
      </c>
      <c r="E108" s="56">
        <v>0</v>
      </c>
      <c r="F108" s="56">
        <v>0</v>
      </c>
      <c r="G108" s="56">
        <v>0</v>
      </c>
      <c r="H108" s="56">
        <f>D108</f>
        <v>0</v>
      </c>
      <c r="I108" s="56">
        <f t="shared" si="10"/>
        <v>0</v>
      </c>
      <c r="J108" s="56">
        <f>E108</f>
        <v>0</v>
      </c>
      <c r="K108" s="56"/>
      <c r="L108" s="56">
        <f t="shared" si="3"/>
        <v>0</v>
      </c>
      <c r="M108" s="56">
        <f t="shared" si="3"/>
        <v>0</v>
      </c>
      <c r="N108" s="56">
        <f t="shared" si="3"/>
        <v>0</v>
      </c>
      <c r="O108" s="56"/>
      <c r="P108" s="56">
        <f t="shared" si="6"/>
        <v>0</v>
      </c>
      <c r="Q108" s="56">
        <f t="shared" si="6"/>
        <v>0</v>
      </c>
      <c r="R108" s="56">
        <f t="shared" si="6"/>
        <v>0</v>
      </c>
    </row>
    <row r="109" spans="1:18">
      <c r="A109" t="s">
        <v>140</v>
      </c>
      <c r="D109" s="56">
        <v>0</v>
      </c>
      <c r="E109" s="56">
        <v>0</v>
      </c>
      <c r="F109" s="56">
        <v>0</v>
      </c>
      <c r="G109" s="56">
        <v>0</v>
      </c>
      <c r="H109" s="56">
        <f>D109</f>
        <v>0</v>
      </c>
      <c r="I109" s="56">
        <f t="shared" si="10"/>
        <v>0</v>
      </c>
      <c r="J109" s="56">
        <f>E109</f>
        <v>0</v>
      </c>
      <c r="K109" s="56"/>
      <c r="L109" s="56">
        <f t="shared" si="3"/>
        <v>0</v>
      </c>
      <c r="M109" s="56">
        <f t="shared" si="3"/>
        <v>0</v>
      </c>
      <c r="N109" s="56">
        <f t="shared" si="3"/>
        <v>0</v>
      </c>
      <c r="O109" s="56"/>
      <c r="P109" s="56">
        <f t="shared" si="6"/>
        <v>0</v>
      </c>
      <c r="Q109" s="56">
        <f t="shared" si="6"/>
        <v>0</v>
      </c>
      <c r="R109" s="56">
        <f t="shared" si="6"/>
        <v>0</v>
      </c>
    </row>
    <row r="111" spans="1:18" ht="15.75">
      <c r="A111" t="s">
        <v>49</v>
      </c>
      <c r="D111" s="824" t="s">
        <v>156</v>
      </c>
      <c r="E111" s="824"/>
      <c r="F111" s="824"/>
      <c r="G111" s="824"/>
      <c r="L111" s="834" t="s">
        <v>142</v>
      </c>
      <c r="M111" s="834"/>
      <c r="N111" s="834"/>
      <c r="P111" s="833" t="s">
        <v>143</v>
      </c>
      <c r="Q111" s="833"/>
      <c r="R111" s="833"/>
    </row>
    <row r="112" spans="1:18" ht="15.75">
      <c r="D112" s="52">
        <v>43709</v>
      </c>
      <c r="E112" s="52">
        <v>43678</v>
      </c>
      <c r="F112" s="52">
        <v>43647</v>
      </c>
      <c r="G112" s="52">
        <v>43617</v>
      </c>
      <c r="H112" s="53" t="s">
        <v>33</v>
      </c>
      <c r="I112" s="54" t="s">
        <v>32</v>
      </c>
      <c r="J112" s="55" t="s">
        <v>31</v>
      </c>
      <c r="L112" s="53" t="s">
        <v>33</v>
      </c>
      <c r="M112" s="54" t="s">
        <v>32</v>
      </c>
      <c r="N112" s="55" t="s">
        <v>31</v>
      </c>
      <c r="P112" s="53" t="s">
        <v>33</v>
      </c>
      <c r="Q112" s="54" t="s">
        <v>32</v>
      </c>
      <c r="R112" s="55" t="s">
        <v>31</v>
      </c>
    </row>
    <row r="113" spans="1:18" ht="17.25">
      <c r="A113" s="66" t="s">
        <v>157</v>
      </c>
      <c r="B113" s="66"/>
      <c r="C113" s="66"/>
      <c r="D113" s="56">
        <v>353.49</v>
      </c>
      <c r="E113" s="56">
        <v>696.23</v>
      </c>
      <c r="F113" s="56">
        <v>299.45</v>
      </c>
      <c r="G113" s="56">
        <v>153.87</v>
      </c>
      <c r="H113" s="56">
        <f>G113</f>
        <v>153.87</v>
      </c>
      <c r="I113" s="56">
        <f>(SUM(D113:G113))/4</f>
        <v>375.76</v>
      </c>
      <c r="J113" s="56">
        <f>G113</f>
        <v>153.87</v>
      </c>
      <c r="K113" s="56"/>
      <c r="L113" s="56">
        <f>(0.1*H113)+H113</f>
        <v>169.25700000000001</v>
      </c>
      <c r="M113" s="56">
        <f>(0.1*I113)+I113</f>
        <v>413.33600000000001</v>
      </c>
      <c r="N113" s="56">
        <f>(0.1*J113)+J113</f>
        <v>169.25700000000001</v>
      </c>
      <c r="O113" s="56"/>
      <c r="P113" s="56">
        <f>(0.2*H113)+H113</f>
        <v>184.64400000000001</v>
      </c>
      <c r="Q113" s="56">
        <f>(0.2*I113)+I113</f>
        <v>450.91199999999998</v>
      </c>
      <c r="R113" s="56">
        <f>(0.2*J113)+J113</f>
        <v>184.64400000000001</v>
      </c>
    </row>
    <row r="114" spans="1:18" ht="17.25">
      <c r="A114" s="66" t="s">
        <v>158</v>
      </c>
      <c r="B114" s="66"/>
      <c r="C114" s="66"/>
      <c r="D114" s="56">
        <v>148.24</v>
      </c>
      <c r="E114" s="56">
        <v>192.99</v>
      </c>
      <c r="F114" s="56">
        <v>169.59</v>
      </c>
      <c r="G114" s="56">
        <v>0</v>
      </c>
      <c r="H114" s="56">
        <f>G114</f>
        <v>0</v>
      </c>
      <c r="I114" s="56">
        <f>(SUM(D114:G114))/4</f>
        <v>127.70500000000001</v>
      </c>
      <c r="J114" s="56">
        <f>E114</f>
        <v>192.99</v>
      </c>
      <c r="K114" s="56"/>
      <c r="L114" s="56">
        <f t="shared" ref="L114:N117" si="11">(0.1*H114)+H114</f>
        <v>0</v>
      </c>
      <c r="M114" s="56">
        <f t="shared" si="11"/>
        <v>140.47550000000001</v>
      </c>
      <c r="N114" s="56">
        <f t="shared" si="11"/>
        <v>212.28900000000002</v>
      </c>
      <c r="O114" s="56"/>
      <c r="P114" s="56">
        <f t="shared" ref="P114:R117" si="12">(0.2*H114)+H114</f>
        <v>0</v>
      </c>
      <c r="Q114" s="56">
        <f t="shared" si="12"/>
        <v>153.24600000000001</v>
      </c>
      <c r="R114" s="56">
        <f t="shared" si="12"/>
        <v>231.58800000000002</v>
      </c>
    </row>
    <row r="115" spans="1:18" ht="17.25">
      <c r="A115" s="66" t="s">
        <v>159</v>
      </c>
      <c r="B115" s="66"/>
      <c r="C115" s="66"/>
      <c r="D115" s="56">
        <v>93.63</v>
      </c>
      <c r="E115" s="56">
        <v>95.33</v>
      </c>
      <c r="F115" s="56">
        <v>96.37</v>
      </c>
      <c r="G115" s="56">
        <v>30.82</v>
      </c>
      <c r="H115" s="56">
        <f>G115</f>
        <v>30.82</v>
      </c>
      <c r="I115" s="56">
        <f>(SUM(D115:G115))/4</f>
        <v>79.037499999999994</v>
      </c>
      <c r="J115" s="56">
        <f>E115</f>
        <v>95.33</v>
      </c>
      <c r="K115" s="56"/>
      <c r="L115" s="56">
        <f t="shared" si="11"/>
        <v>33.902000000000001</v>
      </c>
      <c r="M115" s="56">
        <f t="shared" si="11"/>
        <v>86.941249999999997</v>
      </c>
      <c r="N115" s="56">
        <f t="shared" si="11"/>
        <v>104.863</v>
      </c>
      <c r="O115" s="56"/>
      <c r="P115" s="56">
        <f t="shared" si="12"/>
        <v>36.984000000000002</v>
      </c>
      <c r="Q115" s="56">
        <f t="shared" si="12"/>
        <v>94.844999999999999</v>
      </c>
      <c r="R115" s="56">
        <f t="shared" si="12"/>
        <v>114.396</v>
      </c>
    </row>
    <row r="116" spans="1:18" ht="17.25">
      <c r="A116" s="66" t="s">
        <v>160</v>
      </c>
      <c r="B116" s="66"/>
      <c r="C116" s="66"/>
      <c r="D116" s="56">
        <v>0</v>
      </c>
      <c r="E116" s="56">
        <v>0</v>
      </c>
      <c r="F116" s="56">
        <v>0</v>
      </c>
      <c r="G116" s="56">
        <v>0</v>
      </c>
      <c r="H116" s="56">
        <f>F116</f>
        <v>0</v>
      </c>
      <c r="I116" s="56">
        <f>(SUM(D116:G116))/4</f>
        <v>0</v>
      </c>
      <c r="J116" s="56">
        <f>D116</f>
        <v>0</v>
      </c>
      <c r="K116" s="56"/>
      <c r="L116" s="56">
        <f t="shared" si="11"/>
        <v>0</v>
      </c>
      <c r="M116" s="56">
        <f t="shared" si="11"/>
        <v>0</v>
      </c>
      <c r="N116" s="56">
        <f t="shared" si="11"/>
        <v>0</v>
      </c>
      <c r="O116" s="56"/>
      <c r="P116" s="56">
        <f t="shared" si="12"/>
        <v>0</v>
      </c>
      <c r="Q116" s="56">
        <f t="shared" si="12"/>
        <v>0</v>
      </c>
      <c r="R116" s="56">
        <f t="shared" si="12"/>
        <v>0</v>
      </c>
    </row>
    <row r="117" spans="1:18" ht="17.25">
      <c r="A117" s="66" t="s">
        <v>145</v>
      </c>
      <c r="B117" s="66"/>
      <c r="C117" s="66"/>
      <c r="D117" s="56">
        <v>0</v>
      </c>
      <c r="E117" s="56">
        <v>0</v>
      </c>
      <c r="F117" s="56">
        <v>0</v>
      </c>
      <c r="G117" s="56">
        <v>0</v>
      </c>
      <c r="H117" s="56">
        <v>0</v>
      </c>
      <c r="I117" s="56">
        <f>(SUM(D117:G117))/4</f>
        <v>0</v>
      </c>
      <c r="J117" s="56">
        <v>0</v>
      </c>
      <c r="L117" s="56">
        <v>0</v>
      </c>
      <c r="M117" s="56">
        <f t="shared" si="11"/>
        <v>0</v>
      </c>
      <c r="N117" s="56">
        <v>0</v>
      </c>
      <c r="O117" s="56"/>
      <c r="P117" s="56">
        <v>0</v>
      </c>
      <c r="Q117" s="56">
        <f t="shared" si="12"/>
        <v>0</v>
      </c>
      <c r="R117" s="56">
        <v>0</v>
      </c>
    </row>
    <row r="122" spans="1:18">
      <c r="D122" s="824" t="s">
        <v>161</v>
      </c>
      <c r="E122" s="824"/>
      <c r="F122" s="824"/>
      <c r="G122" s="824"/>
    </row>
    <row r="123" spans="1:18" ht="15.75">
      <c r="D123" s="52">
        <v>43709</v>
      </c>
      <c r="E123" s="52">
        <v>43678</v>
      </c>
      <c r="F123" s="52">
        <v>43647</v>
      </c>
      <c r="G123" s="52">
        <v>43617</v>
      </c>
      <c r="H123" s="53" t="s">
        <v>33</v>
      </c>
      <c r="I123" s="54" t="s">
        <v>32</v>
      </c>
      <c r="J123" s="55" t="s">
        <v>31</v>
      </c>
    </row>
    <row r="124" spans="1:18" ht="17.25">
      <c r="A124" s="66" t="s">
        <v>157</v>
      </c>
      <c r="B124" s="66"/>
      <c r="C124" s="66"/>
      <c r="D124" s="824"/>
      <c r="E124" s="824"/>
      <c r="F124" s="824"/>
      <c r="G124" s="824"/>
    </row>
    <row r="125" spans="1:18">
      <c r="A125" t="s">
        <v>96</v>
      </c>
      <c r="D125" s="56">
        <v>353.49</v>
      </c>
      <c r="E125" s="56">
        <v>696.23</v>
      </c>
      <c r="F125" s="56">
        <v>299.45</v>
      </c>
      <c r="G125" s="56">
        <v>153.87</v>
      </c>
      <c r="H125" s="56">
        <f>G125</f>
        <v>153.87</v>
      </c>
      <c r="I125" s="56">
        <f>(SUM(D125:G125))/4</f>
        <v>375.76</v>
      </c>
      <c r="J125" s="56">
        <f>G125</f>
        <v>153.87</v>
      </c>
      <c r="K125" s="56"/>
      <c r="L125" s="56">
        <f>(0.1*H125)+H125</f>
        <v>169.25700000000001</v>
      </c>
      <c r="M125" s="56">
        <f>(0.1*I125)+I125</f>
        <v>413.33600000000001</v>
      </c>
      <c r="N125" s="56">
        <f>(0.1*J125)+J125</f>
        <v>169.25700000000001</v>
      </c>
      <c r="O125" s="56"/>
      <c r="P125" s="56">
        <f>(0.2*H125)+H125</f>
        <v>184.64400000000001</v>
      </c>
      <c r="Q125" s="56">
        <f>(0.2*I125)+I125</f>
        <v>450.91199999999998</v>
      </c>
      <c r="R125" s="56">
        <f>(0.2*J125)+J125</f>
        <v>184.64400000000001</v>
      </c>
    </row>
    <row r="126" spans="1:18">
      <c r="D126" s="56"/>
      <c r="E126" s="56"/>
      <c r="F126" s="56"/>
      <c r="G126" s="56"/>
      <c r="H126" s="56"/>
      <c r="I126" s="56"/>
      <c r="J126" s="56"/>
      <c r="K126" s="56"/>
      <c r="L126" s="56"/>
      <c r="M126" s="56"/>
      <c r="N126" s="56"/>
      <c r="O126" s="56"/>
      <c r="P126" s="56"/>
      <c r="Q126" s="56"/>
      <c r="R126" s="56"/>
    </row>
    <row r="127" spans="1:18">
      <c r="D127" s="56"/>
      <c r="E127" s="56"/>
      <c r="F127" s="56"/>
      <c r="G127" s="56"/>
      <c r="H127" s="56"/>
      <c r="I127" s="56"/>
      <c r="J127" s="56"/>
      <c r="K127" s="56"/>
      <c r="L127" s="56"/>
      <c r="M127" s="56"/>
      <c r="N127" s="56"/>
      <c r="O127" s="56"/>
      <c r="P127" s="56"/>
      <c r="Q127" s="56"/>
      <c r="R127" s="56"/>
    </row>
    <row r="128" spans="1:18" ht="17.25">
      <c r="A128" s="66" t="s">
        <v>158</v>
      </c>
      <c r="B128" s="66"/>
      <c r="C128" s="66"/>
      <c r="D128" s="835"/>
      <c r="E128" s="835"/>
      <c r="F128" s="835"/>
      <c r="G128" s="835"/>
      <c r="H128" s="56"/>
      <c r="I128" s="56"/>
      <c r="J128" s="56"/>
      <c r="K128" s="56"/>
      <c r="L128" s="56"/>
      <c r="M128" s="56"/>
      <c r="N128" s="56"/>
      <c r="O128" s="56"/>
      <c r="P128" s="56"/>
      <c r="Q128" s="56"/>
      <c r="R128" s="56"/>
    </row>
    <row r="129" spans="1:18">
      <c r="A129" t="s">
        <v>96</v>
      </c>
      <c r="D129" s="56">
        <v>148.24</v>
      </c>
      <c r="E129" s="56">
        <v>192.99</v>
      </c>
      <c r="F129" s="56">
        <v>169.59</v>
      </c>
      <c r="G129" s="56">
        <v>0</v>
      </c>
      <c r="H129" s="56">
        <f>G129</f>
        <v>0</v>
      </c>
      <c r="I129" s="56">
        <f>(SUM(D129:G129))/4</f>
        <v>127.70500000000001</v>
      </c>
      <c r="J129" s="56">
        <f>E129</f>
        <v>192.99</v>
      </c>
      <c r="K129" s="56"/>
      <c r="L129" s="56">
        <f>(0.1*H129)+H129</f>
        <v>0</v>
      </c>
      <c r="M129" s="56">
        <f>(0.1*I129)+I129</f>
        <v>140.47550000000001</v>
      </c>
      <c r="N129" s="56">
        <f>(0.1*J129)+J129</f>
        <v>212.28900000000002</v>
      </c>
      <c r="O129" s="56"/>
      <c r="P129" s="56">
        <f>(0.2*H129)+H129</f>
        <v>0</v>
      </c>
      <c r="Q129" s="56">
        <f>(0.2*I129)+I129</f>
        <v>153.24600000000001</v>
      </c>
      <c r="R129" s="56">
        <f>(0.2*J129)+J129</f>
        <v>231.58800000000002</v>
      </c>
    </row>
    <row r="130" spans="1:18">
      <c r="D130" s="56"/>
      <c r="E130" s="56"/>
      <c r="F130" s="56"/>
      <c r="G130" s="56"/>
      <c r="H130" s="56"/>
      <c r="I130" s="56"/>
      <c r="J130" s="56"/>
      <c r="K130" s="56"/>
      <c r="L130" s="56"/>
      <c r="M130" s="56"/>
      <c r="N130" s="56"/>
      <c r="O130" s="56"/>
      <c r="P130" s="56"/>
      <c r="Q130" s="56"/>
      <c r="R130" s="56"/>
    </row>
    <row r="131" spans="1:18">
      <c r="D131" s="56"/>
      <c r="E131" s="56"/>
      <c r="F131" s="56"/>
      <c r="G131" s="56"/>
      <c r="H131" s="56"/>
      <c r="I131" s="56"/>
      <c r="J131" s="56"/>
      <c r="K131" s="56"/>
      <c r="L131" s="56"/>
      <c r="M131" s="56"/>
      <c r="N131" s="56"/>
      <c r="O131" s="56"/>
      <c r="P131" s="56"/>
      <c r="Q131" s="56"/>
      <c r="R131" s="56"/>
    </row>
    <row r="132" spans="1:18" ht="17.25">
      <c r="A132" s="66" t="s">
        <v>159</v>
      </c>
      <c r="B132" s="66"/>
      <c r="C132" s="66"/>
      <c r="D132" s="835"/>
      <c r="E132" s="835"/>
      <c r="F132" s="835"/>
      <c r="G132" s="835"/>
      <c r="H132" s="56"/>
      <c r="I132" s="56"/>
      <c r="J132" s="56"/>
      <c r="K132" s="56"/>
      <c r="L132" s="56"/>
      <c r="M132" s="56"/>
      <c r="N132" s="56"/>
      <c r="O132" s="56"/>
      <c r="P132" s="56"/>
      <c r="Q132" s="56"/>
      <c r="R132" s="56"/>
    </row>
    <row r="133" spans="1:18">
      <c r="A133" t="s">
        <v>96</v>
      </c>
      <c r="D133" s="56">
        <v>93.63</v>
      </c>
      <c r="E133" s="56">
        <v>95.33</v>
      </c>
      <c r="F133" s="56">
        <v>96.37</v>
      </c>
      <c r="G133" s="56">
        <v>30.82</v>
      </c>
      <c r="H133" s="56">
        <f>G133</f>
        <v>30.82</v>
      </c>
      <c r="I133" s="56">
        <f>(SUM(D133:G133))/4</f>
        <v>79.037499999999994</v>
      </c>
      <c r="J133" s="56">
        <f>E133</f>
        <v>95.33</v>
      </c>
      <c r="K133" s="56"/>
      <c r="L133" s="56">
        <f>(0.1*H133)+H133</f>
        <v>33.902000000000001</v>
      </c>
      <c r="M133" s="56">
        <f>(0.1*I133)+I133</f>
        <v>86.941249999999997</v>
      </c>
      <c r="N133" s="56">
        <f>(0.1*J133)+J133</f>
        <v>104.863</v>
      </c>
      <c r="O133" s="56"/>
      <c r="P133" s="56">
        <f>(0.2*H133)+H133</f>
        <v>36.984000000000002</v>
      </c>
      <c r="Q133" s="56">
        <f>(0.2*I133)+I133</f>
        <v>94.844999999999999</v>
      </c>
      <c r="R133" s="56">
        <f>(0.2*J133)+J133</f>
        <v>114.396</v>
      </c>
    </row>
    <row r="134" spans="1:18">
      <c r="D134" s="56"/>
      <c r="E134" s="56"/>
      <c r="F134" s="56"/>
      <c r="G134" s="56"/>
      <c r="H134" s="56"/>
      <c r="I134" s="56"/>
      <c r="J134" s="56"/>
      <c r="K134" s="56"/>
      <c r="L134" s="56"/>
      <c r="M134" s="56"/>
      <c r="N134" s="56"/>
      <c r="O134" s="56"/>
      <c r="P134" s="56"/>
      <c r="Q134" s="56"/>
      <c r="R134" s="56"/>
    </row>
    <row r="135" spans="1:18">
      <c r="D135" s="56"/>
      <c r="E135" s="56"/>
      <c r="F135" s="56"/>
      <c r="G135" s="56"/>
      <c r="H135" s="56"/>
      <c r="I135" s="56"/>
      <c r="J135" s="56"/>
      <c r="K135" s="56"/>
      <c r="L135" s="56"/>
      <c r="M135" s="56"/>
      <c r="N135" s="56"/>
      <c r="O135" s="56"/>
      <c r="P135" s="56"/>
      <c r="Q135" s="56"/>
      <c r="R135" s="56"/>
    </row>
    <row r="136" spans="1:18" ht="17.25">
      <c r="A136" s="66" t="s">
        <v>160</v>
      </c>
      <c r="B136" s="66"/>
      <c r="C136" s="66"/>
      <c r="D136" s="835"/>
      <c r="E136" s="835"/>
      <c r="F136" s="835"/>
      <c r="G136" s="835"/>
      <c r="H136" s="56"/>
      <c r="I136" s="56"/>
      <c r="J136" s="56"/>
      <c r="K136" s="56"/>
      <c r="L136" s="56"/>
      <c r="M136" s="56"/>
      <c r="N136" s="56"/>
      <c r="O136" s="56"/>
      <c r="P136" s="56"/>
      <c r="Q136" s="56"/>
      <c r="R136" s="56"/>
    </row>
    <row r="137" spans="1:18">
      <c r="A137" t="s">
        <v>96</v>
      </c>
      <c r="D137" s="56">
        <v>0</v>
      </c>
      <c r="E137" s="56">
        <v>0</v>
      </c>
      <c r="F137" s="56">
        <v>0</v>
      </c>
      <c r="G137" s="56">
        <v>0</v>
      </c>
      <c r="H137" s="56">
        <f>F137</f>
        <v>0</v>
      </c>
      <c r="I137" s="56">
        <f>(SUM(D137:G137))/4</f>
        <v>0</v>
      </c>
      <c r="J137" s="56">
        <f>D137</f>
        <v>0</v>
      </c>
      <c r="K137" s="56"/>
      <c r="L137" s="56">
        <f>(0.1*H137)+H137</f>
        <v>0</v>
      </c>
      <c r="M137" s="56">
        <f>(0.1*I137)+I137</f>
        <v>0</v>
      </c>
      <c r="N137" s="56">
        <f>(0.1*J137)+J137</f>
        <v>0</v>
      </c>
      <c r="O137" s="56"/>
      <c r="P137" s="56">
        <f>(0.2*H137)+H137</f>
        <v>0</v>
      </c>
      <c r="Q137" s="56">
        <f>(0.2*I137)+I137</f>
        <v>0</v>
      </c>
      <c r="R137" s="56">
        <f>(0.2*J137)+J137</f>
        <v>0</v>
      </c>
    </row>
    <row r="138" spans="1:18">
      <c r="D138" s="56"/>
      <c r="E138" s="56"/>
      <c r="F138" s="56"/>
      <c r="G138" s="56"/>
      <c r="H138" s="56"/>
      <c r="I138" s="56"/>
      <c r="J138" s="56"/>
      <c r="K138" s="56"/>
      <c r="L138" s="56"/>
      <c r="M138" s="56"/>
      <c r="N138" s="56"/>
      <c r="O138" s="56"/>
      <c r="P138" s="56"/>
      <c r="Q138" s="56"/>
      <c r="R138" s="56"/>
    </row>
    <row r="140" spans="1:18" ht="17.25">
      <c r="A140" s="66" t="s">
        <v>145</v>
      </c>
      <c r="B140" s="66"/>
      <c r="C140" s="66"/>
      <c r="D140" s="824"/>
      <c r="E140" s="824"/>
      <c r="F140" s="824"/>
      <c r="G140" s="824"/>
    </row>
    <row r="141" spans="1:18">
      <c r="A141" t="s">
        <v>96</v>
      </c>
      <c r="D141" s="56">
        <v>0</v>
      </c>
      <c r="E141" s="56">
        <v>0</v>
      </c>
      <c r="F141" s="56">
        <v>0</v>
      </c>
      <c r="G141" s="56"/>
      <c r="H141" s="56"/>
      <c r="I141" s="56"/>
      <c r="J141" s="56"/>
    </row>
    <row r="144" spans="1:18">
      <c r="A144" t="s">
        <v>175</v>
      </c>
    </row>
    <row r="145" spans="1:16">
      <c r="A145" t="s">
        <v>98</v>
      </c>
    </row>
    <row r="146" spans="1:16" ht="15.75">
      <c r="B146" s="52">
        <v>43709</v>
      </c>
      <c r="C146" s="52">
        <v>43678</v>
      </c>
      <c r="D146" s="52">
        <v>43647</v>
      </c>
      <c r="E146" s="52">
        <v>43617</v>
      </c>
      <c r="F146" s="53" t="s">
        <v>33</v>
      </c>
      <c r="G146" s="54" t="s">
        <v>32</v>
      </c>
      <c r="H146" s="55" t="s">
        <v>31</v>
      </c>
      <c r="J146" s="53" t="s">
        <v>33</v>
      </c>
      <c r="K146" s="54" t="s">
        <v>32</v>
      </c>
      <c r="L146" s="55" t="s">
        <v>31</v>
      </c>
      <c r="N146" s="53" t="s">
        <v>33</v>
      </c>
      <c r="O146" s="54" t="s">
        <v>32</v>
      </c>
      <c r="P146" s="55" t="s">
        <v>31</v>
      </c>
    </row>
    <row r="147" spans="1:16">
      <c r="A147" t="s">
        <v>39</v>
      </c>
      <c r="B147" s="56">
        <v>107.95</v>
      </c>
      <c r="C147" s="56">
        <v>111.4</v>
      </c>
      <c r="D147" s="56">
        <v>110.75</v>
      </c>
      <c r="E147" s="56">
        <v>107.7</v>
      </c>
      <c r="F147" s="57">
        <f>E147</f>
        <v>107.7</v>
      </c>
      <c r="G147" s="58">
        <f t="shared" ref="G147:G159" si="13">(SUM(B147:E147))/4</f>
        <v>109.45</v>
      </c>
      <c r="H147" s="59">
        <f>C147</f>
        <v>111.4</v>
      </c>
      <c r="I147" s="56"/>
      <c r="J147" s="56">
        <f t="shared" ref="J147:J159" si="14">(0.1*F147)+F147</f>
        <v>118.47</v>
      </c>
      <c r="K147" s="56">
        <f t="shared" ref="K147:K159" si="15">(0.1*G147)+G147</f>
        <v>120.39500000000001</v>
      </c>
      <c r="L147" s="56">
        <f t="shared" ref="L147:L159" si="16">(0.1*H147)+H147</f>
        <v>122.54</v>
      </c>
      <c r="M147" s="56"/>
      <c r="N147" s="56">
        <f t="shared" ref="N147:N159" si="17">(0.2*F147)+F147</f>
        <v>129.24</v>
      </c>
      <c r="O147" s="56">
        <f t="shared" ref="O147:O159" si="18">(0.2*G147)+G147</f>
        <v>131.34</v>
      </c>
      <c r="P147" s="56">
        <f t="shared" ref="P147:P159" si="19">(0.2*H147)+H147</f>
        <v>133.68</v>
      </c>
    </row>
    <row r="148" spans="1:16">
      <c r="A148" t="s">
        <v>86</v>
      </c>
      <c r="B148" s="56">
        <v>32.4</v>
      </c>
      <c r="C148" s="56">
        <v>33.479999999999997</v>
      </c>
      <c r="D148" s="56">
        <v>33.479999999999997</v>
      </c>
      <c r="E148" s="56">
        <v>32.4</v>
      </c>
      <c r="F148" s="57">
        <f>E148</f>
        <v>32.4</v>
      </c>
      <c r="G148" s="58">
        <f t="shared" si="13"/>
        <v>32.94</v>
      </c>
      <c r="H148" s="59">
        <f>C148</f>
        <v>33.479999999999997</v>
      </c>
      <c r="I148" s="56"/>
      <c r="J148" s="56">
        <f t="shared" si="14"/>
        <v>35.64</v>
      </c>
      <c r="K148" s="56">
        <f t="shared" si="15"/>
        <v>36.233999999999995</v>
      </c>
      <c r="L148" s="56">
        <f t="shared" si="16"/>
        <v>36.827999999999996</v>
      </c>
      <c r="M148" s="56"/>
      <c r="N148" s="56">
        <f t="shared" si="17"/>
        <v>38.879999999999995</v>
      </c>
      <c r="O148" s="56">
        <f t="shared" si="18"/>
        <v>39.527999999999999</v>
      </c>
      <c r="P148" s="56">
        <f t="shared" si="19"/>
        <v>40.175999999999995</v>
      </c>
    </row>
    <row r="149" spans="1:16">
      <c r="A149" t="s">
        <v>87</v>
      </c>
      <c r="B149" s="56">
        <f>19.15+779.31</f>
        <v>798.45999999999992</v>
      </c>
      <c r="C149" s="56">
        <f>18.46+869.64</f>
        <v>888.1</v>
      </c>
      <c r="D149" s="56">
        <f>17.91+743.31</f>
        <v>761.21999999999991</v>
      </c>
      <c r="E149" s="56">
        <f>872.42+17.28</f>
        <v>889.69999999999993</v>
      </c>
      <c r="F149" s="57">
        <f>D149</f>
        <v>761.21999999999991</v>
      </c>
      <c r="G149" s="58">
        <f t="shared" si="13"/>
        <v>834.36999999999989</v>
      </c>
      <c r="H149" s="59">
        <f>E149</f>
        <v>889.69999999999993</v>
      </c>
      <c r="I149" s="56"/>
      <c r="J149" s="56">
        <f t="shared" si="14"/>
        <v>837.34199999999987</v>
      </c>
      <c r="K149" s="56">
        <f t="shared" si="15"/>
        <v>917.8069999999999</v>
      </c>
      <c r="L149" s="56">
        <f t="shared" si="16"/>
        <v>978.67</v>
      </c>
      <c r="M149" s="56"/>
      <c r="N149" s="56">
        <f t="shared" si="17"/>
        <v>913.46399999999994</v>
      </c>
      <c r="O149" s="56">
        <f t="shared" si="18"/>
        <v>1001.2439999999999</v>
      </c>
      <c r="P149" s="56">
        <f t="shared" si="19"/>
        <v>1067.6399999999999</v>
      </c>
    </row>
    <row r="150" spans="1:16">
      <c r="A150" t="s">
        <v>88</v>
      </c>
      <c r="B150" s="56">
        <v>1</v>
      </c>
      <c r="C150" s="56">
        <v>1</v>
      </c>
      <c r="D150" s="56">
        <v>1</v>
      </c>
      <c r="E150" s="56">
        <v>1</v>
      </c>
      <c r="F150" s="57">
        <f>B150</f>
        <v>1</v>
      </c>
      <c r="G150" s="58">
        <f t="shared" si="13"/>
        <v>1</v>
      </c>
      <c r="H150" s="59">
        <f>B150</f>
        <v>1</v>
      </c>
      <c r="I150" s="56"/>
      <c r="J150" s="56">
        <f t="shared" si="14"/>
        <v>1.1000000000000001</v>
      </c>
      <c r="K150" s="56">
        <f t="shared" si="15"/>
        <v>1.1000000000000001</v>
      </c>
      <c r="L150" s="56">
        <f t="shared" si="16"/>
        <v>1.1000000000000001</v>
      </c>
      <c r="M150" s="56"/>
      <c r="N150" s="56">
        <f t="shared" si="17"/>
        <v>1.2</v>
      </c>
      <c r="O150" s="56">
        <f t="shared" si="18"/>
        <v>1.2</v>
      </c>
      <c r="P150" s="56">
        <f t="shared" si="19"/>
        <v>1.2</v>
      </c>
    </row>
    <row r="151" spans="1:16">
      <c r="A151" t="s">
        <v>89</v>
      </c>
      <c r="B151" s="56">
        <f>9.85+188.51+635.67</f>
        <v>834.03</v>
      </c>
      <c r="C151" s="56">
        <f>9.71+189+660.67</f>
        <v>859.38</v>
      </c>
      <c r="D151" s="56">
        <f>1.81+187.69+658.27</f>
        <v>847.77</v>
      </c>
      <c r="E151" s="56">
        <f>1.69+169.06+493.79</f>
        <v>664.54</v>
      </c>
      <c r="F151" s="57">
        <f t="shared" ref="F151:F158" si="20">E151</f>
        <v>664.54</v>
      </c>
      <c r="G151" s="58">
        <f t="shared" si="13"/>
        <v>801.43</v>
      </c>
      <c r="H151" s="59">
        <f>C151</f>
        <v>859.38</v>
      </c>
      <c r="I151" s="56"/>
      <c r="J151" s="56">
        <f t="shared" si="14"/>
        <v>730.99399999999991</v>
      </c>
      <c r="K151" s="56">
        <f t="shared" si="15"/>
        <v>881.57299999999998</v>
      </c>
      <c r="L151" s="56">
        <f t="shared" si="16"/>
        <v>945.31799999999998</v>
      </c>
      <c r="M151" s="56"/>
      <c r="N151" s="56">
        <f t="shared" si="17"/>
        <v>797.44799999999998</v>
      </c>
      <c r="O151" s="56">
        <f t="shared" si="18"/>
        <v>961.71599999999989</v>
      </c>
      <c r="P151" s="56">
        <f t="shared" si="19"/>
        <v>1031.2560000000001</v>
      </c>
    </row>
    <row r="152" spans="1:16">
      <c r="A152" t="s">
        <v>90</v>
      </c>
      <c r="B152" s="56">
        <v>15.96</v>
      </c>
      <c r="C152" s="56">
        <v>23.84</v>
      </c>
      <c r="D152" s="56">
        <v>15.9</v>
      </c>
      <c r="E152" s="56">
        <v>15.36</v>
      </c>
      <c r="F152" s="57">
        <f t="shared" si="20"/>
        <v>15.36</v>
      </c>
      <c r="G152" s="58">
        <f t="shared" si="13"/>
        <v>17.765000000000001</v>
      </c>
      <c r="H152" s="59">
        <f>C152</f>
        <v>23.84</v>
      </c>
      <c r="I152" s="56"/>
      <c r="J152" s="56">
        <f t="shared" si="14"/>
        <v>16.896000000000001</v>
      </c>
      <c r="K152" s="56">
        <f t="shared" si="15"/>
        <v>19.541499999999999</v>
      </c>
      <c r="L152" s="56">
        <f t="shared" si="16"/>
        <v>26.224</v>
      </c>
      <c r="M152" s="56"/>
      <c r="N152" s="56">
        <f t="shared" si="17"/>
        <v>18.431999999999999</v>
      </c>
      <c r="O152" s="56">
        <f t="shared" si="18"/>
        <v>21.318000000000001</v>
      </c>
      <c r="P152" s="56">
        <f t="shared" si="19"/>
        <v>28.608000000000001</v>
      </c>
    </row>
    <row r="153" spans="1:16">
      <c r="A153" t="s">
        <v>91</v>
      </c>
      <c r="B153" s="56">
        <v>12.37</v>
      </c>
      <c r="C153" s="56">
        <v>12.44</v>
      </c>
      <c r="D153" s="56">
        <v>11.71</v>
      </c>
      <c r="E153" s="56">
        <v>10.34</v>
      </c>
      <c r="F153" s="57">
        <f t="shared" si="20"/>
        <v>10.34</v>
      </c>
      <c r="G153" s="58">
        <f t="shared" si="13"/>
        <v>11.715</v>
      </c>
      <c r="H153" s="59">
        <f>C153</f>
        <v>12.44</v>
      </c>
      <c r="I153" s="56"/>
      <c r="J153" s="56">
        <f t="shared" si="14"/>
        <v>11.374000000000001</v>
      </c>
      <c r="K153" s="56">
        <f t="shared" si="15"/>
        <v>12.8865</v>
      </c>
      <c r="L153" s="56">
        <f t="shared" si="16"/>
        <v>13.683999999999999</v>
      </c>
      <c r="M153" s="56"/>
      <c r="N153" s="56">
        <f t="shared" si="17"/>
        <v>12.407999999999999</v>
      </c>
      <c r="O153" s="56">
        <f t="shared" si="18"/>
        <v>14.058</v>
      </c>
      <c r="P153" s="56">
        <f t="shared" si="19"/>
        <v>14.927999999999999</v>
      </c>
    </row>
    <row r="154" spans="1:16">
      <c r="A154" t="s">
        <v>92</v>
      </c>
      <c r="B154" s="56">
        <v>27.35</v>
      </c>
      <c r="C154" s="56">
        <v>58.77</v>
      </c>
      <c r="D154" s="56">
        <v>24.92</v>
      </c>
      <c r="E154" s="56">
        <v>23.27</v>
      </c>
      <c r="F154" s="57">
        <f t="shared" si="20"/>
        <v>23.27</v>
      </c>
      <c r="G154" s="58">
        <f t="shared" si="13"/>
        <v>33.577500000000001</v>
      </c>
      <c r="H154" s="59">
        <f>C154</f>
        <v>58.77</v>
      </c>
      <c r="I154" s="56"/>
      <c r="J154" s="56">
        <f t="shared" si="14"/>
        <v>25.597000000000001</v>
      </c>
      <c r="K154" s="56">
        <f t="shared" si="15"/>
        <v>36.935250000000003</v>
      </c>
      <c r="L154" s="56">
        <f t="shared" si="16"/>
        <v>64.647000000000006</v>
      </c>
      <c r="M154" s="56"/>
      <c r="N154" s="56">
        <f t="shared" si="17"/>
        <v>27.923999999999999</v>
      </c>
      <c r="O154" s="56">
        <f t="shared" si="18"/>
        <v>40.292999999999999</v>
      </c>
      <c r="P154" s="56">
        <f t="shared" si="19"/>
        <v>70.524000000000001</v>
      </c>
    </row>
    <row r="155" spans="1:16">
      <c r="A155" t="s">
        <v>93</v>
      </c>
      <c r="B155" s="56">
        <v>151.21</v>
      </c>
      <c r="C155" s="56">
        <v>151.66</v>
      </c>
      <c r="D155" s="56">
        <v>144.44999999999999</v>
      </c>
      <c r="E155" s="56">
        <v>131.69</v>
      </c>
      <c r="F155" s="57">
        <f t="shared" si="20"/>
        <v>131.69</v>
      </c>
      <c r="G155" s="58">
        <f t="shared" si="13"/>
        <v>144.7525</v>
      </c>
      <c r="H155" s="59">
        <f>C155</f>
        <v>151.66</v>
      </c>
      <c r="I155" s="56"/>
      <c r="J155" s="56">
        <f t="shared" si="14"/>
        <v>144.85900000000001</v>
      </c>
      <c r="K155" s="56">
        <f t="shared" si="15"/>
        <v>159.22774999999999</v>
      </c>
      <c r="L155" s="56">
        <f t="shared" si="16"/>
        <v>166.82599999999999</v>
      </c>
      <c r="M155" s="56"/>
      <c r="N155" s="56">
        <f t="shared" si="17"/>
        <v>158.02799999999999</v>
      </c>
      <c r="O155" s="56">
        <f t="shared" si="18"/>
        <v>173.703</v>
      </c>
      <c r="P155" s="56">
        <f t="shared" si="19"/>
        <v>181.99199999999999</v>
      </c>
    </row>
    <row r="156" spans="1:16">
      <c r="A156" s="49" t="s">
        <v>94</v>
      </c>
      <c r="B156" s="56">
        <v>1913.7</v>
      </c>
      <c r="C156" s="56">
        <v>1573.18</v>
      </c>
      <c r="D156" s="56">
        <v>1120.26</v>
      </c>
      <c r="E156" s="56">
        <v>1014.66</v>
      </c>
      <c r="F156" s="57">
        <f t="shared" si="20"/>
        <v>1014.66</v>
      </c>
      <c r="G156" s="58">
        <f t="shared" si="13"/>
        <v>1405.45</v>
      </c>
      <c r="H156" s="59">
        <f>B156</f>
        <v>1913.7</v>
      </c>
      <c r="I156" s="56"/>
      <c r="J156" s="56">
        <f t="shared" si="14"/>
        <v>1116.126</v>
      </c>
      <c r="K156" s="56">
        <f t="shared" si="15"/>
        <v>1545.9950000000001</v>
      </c>
      <c r="L156" s="56">
        <f t="shared" si="16"/>
        <v>2105.0700000000002</v>
      </c>
      <c r="M156" s="56"/>
      <c r="N156" s="56">
        <f t="shared" si="17"/>
        <v>1217.5920000000001</v>
      </c>
      <c r="O156" s="56">
        <f t="shared" si="18"/>
        <v>1686.54</v>
      </c>
      <c r="P156" s="56">
        <f t="shared" si="19"/>
        <v>2296.44</v>
      </c>
    </row>
    <row r="157" spans="1:16">
      <c r="A157" s="49" t="s">
        <v>95</v>
      </c>
      <c r="B157" s="56">
        <v>2641.41</v>
      </c>
      <c r="C157" s="56">
        <v>8387.82</v>
      </c>
      <c r="D157" s="56">
        <v>643.96</v>
      </c>
      <c r="E157" s="56">
        <v>75.81</v>
      </c>
      <c r="F157" s="57">
        <f t="shared" si="20"/>
        <v>75.81</v>
      </c>
      <c r="G157" s="58">
        <f t="shared" si="13"/>
        <v>2937.2499999999995</v>
      </c>
      <c r="H157" s="59">
        <f>C157</f>
        <v>8387.82</v>
      </c>
      <c r="I157" s="56"/>
      <c r="J157" s="56">
        <f t="shared" si="14"/>
        <v>83.391000000000005</v>
      </c>
      <c r="K157" s="56">
        <f t="shared" si="15"/>
        <v>3230.9749999999995</v>
      </c>
      <c r="L157" s="56">
        <f t="shared" si="16"/>
        <v>9226.601999999999</v>
      </c>
      <c r="M157" s="56"/>
      <c r="N157" s="56">
        <f t="shared" si="17"/>
        <v>90.972000000000008</v>
      </c>
      <c r="O157" s="56">
        <f t="shared" si="18"/>
        <v>3524.6999999999994</v>
      </c>
      <c r="P157" s="56">
        <f t="shared" si="19"/>
        <v>10065.384</v>
      </c>
    </row>
    <row r="158" spans="1:16">
      <c r="A158" s="49" t="s">
        <v>96</v>
      </c>
      <c r="B158" s="56">
        <v>6569.08</v>
      </c>
      <c r="C158" s="56">
        <v>5673.72</v>
      </c>
      <c r="D158" s="56">
        <v>4519.37</v>
      </c>
      <c r="E158" s="56">
        <v>3527.67</v>
      </c>
      <c r="F158" s="57">
        <f t="shared" si="20"/>
        <v>3527.67</v>
      </c>
      <c r="G158" s="58">
        <f t="shared" si="13"/>
        <v>5072.4599999999991</v>
      </c>
      <c r="H158" s="59">
        <f>B158</f>
        <v>6569.08</v>
      </c>
      <c r="I158" s="56"/>
      <c r="J158" s="56">
        <f t="shared" si="14"/>
        <v>3880.4369999999999</v>
      </c>
      <c r="K158" s="56">
        <f t="shared" si="15"/>
        <v>5579.7059999999992</v>
      </c>
      <c r="L158" s="56">
        <f t="shared" si="16"/>
        <v>7225.9880000000003</v>
      </c>
      <c r="M158" s="56"/>
      <c r="N158" s="56">
        <f t="shared" si="17"/>
        <v>4233.2039999999997</v>
      </c>
      <c r="O158" s="56">
        <f t="shared" si="18"/>
        <v>6086.9519999999993</v>
      </c>
      <c r="P158" s="56">
        <f t="shared" si="19"/>
        <v>7882.8959999999997</v>
      </c>
    </row>
    <row r="159" spans="1:16">
      <c r="A159" t="s">
        <v>97</v>
      </c>
      <c r="B159" s="56">
        <v>162.77000000000001</v>
      </c>
      <c r="C159" s="56">
        <v>322.83999999999997</v>
      </c>
      <c r="D159" s="56">
        <v>161.41</v>
      </c>
      <c r="E159" s="56">
        <v>781.4</v>
      </c>
      <c r="F159" s="57">
        <f>D159</f>
        <v>161.41</v>
      </c>
      <c r="G159" s="58">
        <f t="shared" si="13"/>
        <v>357.10500000000002</v>
      </c>
      <c r="H159" s="59">
        <f>E159</f>
        <v>781.4</v>
      </c>
      <c r="I159" s="56"/>
      <c r="J159" s="56">
        <f t="shared" si="14"/>
        <v>177.55099999999999</v>
      </c>
      <c r="K159" s="56">
        <f t="shared" si="15"/>
        <v>392.81550000000004</v>
      </c>
      <c r="L159" s="56">
        <f t="shared" si="16"/>
        <v>859.54</v>
      </c>
      <c r="M159" s="56"/>
      <c r="N159" s="56">
        <f t="shared" si="17"/>
        <v>193.69200000000001</v>
      </c>
      <c r="O159" s="56">
        <f t="shared" si="18"/>
        <v>428.52600000000001</v>
      </c>
      <c r="P159" s="56">
        <f t="shared" si="19"/>
        <v>937.68</v>
      </c>
    </row>
  </sheetData>
  <autoFilter ref="A13:Q30" xr:uid="{00000000-0009-0000-0000-000013000000}"/>
  <mergeCells count="21">
    <mergeCell ref="D12:H12"/>
    <mergeCell ref="I12:M12"/>
    <mergeCell ref="A12:C12"/>
    <mergeCell ref="D122:G122"/>
    <mergeCell ref="D124:G124"/>
    <mergeCell ref="L111:N111"/>
    <mergeCell ref="D128:G128"/>
    <mergeCell ref="D132:G132"/>
    <mergeCell ref="D136:G136"/>
    <mergeCell ref="D140:G140"/>
    <mergeCell ref="D82:G82"/>
    <mergeCell ref="D92:G92"/>
    <mergeCell ref="D102:G102"/>
    <mergeCell ref="D111:G111"/>
    <mergeCell ref="P111:R111"/>
    <mergeCell ref="D49:G49"/>
    <mergeCell ref="L49:N49"/>
    <mergeCell ref="P49:R49"/>
    <mergeCell ref="D60:G60"/>
    <mergeCell ref="D62:G62"/>
    <mergeCell ref="D72:G72"/>
  </mergeCells>
  <pageMargins left="0.7" right="0.7" top="0.75" bottom="0.75" header="0.3" footer="0.3"/>
  <ignoredErrors>
    <ignoredError sqref="J15" formulaRange="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B2DBCC8A5E7ED47A7D5CBE7407F1D48" ma:contentTypeVersion="15" ma:contentTypeDescription="Create a new document." ma:contentTypeScope="" ma:versionID="203ac5d638b7714ee733d8eb0ad6777b">
  <xsd:schema xmlns:xsd="http://www.w3.org/2001/XMLSchema" xmlns:xs="http://www.w3.org/2001/XMLSchema" xmlns:p="http://schemas.microsoft.com/office/2006/metadata/properties" xmlns:ns1="http://schemas.microsoft.com/sharepoint/v3" xmlns:ns3="fdc81ec3-f4f6-4609-b50f-04d22d16fef5" xmlns:ns4="c442bec3-5de2-4848-8046-1525657b99f6" targetNamespace="http://schemas.microsoft.com/office/2006/metadata/properties" ma:root="true" ma:fieldsID="2a5034bfd84c5503aa438e02c4465ef2" ns1:_="" ns3:_="" ns4:_="">
    <xsd:import namespace="http://schemas.microsoft.com/sharepoint/v3"/>
    <xsd:import namespace="fdc81ec3-f4f6-4609-b50f-04d22d16fef5"/>
    <xsd:import namespace="c442bec3-5de2-4848-8046-1525657b99f6"/>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EventHashCode" minOccurs="0"/>
                <xsd:element ref="ns4:MediaServiceGenerationTime" minOccurs="0"/>
                <xsd:element ref="ns1:_ip_UnifiedCompliancePolicyProperties" minOccurs="0"/>
                <xsd:element ref="ns1:_ip_UnifiedCompliancePolicyUIAction"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dc81ec3-f4f6-4609-b50f-04d22d16fef5"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442bec3-5de2-4848-8046-1525657b99f6"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7C1E19E-DA7D-4CDC-BB4E-5C846B94B0E0}">
  <ds:schemaRefs>
    <ds:schemaRef ds:uri="http://purl.org/dc/dcmitype/"/>
    <ds:schemaRef ds:uri="http://schemas.microsoft.com/sharepoint/v3"/>
    <ds:schemaRef ds:uri="http://purl.org/dc/elements/1.1/"/>
    <ds:schemaRef ds:uri="http://schemas.microsoft.com/office/2006/metadata/properties"/>
    <ds:schemaRef ds:uri="http://schemas.openxmlformats.org/package/2006/metadata/core-properties"/>
    <ds:schemaRef ds:uri="http://schemas.microsoft.com/office/infopath/2007/PartnerControls"/>
    <ds:schemaRef ds:uri="c442bec3-5de2-4848-8046-1525657b99f6"/>
    <ds:schemaRef ds:uri="http://schemas.microsoft.com/office/2006/documentManagement/types"/>
    <ds:schemaRef ds:uri="fdc81ec3-f4f6-4609-b50f-04d22d16fef5"/>
    <ds:schemaRef ds:uri="http://www.w3.org/XML/1998/namespace"/>
    <ds:schemaRef ds:uri="http://purl.org/dc/terms/"/>
  </ds:schemaRefs>
</ds:datastoreItem>
</file>

<file path=customXml/itemProps2.xml><?xml version="1.0" encoding="utf-8"?>
<ds:datastoreItem xmlns:ds="http://schemas.openxmlformats.org/officeDocument/2006/customXml" ds:itemID="{BC5A17E9-D44F-4CFA-8F83-6323C3AC41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dc81ec3-f4f6-4609-b50f-04d22d16fef5"/>
    <ds:schemaRef ds:uri="c442bec3-5de2-4848-8046-1525657b99f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BD74A40-6451-484D-AC78-28DFDDCEAD1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vt:lpstr>
      <vt:lpstr>Prospective Project</vt:lpstr>
      <vt:lpstr>Active Project</vt:lpstr>
      <vt:lpstr>Sys Admin</vt:lpstr>
      <vt:lpstr>Custom ESPO Selection</vt:lpstr>
      <vt:lpstr>ESPO Calculator</vt:lpstr>
      <vt:lpstr>Platform Cloud Costs</vt:lpstr>
    </vt:vector>
  </TitlesOfParts>
  <Company>ICFI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Gopalakrishna, Deepak</dc:creator>
  <cp:lastModifiedBy>Bakhsh Kelarestaghi, Kaveh</cp:lastModifiedBy>
  <cp:lastPrinted>2020-01-06T09:01:40Z</cp:lastPrinted>
  <dcterms:created xsi:type="dcterms:W3CDTF">2019-10-01T14:28:12Z</dcterms:created>
  <dcterms:modified xsi:type="dcterms:W3CDTF">2020-04-22T20:24:50Z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0x0101002B2DBCC8A5E7ED47A7D5CBE7407F1D48</vt:lpwstr>
  </property>
</Properties>
</file>